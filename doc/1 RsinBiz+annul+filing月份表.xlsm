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08" codeName="{6BE1CDB9-6C1C-A5B6-3FC1-E231EC3C600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marcus/RSIN GROUP Dropbox/RSIN GROUP TEAM/RSIN 商务 Corporate Secretary/"/>
    </mc:Choice>
  </mc:AlternateContent>
  <xr:revisionPtr revIDLastSave="0" documentId="13_ncr:1_{064F40ED-57F1-AE43-B921-CAE2C661D12C}" xr6:coauthVersionLast="45" xr6:coauthVersionMax="46" xr10:uidLastSave="{00000000-0000-0000-0000-000000000000}"/>
  <bookViews>
    <workbookView xWindow="0" yWindow="0" windowWidth="25600" windowHeight="16000" activeTab="10" xr2:uid="{00000000-000D-0000-FFFF-FFFF00000000}"/>
  </bookViews>
  <sheets>
    <sheet name="Sheet1" sheetId="2" state="hidden" r:id="rId1"/>
    <sheet name="Masterlist (old)" sheetId="15" state="hidden" r:id="rId2"/>
    <sheet name="Sheet3" sheetId="16" state="hidden" r:id="rId3"/>
    <sheet name="Renewal" sheetId="17" state="hidden" r:id="rId4"/>
    <sheet name="Masterlist 050421" sheetId="18" r:id="rId5"/>
    <sheet name="Ex" sheetId="23" r:id="rId6"/>
    <sheet name="Nominal Director " sheetId="24" r:id="rId7"/>
    <sheet name="Nominee Director Payment" sheetId="29" r:id="rId8"/>
    <sheet name="开户 tracking" sheetId="21" r:id="rId9"/>
    <sheet name="CorpPass Tracking" sheetId="27" r:id="rId10"/>
    <sheet name="Current Outsource Tracking" sheetId="22" r:id="rId11"/>
    <sheet name="Pricing Guide" sheetId="26" r:id="rId12"/>
    <sheet name="Address Change" sheetId="28" r:id="rId13"/>
    <sheet name="Prospects" sheetId="25" r:id="rId14"/>
    <sheet name="Database (old)" sheetId="20" state="hidden" r:id="rId15"/>
  </sheets>
  <definedNames>
    <definedName name="_xlnm._FilterDatabase" localSheetId="10" hidden="1">'Current Outsource Tracking'!$A$1:$AB$179</definedName>
    <definedName name="_xlnm._FilterDatabase" localSheetId="14" hidden="1">'Database (old)'!$A$1:$W$87</definedName>
    <definedName name="_xlnm._FilterDatabase" localSheetId="5" hidden="1">Ex!$A$1:$X$51</definedName>
    <definedName name="_xlnm._FilterDatabase" localSheetId="1" hidden="1">'Masterlist (old)'!$B$1:$B$93</definedName>
    <definedName name="_xlnm._FilterDatabase" localSheetId="4" hidden="1">'Masterlist 050421'!$A$1:$AC$74</definedName>
    <definedName name="_xlnm._FilterDatabase" localSheetId="6" hidden="1">'Nominal Director '!$A$1:$J$23</definedName>
    <definedName name="_xlnm._FilterDatabase" localSheetId="0" hidden="1">Sheet1!$B$2:$B$101</definedName>
    <definedName name="_xlnm._FilterDatabase" localSheetId="8" hidden="1">'开户 tracking'!$A$1:$X$135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" i="22" l="1"/>
  <c r="R71" i="22"/>
  <c r="T23" i="22" l="1"/>
  <c r="T20" i="22"/>
  <c r="R15" i="22"/>
  <c r="T15" i="22" s="1"/>
  <c r="R142" i="22" l="1"/>
  <c r="T142" i="22" s="1"/>
  <c r="R99" i="22" l="1"/>
  <c r="T99" i="22" s="1"/>
  <c r="T38" i="22" l="1"/>
  <c r="T84" i="22"/>
  <c r="T90" i="22"/>
  <c r="T86" i="22"/>
  <c r="R80" i="22"/>
  <c r="T80" i="22" s="1"/>
  <c r="T82" i="22"/>
  <c r="T72" i="22"/>
  <c r="T43" i="22"/>
  <c r="T64" i="22"/>
  <c r="F36" i="24" l="1"/>
  <c r="F35" i="24" l="1"/>
  <c r="R78" i="22"/>
  <c r="T78" i="22" s="1"/>
  <c r="R76" i="22"/>
  <c r="T71" i="22" l="1"/>
  <c r="R79" i="22"/>
  <c r="T79" i="22" s="1"/>
  <c r="T76" i="22"/>
  <c r="R75" i="22"/>
  <c r="T75" i="22" s="1"/>
  <c r="F34" i="24" l="1"/>
  <c r="R55" i="22" l="1"/>
  <c r="T55" i="22" s="1"/>
  <c r="F33" i="24" l="1"/>
  <c r="F32" i="24" l="1"/>
  <c r="R9" i="22" l="1"/>
  <c r="T9" i="22" s="1"/>
  <c r="R29" i="22"/>
  <c r="T29" i="22" s="1"/>
  <c r="T21" i="22"/>
  <c r="T40" i="22"/>
  <c r="R36" i="22"/>
  <c r="T36" i="22" s="1"/>
  <c r="R67" i="22"/>
  <c r="T67" i="22" s="1"/>
  <c r="F31" i="24" l="1"/>
  <c r="R60" i="22"/>
  <c r="T60" i="22" s="1"/>
  <c r="V25" i="18" l="1"/>
  <c r="V19" i="18"/>
  <c r="O19" i="23" l="1"/>
  <c r="R31" i="22" l="1"/>
  <c r="T31" i="22" s="1"/>
  <c r="R24" i="22"/>
  <c r="T24" i="22" s="1"/>
  <c r="R35" i="22"/>
  <c r="T35" i="22" s="1"/>
  <c r="R39" i="22"/>
  <c r="T39" i="22" s="1"/>
  <c r="R32" i="22"/>
  <c r="T32" i="22" s="1"/>
  <c r="F30" i="24" l="1"/>
  <c r="F27" i="24" l="1"/>
  <c r="F28" i="24"/>
  <c r="F29" i="24"/>
  <c r="F26" i="24"/>
  <c r="F25" i="24"/>
  <c r="O15" i="23" l="1"/>
  <c r="F24" i="24" l="1"/>
  <c r="E23" i="24"/>
  <c r="F23" i="24" s="1"/>
  <c r="J10" i="24" l="1"/>
  <c r="J11" i="24"/>
  <c r="E11" i="24"/>
  <c r="F11" i="24" s="1"/>
  <c r="O14" i="23"/>
  <c r="F20" i="24"/>
  <c r="F18" i="24"/>
  <c r="F17" i="24"/>
  <c r="F21" i="24"/>
  <c r="E2" i="24" l="1"/>
  <c r="F2" i="24" s="1"/>
  <c r="E4" i="24"/>
  <c r="F4" i="24" s="1"/>
  <c r="E5" i="24"/>
  <c r="F5" i="24" s="1"/>
  <c r="E6" i="24"/>
  <c r="F6" i="24" s="1"/>
  <c r="E7" i="24"/>
  <c r="F7" i="24" s="1"/>
  <c r="E8" i="24"/>
  <c r="F8" i="24" s="1"/>
  <c r="F19" i="24"/>
  <c r="E9" i="24"/>
  <c r="F9" i="24" s="1"/>
  <c r="E10" i="24"/>
  <c r="F10" i="24" s="1"/>
  <c r="E12" i="24"/>
  <c r="F12" i="24" s="1"/>
  <c r="E13" i="24"/>
  <c r="F13" i="24" s="1"/>
  <c r="E14" i="24"/>
  <c r="F14" i="24" s="1"/>
  <c r="E16" i="24"/>
  <c r="F16" i="24" s="1"/>
  <c r="E15" i="24"/>
  <c r="F15" i="24" s="1"/>
  <c r="E3" i="24"/>
  <c r="F3" i="24" s="1"/>
  <c r="E22" i="24"/>
  <c r="F22" i="24" s="1"/>
  <c r="O10" i="23" l="1"/>
</calcChain>
</file>

<file path=xl/sharedStrings.xml><?xml version="1.0" encoding="utf-8"?>
<sst xmlns="http://schemas.openxmlformats.org/spreadsheetml/2006/main" count="6105" uniqueCount="2355">
  <si>
    <t>UEN</t>
  </si>
  <si>
    <t>Entity Name</t>
  </si>
  <si>
    <t>Role</t>
  </si>
  <si>
    <t>Entity Type</t>
  </si>
  <si>
    <t>Appointment 
Date</t>
  </si>
  <si>
    <t>LAST ANNUAL 
RETURN  Date</t>
  </si>
  <si>
    <t>LAST AGM Date</t>
  </si>
  <si>
    <t>NEXT AGM DATE</t>
  </si>
  <si>
    <t>200903743E</t>
  </si>
  <si>
    <t>SUNNY TRAVEL PTE. LTD.</t>
  </si>
  <si>
    <t>Secretary</t>
  </si>
  <si>
    <t>LOCAL COMPANY</t>
  </si>
  <si>
    <t>07/11/2017</t>
  </si>
  <si>
    <t>201404351C</t>
  </si>
  <si>
    <t>XUAN YU CONSTRUCTION PTE. LTD.</t>
  </si>
  <si>
    <t>15/06/2017</t>
  </si>
  <si>
    <t>201407224K</t>
  </si>
  <si>
    <t>ACE TECHNOLOGIES PTE. LTD.</t>
  </si>
  <si>
    <t>28/06/2017</t>
  </si>
  <si>
    <t>19/12/2017</t>
  </si>
  <si>
    <t>30/06/2017</t>
  </si>
  <si>
    <t>30/06/2018</t>
  </si>
  <si>
    <t>201418220C</t>
  </si>
  <si>
    <t>GLOBAL LEADERS INSTITUTE OF BUSINESS PTE. LTD.</t>
  </si>
  <si>
    <t>17/03/2017</t>
  </si>
  <si>
    <t>30/11/2016</t>
  </si>
  <si>
    <t>30/11/2017</t>
  </si>
  <si>
    <t>201542087E</t>
  </si>
  <si>
    <t>GAO&amp;LIM TRADING PTE. LTD.</t>
  </si>
  <si>
    <t>02/12/2015</t>
  </si>
  <si>
    <t>15/03/2017</t>
  </si>
  <si>
    <t>201540060K</t>
  </si>
  <si>
    <t>MILES EDUCATION PTE. LTD.</t>
  </si>
  <si>
    <t>09/11/2015</t>
  </si>
  <si>
    <t>31/12/2017</t>
  </si>
  <si>
    <t>31/12/2018</t>
  </si>
  <si>
    <t>201542826N</t>
  </si>
  <si>
    <t>SINGAPORE CAMBO BIOLOGICAL TECHNOLOGY PTE. LTD.</t>
  </si>
  <si>
    <t>09/12/2015</t>
  </si>
  <si>
    <t>18/07/2017</t>
  </si>
  <si>
    <t>18/07/2018</t>
  </si>
  <si>
    <t>201537324D</t>
  </si>
  <si>
    <t>ESIN TECHNOLOGY PTE. LTD.</t>
  </si>
  <si>
    <t>10/10/2015</t>
  </si>
  <si>
    <t>25/04/2017</t>
  </si>
  <si>
    <t>24/04/2017</t>
  </si>
  <si>
    <t>24/04/2018</t>
  </si>
  <si>
    <t>201543732E</t>
  </si>
  <si>
    <t>CHONG QING XIAO TIAN E STEAMBOAT PTE. LTD.</t>
  </si>
  <si>
    <t>18/12/2015</t>
  </si>
  <si>
    <t>29/07/2017</t>
  </si>
  <si>
    <t>15/07/2017</t>
  </si>
  <si>
    <t>15/07/2018</t>
  </si>
  <si>
    <t>201543886G</t>
  </si>
  <si>
    <t>ONE PIECE EXPRESS PTE. LTD.</t>
  </si>
  <si>
    <t>21/12/2015</t>
  </si>
  <si>
    <t>29/05/2017</t>
  </si>
  <si>
    <t>26/05/2017</t>
  </si>
  <si>
    <t>26/05/2018</t>
  </si>
  <si>
    <t>201529927W</t>
  </si>
  <si>
    <t>INTERNATIONAL A PLUS PTE. LTD.</t>
  </si>
  <si>
    <t>25/07/2015</t>
  </si>
  <si>
    <t>27/02/2017</t>
  </si>
  <si>
    <t>13/02/2017</t>
  </si>
  <si>
    <t>13/02/2018</t>
  </si>
  <si>
    <t>201523938D</t>
  </si>
  <si>
    <t>ESIN GROUP PTE. LTD.</t>
  </si>
  <si>
    <t>27/08/2015</t>
  </si>
  <si>
    <t>201530404W</t>
  </si>
  <si>
    <t>CHAO HUI INTERNATIONAL TRADING PTE. LTD.</t>
  </si>
  <si>
    <t>30/07/2015</t>
  </si>
  <si>
    <t>21/04/2017</t>
  </si>
  <si>
    <t>201530406Z</t>
  </si>
  <si>
    <t>SHUO HE INVESTMENT HOLDINGS GROUP PTE. LTD.</t>
  </si>
  <si>
    <t>30/01/2018</t>
  </si>
  <si>
    <t>201621129R</t>
  </si>
  <si>
    <t>M3 DIGITAL HUB PTE. LTD.</t>
  </si>
  <si>
    <t>02/08/2016</t>
  </si>
  <si>
    <t>201624010Z</t>
  </si>
  <si>
    <t>INTERNATIONAL CULTURAL PTE. LTD.</t>
  </si>
  <si>
    <t>02/09/2016</t>
  </si>
  <si>
    <t>201602943M</t>
  </si>
  <si>
    <t>XUANSHENG EDUCATION INVESTMENT &amp; MANAGEMENT PTE. LTD.</t>
  </si>
  <si>
    <t>03/02/2016</t>
  </si>
  <si>
    <t>16/03/2017</t>
  </si>
  <si>
    <t>15/03/2018</t>
  </si>
  <si>
    <t>201611823N</t>
  </si>
  <si>
    <t>UNIQUE BUILDING MATERIALS PTE. LTD.</t>
  </si>
  <si>
    <t>03/05/2016</t>
  </si>
  <si>
    <t>24/10/2017</t>
  </si>
  <si>
    <t>23/10/2017</t>
  </si>
  <si>
    <t>23/10/2018</t>
  </si>
  <si>
    <t>201608948E</t>
  </si>
  <si>
    <t>DRAGONPASS APAC PTE. LTD.</t>
  </si>
  <si>
    <t>06/04/2016</t>
  </si>
  <si>
    <t>29/08/2017</t>
  </si>
  <si>
    <t>24/08/2017</t>
  </si>
  <si>
    <t>24/08/2018</t>
  </si>
  <si>
    <t>201605806H</t>
  </si>
  <si>
    <t>PETSPAD PTE. LTD.</t>
  </si>
  <si>
    <t>07/03/2016</t>
  </si>
  <si>
    <t>201618592D</t>
  </si>
  <si>
    <t>JASON MARINE SERVICE PTE. LTD.</t>
  </si>
  <si>
    <t>07/07/2016</t>
  </si>
  <si>
    <t>201621815C</t>
  </si>
  <si>
    <t>XING YUAN FURNITURE PTE. LTD.</t>
  </si>
  <si>
    <t>10/08/2016</t>
  </si>
  <si>
    <t>201621828G</t>
  </si>
  <si>
    <t>STAR DREAM PTE. LTD.</t>
  </si>
  <si>
    <t>201624888M</t>
  </si>
  <si>
    <t>SOUTH COIN PTE. LTD.</t>
  </si>
  <si>
    <t>10/09/2016</t>
  </si>
  <si>
    <t>28/02/2018</t>
  </si>
  <si>
    <t>201605195K</t>
  </si>
  <si>
    <t>INTELLIGIRDER PTE. LTD.</t>
  </si>
  <si>
    <t>11/06/2016</t>
  </si>
  <si>
    <t>201631165C</t>
  </si>
  <si>
    <t>YANG SHENG YING PTE. LTD.</t>
  </si>
  <si>
    <t>12/11/2016</t>
  </si>
  <si>
    <t>201633834G</t>
  </si>
  <si>
    <t>AW PROSPERITY GROUP PTE. LTD.</t>
  </si>
  <si>
    <t>12/12/2016</t>
  </si>
  <si>
    <t>201606538C</t>
  </si>
  <si>
    <t>SUN SUN HOLDING PTE. LTD.</t>
  </si>
  <si>
    <t>13/03/2016</t>
  </si>
  <si>
    <t>29/06/2017</t>
  </si>
  <si>
    <t>21/06/2017</t>
  </si>
  <si>
    <t>21/06/2018</t>
  </si>
  <si>
    <t>201616210D</t>
  </si>
  <si>
    <t>ENTORA PTE. LTD.</t>
  </si>
  <si>
    <t>14/06/2016</t>
  </si>
  <si>
    <t>15/08/2017</t>
  </si>
  <si>
    <t>15/08/2018</t>
  </si>
  <si>
    <t>201616421R</t>
  </si>
  <si>
    <t>COLUCK PTE. LTD.</t>
  </si>
  <si>
    <t>14/12/2016</t>
  </si>
  <si>
    <t>21/08/2017</t>
  </si>
  <si>
    <t>21/08/2018</t>
  </si>
  <si>
    <t>201610021Z</t>
  </si>
  <si>
    <t>PANDABABY SINGAPORE PTE. LTD.</t>
  </si>
  <si>
    <t>15/04/2016</t>
  </si>
  <si>
    <t>201613077W</t>
  </si>
  <si>
    <t>ABJOY SERVICES PTE. LTD.</t>
  </si>
  <si>
    <t>15/05/2016</t>
  </si>
  <si>
    <t>201616419K</t>
  </si>
  <si>
    <t>ESIN HOUSE PTE. LTD.</t>
  </si>
  <si>
    <t>15/06/2016</t>
  </si>
  <si>
    <t>201622350C</t>
  </si>
  <si>
    <t>WANG &amp; GE TRADING PTE. LTD.</t>
  </si>
  <si>
    <t>16/08/2016</t>
  </si>
  <si>
    <t>201542819N</t>
  </si>
  <si>
    <t>QUANTECH TRADING &amp; CAPITAL MANAGEMENT PTE. LTD.</t>
  </si>
  <si>
    <t>21/12/2016</t>
  </si>
  <si>
    <t>15/11/2017</t>
  </si>
  <si>
    <t>201623281M</t>
  </si>
  <si>
    <t>SINGAPORE INTELLIGENT HEALTHCARE RESEARCH CENTRE PTE. LTD.</t>
  </si>
  <si>
    <t>25/08/2016</t>
  </si>
  <si>
    <t>23/01/2018</t>
  </si>
  <si>
    <t>23/01/2019</t>
  </si>
  <si>
    <t>201500518N</t>
  </si>
  <si>
    <t>KNOCKNOCK TECHNOLOGIES ASIA PTE. LTD.</t>
  </si>
  <si>
    <t>26/10/2016</t>
  </si>
  <si>
    <t>22/06/2017</t>
  </si>
  <si>
    <t>22/06/2018</t>
  </si>
  <si>
    <t>201602210Z</t>
  </si>
  <si>
    <t>HUA FEI INTERNATIONAL PTE. LTD.</t>
  </si>
  <si>
    <t>27/01/2016</t>
  </si>
  <si>
    <t>201607340N</t>
  </si>
  <si>
    <t>CENTRA TECHNOLOGIES PTE. LTD.</t>
  </si>
  <si>
    <t>28/10/2016</t>
  </si>
  <si>
    <t>26/09/2017</t>
  </si>
  <si>
    <t>18/09/2017</t>
  </si>
  <si>
    <t>18/09/2018</t>
  </si>
  <si>
    <t>201611524C</t>
  </si>
  <si>
    <t>SINGAPORE HOLLY BIOTECHNOLOGY PTE. LTD.</t>
  </si>
  <si>
    <t>29/04/2016</t>
  </si>
  <si>
    <t>26/08/2017</t>
  </si>
  <si>
    <t>18/08/2017</t>
  </si>
  <si>
    <t>18/08/2018</t>
  </si>
  <si>
    <t>201617875W</t>
  </si>
  <si>
    <t>SAN HE TAI XIANG FOODS PTE. LTD.</t>
  </si>
  <si>
    <t>30/06/2016</t>
  </si>
  <si>
    <t>201602505E</t>
  </si>
  <si>
    <t>NIA ENTERPRISE PTE. LTD.</t>
  </si>
  <si>
    <t>31/01/2016</t>
  </si>
  <si>
    <t>201623739H</t>
  </si>
  <si>
    <t>AMORNING E-LEARNING TECHNOLOGY PTE. LTD.</t>
  </si>
  <si>
    <t>31/08/2016</t>
  </si>
  <si>
    <t>201623743R</t>
  </si>
  <si>
    <t>F&amp;Y TRADING PTE. LTD.</t>
  </si>
  <si>
    <t>201702347M</t>
  </si>
  <si>
    <t>STREAM PROJECTS INTERNATIONAL PTE. LTD.</t>
  </si>
  <si>
    <t>01/02/2017</t>
  </si>
  <si>
    <t>201709133C</t>
  </si>
  <si>
    <t>CHANGLIAN SINGAPORE PTE. LTD.</t>
  </si>
  <si>
    <t>01/04/2017</t>
  </si>
  <si>
    <t>201734641W</t>
  </si>
  <si>
    <t>SAILING INTERNATIONAL TRADING PTE. LTD.</t>
  </si>
  <si>
    <t>01/12/2017</t>
  </si>
  <si>
    <t>201709330W</t>
  </si>
  <si>
    <t>FUN DE BEAUTY PTE. LTD.</t>
  </si>
  <si>
    <t>03/04/2017</t>
  </si>
  <si>
    <t>201710822K</t>
  </si>
  <si>
    <t>CROSSLAND EDUCATION &amp; ENRICHMENT SCHOOL PTE. LTD.</t>
  </si>
  <si>
    <t>04/10/2017</t>
  </si>
  <si>
    <t>201703532K</t>
  </si>
  <si>
    <t>WTM GLOBAL PTE. LTD.</t>
  </si>
  <si>
    <t>08/02/2017</t>
  </si>
  <si>
    <t>201609164G</t>
  </si>
  <si>
    <t>DINGOO INDUSTRY PTE. LTD.</t>
  </si>
  <si>
    <t>08/06/2017</t>
  </si>
  <si>
    <t>201703719K</t>
  </si>
  <si>
    <t>TLNET PTE. LTD.</t>
  </si>
  <si>
    <t>10/02/2017</t>
  </si>
  <si>
    <t>201701129D</t>
  </si>
  <si>
    <t>YAAN AIR AGILE ENTERPRISE PTE. LTD.</t>
  </si>
  <si>
    <t>11/01/2017</t>
  </si>
  <si>
    <t>201701181M</t>
  </si>
  <si>
    <t>CONFIDENCE(SINGAPORE)TRANSPORT&amp;TRADING PTE. LTD.</t>
  </si>
  <si>
    <t>201710380M</t>
  </si>
  <si>
    <t>SUMMER WOOER PTE. LTD.</t>
  </si>
  <si>
    <t>13/04/2017</t>
  </si>
  <si>
    <t>201716578N</t>
  </si>
  <si>
    <t>SUMMER WINGS PTE. LTD.</t>
  </si>
  <si>
    <t>13/06/2017</t>
  </si>
  <si>
    <t>201704064N</t>
  </si>
  <si>
    <t>MATCH GLOBAL TRADING PTE. LTD.</t>
  </si>
  <si>
    <t>14/02/2017</t>
  </si>
  <si>
    <t>201619388D</t>
  </si>
  <si>
    <t>LIYAN INTERNATIONAL TRADING PTE. LTD.</t>
  </si>
  <si>
    <t>14/07/2017</t>
  </si>
  <si>
    <t>201735970E</t>
  </si>
  <si>
    <t>GLOBAL FRONTIER ASSET MANAGEMENT PTE. LTD.</t>
  </si>
  <si>
    <t>14/12/2017</t>
  </si>
  <si>
    <t>201709638H</t>
  </si>
  <si>
    <t>EUGENE YIN PTE. LTD.</t>
  </si>
  <si>
    <t>15/04/2017</t>
  </si>
  <si>
    <t>201732892H</t>
  </si>
  <si>
    <t>TRACKING CONSULTING PTE. LTD.</t>
  </si>
  <si>
    <t>201720294M</t>
  </si>
  <si>
    <t>ESIN VISA PTE. LTD.</t>
  </si>
  <si>
    <t>19/07/2017</t>
  </si>
  <si>
    <t>201720296N</t>
  </si>
  <si>
    <t>ESIN IMMIGRATION PTE. LTD.</t>
  </si>
  <si>
    <t>201702107M</t>
  </si>
  <si>
    <t>AMT INTERNATIONAL TRADING PTE. LTD.</t>
  </si>
  <si>
    <t>20/01/2017</t>
  </si>
  <si>
    <t>201707764E</t>
  </si>
  <si>
    <t>INTELLIGENCE EYE PTE. LTD.</t>
  </si>
  <si>
    <t>20/03/2017</t>
  </si>
  <si>
    <t>201702390Z</t>
  </si>
  <si>
    <t>LUX BEAUTE INTERNATIONAL PTE. LTD.</t>
  </si>
  <si>
    <t>24/01/2017</t>
  </si>
  <si>
    <t>201616083R</t>
  </si>
  <si>
    <t>LE SIGN &amp; PRINT PTE. LTD.</t>
  </si>
  <si>
    <t>25/01/2017</t>
  </si>
  <si>
    <t>201721120C</t>
  </si>
  <si>
    <t>RISEN CHN PTE. LTD.</t>
  </si>
  <si>
    <t>26/07/2017</t>
  </si>
  <si>
    <t>201732170Z</t>
  </si>
  <si>
    <t>RELOCATION CONSULTANCY PTE. LTD.</t>
  </si>
  <si>
    <t>28/11/2017</t>
  </si>
  <si>
    <t>201724665H</t>
  </si>
  <si>
    <t>LIGHT YI PTE. LTD.</t>
  </si>
  <si>
    <t>201731031H</t>
  </si>
  <si>
    <t>SINHAI INTERNATIONAL INVESTMENT HOLDING GROUP(SINGAPORE) PTE. LTD.</t>
  </si>
  <si>
    <t>30/10/2017</t>
  </si>
  <si>
    <t>201705823E</t>
  </si>
  <si>
    <t>INFINITUS LEARNING PTE. LTD.</t>
  </si>
  <si>
    <t>31/08/2017</t>
  </si>
  <si>
    <t>201721480C</t>
  </si>
  <si>
    <t>TT NET PTE. LTD.</t>
  </si>
  <si>
    <t>31/01/2018</t>
  </si>
  <si>
    <t>201728673E</t>
  </si>
  <si>
    <t>KINGLEY CONSULTING PTE. LTD.</t>
  </si>
  <si>
    <t>22/02/2018</t>
  </si>
  <si>
    <t>201733823G</t>
  </si>
  <si>
    <t>SMARTISAN PTE. LTD.</t>
  </si>
  <si>
    <t>04/12/2017</t>
  </si>
  <si>
    <t>201803122D</t>
  </si>
  <si>
    <t>ORLANT INTERNATIONAL PTE. LTD.</t>
  </si>
  <si>
    <t>24/01/2018</t>
  </si>
  <si>
    <t>201806039G</t>
  </si>
  <si>
    <t>PANGOLIN TECHNOLOGY PTE. LTD.</t>
  </si>
  <si>
    <t>20/02/2018</t>
  </si>
  <si>
    <t>201806967N</t>
  </si>
  <si>
    <t>TRENDY INVESTMENT CONSULTANT PTE. LTD.</t>
  </si>
  <si>
    <t>UEN</t>
    <phoneticPr fontId="3" type="noConversion"/>
  </si>
  <si>
    <t>公司名称</t>
    <phoneticPr fontId="3" type="noConversion"/>
  </si>
  <si>
    <t>公司类型</t>
    <phoneticPr fontId="3" type="noConversion"/>
  </si>
  <si>
    <t>挂名董事</t>
    <phoneticPr fontId="3" type="noConversion"/>
  </si>
  <si>
    <t>董事1</t>
    <phoneticPr fontId="3" type="noConversion"/>
  </si>
  <si>
    <t>股东1</t>
    <phoneticPr fontId="3" type="noConversion"/>
  </si>
  <si>
    <t>秘书</t>
    <phoneticPr fontId="3" type="noConversion"/>
  </si>
  <si>
    <t>联系人</t>
    <phoneticPr fontId="3" type="noConversion"/>
  </si>
  <si>
    <t>电话/邮箱</t>
    <phoneticPr fontId="3" type="noConversion"/>
  </si>
  <si>
    <t>注册资本</t>
    <phoneticPr fontId="3" type="noConversion"/>
  </si>
  <si>
    <t>实缴资本</t>
    <phoneticPr fontId="3" type="noConversion"/>
  </si>
  <si>
    <t>注册时间</t>
    <phoneticPr fontId="3" type="noConversion"/>
  </si>
  <si>
    <t>预计年审时间</t>
    <phoneticPr fontId="3" type="noConversion"/>
  </si>
  <si>
    <t>实际年审时间</t>
    <phoneticPr fontId="3" type="noConversion"/>
  </si>
  <si>
    <t>财务年度时间</t>
    <phoneticPr fontId="3" type="noConversion"/>
  </si>
  <si>
    <t>消费税报税</t>
    <phoneticPr fontId="3" type="noConversion"/>
  </si>
  <si>
    <t>所得税报税</t>
    <phoneticPr fontId="3" type="noConversion"/>
  </si>
  <si>
    <t>服务记录</t>
    <phoneticPr fontId="3" type="noConversion"/>
  </si>
  <si>
    <t>服务进度</t>
    <phoneticPr fontId="3" type="noConversion"/>
  </si>
  <si>
    <t>备注</t>
    <phoneticPr fontId="3" type="noConversion"/>
  </si>
  <si>
    <t>地址</t>
    <phoneticPr fontId="3" type="noConversion"/>
  </si>
  <si>
    <t>介绍人</t>
    <phoneticPr fontId="3" type="noConversion"/>
  </si>
  <si>
    <t>200903743E</t>
    <phoneticPr fontId="3" type="noConversion"/>
  </si>
  <si>
    <t>SUNNY TRAVEL PTE. LTD</t>
    <phoneticPr fontId="3" type="noConversion"/>
  </si>
  <si>
    <t xml:space="preserve">WU JUHONG </t>
    <phoneticPr fontId="3" type="noConversion"/>
  </si>
  <si>
    <t xml:space="preserve">WU JUHONG YANG GUANG </t>
    <phoneticPr fontId="3" type="noConversion"/>
  </si>
  <si>
    <t>ZHOU LEI</t>
    <phoneticPr fontId="3" type="noConversion"/>
  </si>
  <si>
    <t>1 PARK ROAD #02-107 PEOPLE’S PARK COMPLEX SINGAPORE 059108</t>
    <phoneticPr fontId="3" type="noConversion"/>
  </si>
  <si>
    <t>201404351C</t>
    <phoneticPr fontId="3" type="noConversion"/>
  </si>
  <si>
    <t>XUAN YU CONSTRUCTION PTE. LTD</t>
    <phoneticPr fontId="3" type="noConversion"/>
  </si>
  <si>
    <t xml:space="preserve">TANG YONGCHENG  </t>
    <phoneticPr fontId="3" type="noConversion"/>
  </si>
  <si>
    <t>HU LYE CHYE</t>
    <phoneticPr fontId="3" type="noConversion"/>
  </si>
  <si>
    <t>TANG YONGCHENG</t>
    <phoneticPr fontId="3" type="noConversion"/>
  </si>
  <si>
    <t>93698669/XUANYU116@GMAIL.COM</t>
    <phoneticPr fontId="3" type="noConversion"/>
  </si>
  <si>
    <t>965 HOUGANG AVENUE 9 #07-650 SINGAPORE 530965</t>
    <phoneticPr fontId="3" type="noConversion"/>
  </si>
  <si>
    <t>201418220C</t>
    <phoneticPr fontId="3" type="noConversion"/>
  </si>
  <si>
    <t>GLOBAL LEADERS INSTITUTE OF BUSINESS PTE. LTD</t>
    <phoneticPr fontId="3" type="noConversion"/>
  </si>
  <si>
    <t xml:space="preserve">XU BIN  </t>
    <phoneticPr fontId="3" type="noConversion"/>
  </si>
  <si>
    <t xml:space="preserve">ZUO JUNLI  </t>
    <phoneticPr fontId="3" type="noConversion"/>
  </si>
  <si>
    <t>YUAN XIAO</t>
    <phoneticPr fontId="3" type="noConversion"/>
  </si>
  <si>
    <t>90073595/yuanxiao@majuprimus.com</t>
    <phoneticPr fontId="3" type="noConversion"/>
  </si>
  <si>
    <t>201500518N</t>
    <phoneticPr fontId="3" type="noConversion"/>
  </si>
  <si>
    <t>KNOCKNOCK TECHNOLOGIES ASIA PTE. LTD</t>
    <phoneticPr fontId="3" type="noConversion"/>
  </si>
  <si>
    <t xml:space="preserve">LIU YANG CHENG TIANXIAO </t>
    <phoneticPr fontId="3" type="noConversion"/>
  </si>
  <si>
    <t xml:space="preserve">WANG GUANGWU LIU YANG </t>
    <phoneticPr fontId="3" type="noConversion"/>
  </si>
  <si>
    <t>SHEN JUN</t>
    <phoneticPr fontId="3" type="noConversion"/>
  </si>
  <si>
    <t>CHENG TIANXIAO</t>
    <phoneticPr fontId="3" type="noConversion"/>
  </si>
  <si>
    <t>91453099/Skysmile.xiao@gmail.com</t>
    <phoneticPr fontId="3" type="noConversion"/>
  </si>
  <si>
    <t>110 LORONG 23 GEYLANG #05-06 VICTORY CENTRE SINGAPORE 388410</t>
    <phoneticPr fontId="3" type="noConversion"/>
  </si>
  <si>
    <t>201523938D</t>
    <phoneticPr fontId="3" type="noConversion"/>
  </si>
  <si>
    <t>ESIN GROUP PTE. LTD</t>
    <phoneticPr fontId="3" type="noConversion"/>
  </si>
  <si>
    <t>201529927W</t>
    <phoneticPr fontId="3" type="noConversion"/>
  </si>
  <si>
    <t>INTERNATIONAL A PLUS PTE. LTD</t>
    <phoneticPr fontId="3" type="noConversion"/>
  </si>
  <si>
    <t xml:space="preserve">CHENG HEE YWAI  </t>
    <phoneticPr fontId="3" type="noConversion"/>
  </si>
  <si>
    <t>CHENG HEE YWAI</t>
    <phoneticPr fontId="3" type="noConversion"/>
  </si>
  <si>
    <t>96984123/Feeling8485@gmail.com</t>
    <phoneticPr fontId="3" type="noConversion"/>
  </si>
  <si>
    <t>65 LORONG K TELOK KURAU SINGAPORE 425675</t>
    <phoneticPr fontId="3" type="noConversion"/>
  </si>
  <si>
    <t>201530404W</t>
    <phoneticPr fontId="3" type="noConversion"/>
  </si>
  <si>
    <t>CHAO HUI INTERNATIONAL TRADING PTE. LTD</t>
    <phoneticPr fontId="3" type="noConversion"/>
  </si>
  <si>
    <t xml:space="preserve">ZHENG SONGHUI  </t>
    <phoneticPr fontId="3" type="noConversion"/>
  </si>
  <si>
    <t xml:space="preserve">ZHENG SONGHUI ZHENG YANGYU </t>
    <phoneticPr fontId="3" type="noConversion"/>
  </si>
  <si>
    <t>ZHANG SHAOYAN</t>
    <phoneticPr fontId="3" type="noConversion"/>
  </si>
  <si>
    <t>13599905166/zhangshaoyan@shgroupcn.com</t>
    <phoneticPr fontId="3" type="noConversion"/>
  </si>
  <si>
    <t>21 BUKIT BATOK CRESCENT #28-75 WCEGA TOWER SINGAPORE(658065)</t>
    <phoneticPr fontId="3" type="noConversion"/>
  </si>
  <si>
    <t>201530406Z</t>
    <phoneticPr fontId="3" type="noConversion"/>
  </si>
  <si>
    <t>SHUO HE INVESTMENT HOLDINGS GROUP PTE. LTD</t>
    <phoneticPr fontId="3" type="noConversion"/>
  </si>
  <si>
    <t xml:space="preserve">ZHENG SONG HUI  </t>
    <phoneticPr fontId="3" type="noConversion"/>
  </si>
  <si>
    <t xml:space="preserve">	zhang shaoyan
</t>
    <phoneticPr fontId="3" type="noConversion"/>
  </si>
  <si>
    <t>21 BUKIT BATOK CRESCENT #28-75 WCEGA TOWER SINGAPORE (658065)</t>
    <phoneticPr fontId="3" type="noConversion"/>
  </si>
  <si>
    <t>201537324D</t>
    <phoneticPr fontId="3" type="noConversion"/>
  </si>
  <si>
    <t>ESIN TECHNOLOGY PTE. LTD</t>
    <phoneticPr fontId="3" type="noConversion"/>
  </si>
  <si>
    <t>JIM RAVE LASTIMOSA CHENG HEE YWAI YUAN FEI</t>
    <phoneticPr fontId="3" type="noConversion"/>
  </si>
  <si>
    <t>60 PAYA LEBAR ROAD #09-06 PAYA LEBAR SQUARE SINGAPORE 409051</t>
    <phoneticPr fontId="3" type="noConversion"/>
  </si>
  <si>
    <t>201540060K</t>
    <phoneticPr fontId="3" type="noConversion"/>
  </si>
  <si>
    <t>MILES EDUCATION PTE. LTD</t>
    <phoneticPr fontId="3" type="noConversion"/>
  </si>
  <si>
    <t xml:space="preserve">LIU YICHEN  </t>
    <phoneticPr fontId="3" type="noConversion"/>
  </si>
  <si>
    <t xml:space="preserve">LIU YICHEN FU HUI </t>
    <phoneticPr fontId="3" type="noConversion"/>
  </si>
  <si>
    <t>LIU YI CHEN</t>
    <phoneticPr fontId="3" type="noConversion"/>
  </si>
  <si>
    <t>96202780/TERENCELYC@GMAIL.COM</t>
    <phoneticPr fontId="3" type="noConversion"/>
  </si>
  <si>
    <t>756 UPPER SERANGOON ROAD #04-38_x000B_UPPER SERANGOON SHOPPING CENTRE</t>
    <phoneticPr fontId="3" type="noConversion"/>
  </si>
  <si>
    <t>201542087E</t>
    <phoneticPr fontId="3" type="noConversion"/>
  </si>
  <si>
    <t>GAO&amp;LIM TRADING PTE. LTD</t>
    <phoneticPr fontId="3" type="noConversion"/>
  </si>
  <si>
    <t xml:space="preserve">GAO XUEMEI LIM KWEE TIONG </t>
    <phoneticPr fontId="3" type="noConversion"/>
  </si>
  <si>
    <t xml:space="preserve">GAO XUEMEI  </t>
    <phoneticPr fontId="3" type="noConversion"/>
  </si>
  <si>
    <t>GAO XUEMEI</t>
    <phoneticPr fontId="3" type="noConversion"/>
  </si>
  <si>
    <t>96164683/1254232840@qq.com</t>
    <phoneticPr fontId="3" type="noConversion"/>
  </si>
  <si>
    <t>31 WOODLANDS CLOSE #08-31 WOODLANDS HORIZON SINGAPORE(737855)</t>
    <phoneticPr fontId="3" type="noConversion"/>
  </si>
  <si>
    <t>201542819N</t>
    <phoneticPr fontId="3" type="noConversion"/>
  </si>
  <si>
    <t>QUANTECH TRADING &amp; CAPITAL MANAGEMENT PTE. LTD</t>
    <phoneticPr fontId="3" type="noConversion"/>
  </si>
  <si>
    <t xml:space="preserve">YU BEN  </t>
    <phoneticPr fontId="3" type="noConversion"/>
  </si>
  <si>
    <t>YUN BEN</t>
    <phoneticPr fontId="3" type="noConversion"/>
  </si>
  <si>
    <t>93802370/YUNBENS@HOTMAIL.COM</t>
    <phoneticPr fontId="3" type="noConversion"/>
  </si>
  <si>
    <t>10 WEST COAST RESCENT #03-01 SINGAPORE 128041</t>
    <phoneticPr fontId="3" type="noConversion"/>
  </si>
  <si>
    <t>201542826N</t>
    <phoneticPr fontId="3" type="noConversion"/>
  </si>
  <si>
    <t>SINGAPORE CAMBO BIOLOGICAL TECHNOLOGY PTE. LTD</t>
    <phoneticPr fontId="3" type="noConversion"/>
  </si>
  <si>
    <t xml:space="preserve">CHINA GREENFRESH GROUP CO.LIMITED  </t>
    <phoneticPr fontId="3" type="noConversion"/>
  </si>
  <si>
    <t>60 PAYA LEBAR ROAD #09-06 PAYA LEBAR SQUARE SINGAPORE(409051)</t>
    <phoneticPr fontId="3" type="noConversion"/>
  </si>
  <si>
    <t>201543732E</t>
    <phoneticPr fontId="3" type="noConversion"/>
  </si>
  <si>
    <t>CHONG QING XIAO TIAN E STEAMBOAT PTE. LTD</t>
    <phoneticPr fontId="3" type="noConversion"/>
  </si>
  <si>
    <t xml:space="preserve">YUAN FEI  </t>
    <phoneticPr fontId="3" type="noConversion"/>
  </si>
  <si>
    <t xml:space="preserve">ZHENG LIPING  </t>
    <phoneticPr fontId="3" type="noConversion"/>
  </si>
  <si>
    <t>ZHENG LIPING</t>
    <phoneticPr fontId="3" type="noConversion"/>
  </si>
  <si>
    <t>93370197/zgmmxzg@126.com</t>
    <phoneticPr fontId="3" type="noConversion"/>
  </si>
  <si>
    <t>201543886G</t>
    <phoneticPr fontId="3" type="noConversion"/>
  </si>
  <si>
    <t>ONE PIECE EXPRESS PTE. LTD</t>
    <phoneticPr fontId="3" type="noConversion"/>
  </si>
  <si>
    <t xml:space="preserve">LI SHUAI  </t>
    <phoneticPr fontId="3" type="noConversion"/>
  </si>
  <si>
    <t>LI SHUAI</t>
    <phoneticPr fontId="3" type="noConversion"/>
  </si>
  <si>
    <t>84226776/Lishuai1989225@gmail.com</t>
    <phoneticPr fontId="3" type="noConversion"/>
  </si>
  <si>
    <t>10 ANSON ROAD #26-04 INTERNATIONA PLAZA SINGAPORE 079903</t>
    <phoneticPr fontId="3" type="noConversion"/>
  </si>
  <si>
    <t>201602210Z</t>
    <phoneticPr fontId="3" type="noConversion"/>
  </si>
  <si>
    <t>HUA FEI INTERNATIONAL PTE. LTD</t>
    <phoneticPr fontId="3" type="noConversion"/>
  </si>
  <si>
    <t xml:space="preserve">WANG YONGMEI  </t>
    <phoneticPr fontId="3" type="noConversion"/>
  </si>
  <si>
    <t xml:space="preserve"> WANG YONGMEI</t>
    <phoneticPr fontId="3" type="noConversion"/>
  </si>
  <si>
    <t>243313998@qq.com</t>
    <phoneticPr fontId="3" type="noConversion"/>
  </si>
  <si>
    <t>60PAYA LEBAR ROAD #09-06 PAYA LEBAR SQUARE SINGAPORE 409051</t>
    <phoneticPr fontId="3" type="noConversion"/>
  </si>
  <si>
    <t>201602505E</t>
    <phoneticPr fontId="3" type="noConversion"/>
  </si>
  <si>
    <t>NIA ENTERPRISE PTE.LTD</t>
    <phoneticPr fontId="3" type="noConversion"/>
  </si>
  <si>
    <t>ZHANG YANYU</t>
    <phoneticPr fontId="3" type="noConversion"/>
  </si>
  <si>
    <t>96582468/nadaesabsoluto@gmail.com</t>
    <phoneticPr fontId="3" type="noConversion"/>
  </si>
  <si>
    <t>201602943M</t>
    <phoneticPr fontId="3" type="noConversion"/>
  </si>
  <si>
    <t>XUANSHENG EDUCATION INVESTMENT &amp; MANAGEMENT PTE. LTD</t>
    <phoneticPr fontId="3" type="noConversion"/>
  </si>
  <si>
    <t>LIU YIWEI</t>
    <phoneticPr fontId="3" type="noConversion"/>
  </si>
  <si>
    <t>94789116/luyiweivicky@gmail.com / 779432730@qq.com</t>
    <phoneticPr fontId="3" type="noConversion"/>
  </si>
  <si>
    <t>201606538C</t>
    <phoneticPr fontId="3" type="noConversion"/>
  </si>
  <si>
    <t>SUN SUN HOLDING PTE. LTD</t>
    <phoneticPr fontId="3" type="noConversion"/>
  </si>
  <si>
    <t xml:space="preserve">SUN JUN  </t>
    <phoneticPr fontId="3" type="noConversion"/>
  </si>
  <si>
    <t>201607340N</t>
    <phoneticPr fontId="3" type="noConversion"/>
  </si>
  <si>
    <t>CENTRA TECHNOLOGIES PTE. LTD</t>
    <phoneticPr fontId="3" type="noConversion"/>
  </si>
  <si>
    <t xml:space="preserve">RAJESH  </t>
    <phoneticPr fontId="3" type="noConversion"/>
  </si>
  <si>
    <t>RAJESH</t>
    <phoneticPr fontId="3" type="noConversion"/>
  </si>
  <si>
    <t>rajesh@centrahub.com</t>
    <phoneticPr fontId="3" type="noConversion"/>
  </si>
  <si>
    <t>201609164G</t>
    <phoneticPr fontId="3" type="noConversion"/>
  </si>
  <si>
    <t>DINGOO INDUSTRY PTE.LTD</t>
    <phoneticPr fontId="3" type="noConversion"/>
  </si>
  <si>
    <t xml:space="preserve">DU ZHIPENG  </t>
    <phoneticPr fontId="3" type="noConversion"/>
  </si>
  <si>
    <t>LIU KUN</t>
    <phoneticPr fontId="3" type="noConversion"/>
  </si>
  <si>
    <t>ldragonk@gmail.com</t>
    <phoneticPr fontId="3" type="noConversion"/>
  </si>
  <si>
    <t>201611524C</t>
    <phoneticPr fontId="3" type="noConversion"/>
  </si>
  <si>
    <t>SINGAPORE HOLLY BIOTECHNOLOGY PTE. LTD</t>
    <phoneticPr fontId="3" type="noConversion"/>
  </si>
  <si>
    <t xml:space="preserve">REN JI CHEN SHUPING </t>
    <phoneticPr fontId="3" type="noConversion"/>
  </si>
  <si>
    <t xml:space="preserve">CHEN SHUPING  </t>
    <phoneticPr fontId="3" type="noConversion"/>
  </si>
  <si>
    <t>201616083R</t>
    <phoneticPr fontId="3" type="noConversion"/>
  </si>
  <si>
    <t>LE SIGN &amp; PRINT PTE. LTD</t>
    <phoneticPr fontId="3" type="noConversion"/>
  </si>
  <si>
    <t xml:space="preserve">YEO LEY ENG  </t>
    <phoneticPr fontId="3" type="noConversion"/>
  </si>
  <si>
    <t>leyeng06</t>
    <phoneticPr fontId="3" type="noConversion"/>
  </si>
  <si>
    <t>67458318/leyeng06@gmail.com</t>
    <phoneticPr fontId="3" type="noConversion"/>
  </si>
  <si>
    <t>12 LORONG BAKAR BATU #03-05 SINGAPORE 348745</t>
    <phoneticPr fontId="3" type="noConversion"/>
  </si>
  <si>
    <t>201616319K</t>
    <phoneticPr fontId="3" type="noConversion"/>
  </si>
  <si>
    <t>ESIN HOUSE PTE. LTD</t>
    <phoneticPr fontId="3" type="noConversion"/>
  </si>
  <si>
    <t xml:space="preserve">ESIN GROUP PTE.LTD.  </t>
    <phoneticPr fontId="3" type="noConversion"/>
  </si>
  <si>
    <t>201616421R</t>
    <phoneticPr fontId="3" type="noConversion"/>
  </si>
  <si>
    <t>COLUCK PTE. LTD</t>
    <phoneticPr fontId="3" type="noConversion"/>
  </si>
  <si>
    <t xml:space="preserve">WANG YU  </t>
    <phoneticPr fontId="3" type="noConversion"/>
  </si>
  <si>
    <t>WANG YU</t>
    <phoneticPr fontId="3" type="noConversion"/>
  </si>
  <si>
    <t>1 SUNVIEW ROAD #08-69 ECO-TECH@SUNVIEW SINGAPORE 627615</t>
    <phoneticPr fontId="3" type="noConversion"/>
  </si>
  <si>
    <t>201618592D</t>
    <phoneticPr fontId="3" type="noConversion"/>
  </si>
  <si>
    <t>JASON MARINE SERVICE PTE. LTD</t>
    <phoneticPr fontId="3" type="noConversion"/>
  </si>
  <si>
    <t xml:space="preserve">SHU SHEYU  </t>
    <phoneticPr fontId="3" type="noConversion"/>
  </si>
  <si>
    <t>SHU SHEYU</t>
    <phoneticPr fontId="3" type="noConversion"/>
  </si>
  <si>
    <t>96543615/SHEYUSHU@YAHOO.COM.SG</t>
    <phoneticPr fontId="3" type="noConversion"/>
  </si>
  <si>
    <t>201619388D</t>
    <phoneticPr fontId="3" type="noConversion"/>
  </si>
  <si>
    <t>LIYAN INTERNATIONAL TRADING PTE. LTD</t>
    <phoneticPr fontId="3" type="noConversion"/>
  </si>
  <si>
    <t xml:space="preserve">WANG MAOFANG  TAN KIM LEE </t>
    <phoneticPr fontId="3" type="noConversion"/>
  </si>
  <si>
    <t>WANG MIAOFANG DU MING WANG BIFANG</t>
    <phoneticPr fontId="3" type="noConversion"/>
  </si>
  <si>
    <t>liyaninternational@gmail.com</t>
    <phoneticPr fontId="3" type="noConversion"/>
  </si>
  <si>
    <t>2 VENTURE DRIVE #06-31 VISION EXCHANGE SINGAPORE 608526</t>
    <phoneticPr fontId="3" type="noConversion"/>
  </si>
  <si>
    <t>201621129R</t>
    <phoneticPr fontId="3" type="noConversion"/>
  </si>
  <si>
    <t>M3 DIGITAL HUB PTE. LTD</t>
    <phoneticPr fontId="3" type="noConversion"/>
  </si>
  <si>
    <t>KONGYUWU HUANG WEI OUYANG XIANG</t>
    <phoneticPr fontId="3" type="noConversion"/>
  </si>
  <si>
    <t>OUYANG XIANG HUANG WEI KONG YUNWU</t>
    <phoneticPr fontId="3" type="noConversion"/>
  </si>
  <si>
    <t>OUYANG XIANG</t>
    <phoneticPr fontId="3" type="noConversion"/>
  </si>
  <si>
    <t>91896563/flybarton@gmail.com</t>
    <phoneticPr fontId="3" type="noConversion"/>
  </si>
  <si>
    <t>180 KITCHENER ROAD#03-19 CITY SQUARE MALL SINGAPORE(208529)</t>
    <phoneticPr fontId="3" type="noConversion"/>
  </si>
  <si>
    <t>201621828G</t>
    <phoneticPr fontId="3" type="noConversion"/>
  </si>
  <si>
    <t>STAR DREAM PTE. LTD</t>
    <phoneticPr fontId="3" type="noConversion"/>
  </si>
  <si>
    <t xml:space="preserve">HU WENJING  </t>
    <phoneticPr fontId="3" type="noConversion"/>
  </si>
  <si>
    <t>FU CHENGCHENG</t>
    <phoneticPr fontId="3" type="noConversion"/>
  </si>
  <si>
    <t>83478027/harpersislands@gmail.com</t>
    <phoneticPr fontId="3" type="noConversion"/>
  </si>
  <si>
    <t>38 LORONG 30 GEYLANG #06-15 GUILLEMARD EDGES SINGPORE 398371</t>
    <phoneticPr fontId="3" type="noConversion"/>
  </si>
  <si>
    <t>201622350C</t>
    <phoneticPr fontId="3" type="noConversion"/>
  </si>
  <si>
    <t>WANG &amp; GE TRADING PTE. LTD</t>
    <phoneticPr fontId="3" type="noConversion"/>
  </si>
  <si>
    <t xml:space="preserve">GE XIN  </t>
    <phoneticPr fontId="3" type="noConversion"/>
  </si>
  <si>
    <t xml:space="preserve">WANG YUE GE XIN </t>
    <phoneticPr fontId="3" type="noConversion"/>
  </si>
  <si>
    <t xml:space="preserve">WANG YUE </t>
    <phoneticPr fontId="3" type="noConversion"/>
  </si>
  <si>
    <t>1 ROCHOR CANAL ROAD #-21 SIM LIM SQUARE SINGAPORE 188504</t>
    <phoneticPr fontId="3" type="noConversion"/>
  </si>
  <si>
    <t>201622505C</t>
    <phoneticPr fontId="3" type="noConversion"/>
  </si>
  <si>
    <t>SOHU INTERNATIONAL TRADING PTE.LTD</t>
    <phoneticPr fontId="3" type="noConversion"/>
  </si>
  <si>
    <t>LIU ZHENG</t>
    <phoneticPr fontId="3" type="noConversion"/>
  </si>
  <si>
    <t xml:space="preserve">WANG CHAO  </t>
    <phoneticPr fontId="3" type="noConversion"/>
  </si>
  <si>
    <t>809 FRENCH ROAD #06-156 KITCHENER COMPLEX SINGAPORE(200809)
6, EU TONG SEN STREET, #06-21, THE CENTRAL, SINGAPORE 059817</t>
    <phoneticPr fontId="3" type="noConversion"/>
  </si>
  <si>
    <t>201623281M</t>
    <phoneticPr fontId="3" type="noConversion"/>
  </si>
  <si>
    <t>SINGAPORE INTELLIGENT HEALTHCARE RESEARCH CENTRE PTE. LTD</t>
    <phoneticPr fontId="3" type="noConversion"/>
  </si>
  <si>
    <t xml:space="preserve">REN JI  </t>
    <phoneticPr fontId="3" type="noConversion"/>
  </si>
  <si>
    <t>201623739H</t>
    <phoneticPr fontId="3" type="noConversion"/>
  </si>
  <si>
    <t>AMORNING E-LEARNING TECHNOLOGY PTE. LTD</t>
    <phoneticPr fontId="3" type="noConversion"/>
  </si>
  <si>
    <t xml:space="preserve">REN YUANCHUN  </t>
    <phoneticPr fontId="3" type="noConversion"/>
  </si>
  <si>
    <t>YANG JIN YANG TAO REN YUANCHUN</t>
    <phoneticPr fontId="3" type="noConversion"/>
  </si>
  <si>
    <t>YANG TAO</t>
    <phoneticPr fontId="3" type="noConversion"/>
  </si>
  <si>
    <t>90595319/YANGTAO.AM@qq.com</t>
    <phoneticPr fontId="3" type="noConversion"/>
  </si>
  <si>
    <t>201623742R</t>
    <phoneticPr fontId="3" type="noConversion"/>
  </si>
  <si>
    <t>F&amp;Y TRADING PTE. LTD</t>
    <phoneticPr fontId="3" type="noConversion"/>
  </si>
  <si>
    <t xml:space="preserve">FU LUYUN  </t>
    <phoneticPr fontId="3" type="noConversion"/>
  </si>
  <si>
    <t xml:space="preserve">YUAN JINXIAO FU LUYUN </t>
    <phoneticPr fontId="3" type="noConversion"/>
  </si>
  <si>
    <t>FU LUYUN</t>
    <phoneticPr fontId="3" type="noConversion"/>
  </si>
  <si>
    <t>82276666/NOVATRUST.SG@gmail.com</t>
    <phoneticPr fontId="3" type="noConversion"/>
  </si>
  <si>
    <t>627 ALJUNIED ROAD #02-2014 PACIFIC BUILDING SINGAPORE 389837</t>
    <phoneticPr fontId="3" type="noConversion"/>
  </si>
  <si>
    <t>201624010Z</t>
    <phoneticPr fontId="3" type="noConversion"/>
  </si>
  <si>
    <t>INTERNATIONAL CULTURAL PTE.LTD</t>
    <phoneticPr fontId="3" type="noConversion"/>
  </si>
  <si>
    <t xml:space="preserve">ZHANG ZHAOXIN  </t>
    <phoneticPr fontId="3" type="noConversion"/>
  </si>
  <si>
    <t>ZHAO XING</t>
    <phoneticPr fontId="3" type="noConversion"/>
  </si>
  <si>
    <t>98926802/zhaoxin.zhang5555@gmail.com</t>
    <phoneticPr fontId="3" type="noConversion"/>
  </si>
  <si>
    <t>246 GEYLANG ROAD SINGAPORE 289305</t>
    <phoneticPr fontId="3" type="noConversion"/>
  </si>
  <si>
    <t>201624888M</t>
    <phoneticPr fontId="3" type="noConversion"/>
  </si>
  <si>
    <t>SOUTH COIN PTE. LTD</t>
    <phoneticPr fontId="3" type="noConversion"/>
  </si>
  <si>
    <t xml:space="preserve">REN JI  CHAO LONG </t>
    <phoneticPr fontId="3" type="noConversion"/>
  </si>
  <si>
    <t xml:space="preserve">CHAO LONG  </t>
    <phoneticPr fontId="3" type="noConversion"/>
  </si>
  <si>
    <t>201701129D</t>
    <phoneticPr fontId="3" type="noConversion"/>
  </si>
  <si>
    <t>YAAN AIR AGILE ENTERPRISE PTE. LTD</t>
    <phoneticPr fontId="3" type="noConversion"/>
  </si>
  <si>
    <t>REN JI</t>
    <phoneticPr fontId="3" type="noConversion"/>
  </si>
  <si>
    <t xml:space="preserve">LIU,DING CHUNG HSIAO,AN TAI </t>
    <phoneticPr fontId="3" type="noConversion"/>
  </si>
  <si>
    <t xml:space="preserve">HSIAO,AN-TAI LIU DING CHUNG </t>
    <phoneticPr fontId="3" type="noConversion"/>
  </si>
  <si>
    <t>HIASO AN-TAI</t>
    <phoneticPr fontId="3" type="noConversion"/>
  </si>
  <si>
    <t>+886 936297875/andy@yaan.com.tw  Andyhsiao0708@gmail.com</t>
    <phoneticPr fontId="3" type="noConversion"/>
  </si>
  <si>
    <t>201701181M</t>
    <phoneticPr fontId="3" type="noConversion"/>
  </si>
  <si>
    <t>CONFIDENCE(SINGAPORE)TRANSPORT&amp;TRADING PTE. LTD</t>
    <phoneticPr fontId="3" type="noConversion"/>
  </si>
  <si>
    <t xml:space="preserve">REN XIN  </t>
    <phoneticPr fontId="3" type="noConversion"/>
  </si>
  <si>
    <t>201702347M</t>
    <phoneticPr fontId="3" type="noConversion"/>
  </si>
  <si>
    <t>STREAM PROJECTS INTERNATIONAL PTE. LTD</t>
    <phoneticPr fontId="3" type="noConversion"/>
  </si>
  <si>
    <t xml:space="preserve">LI HONG  </t>
    <phoneticPr fontId="3" type="noConversion"/>
  </si>
  <si>
    <t>LI HONG</t>
    <phoneticPr fontId="3" type="noConversion"/>
  </si>
  <si>
    <t>82282208/lihong@streamsg.com</t>
    <phoneticPr fontId="3" type="noConversion"/>
  </si>
  <si>
    <t>201702390Z</t>
    <phoneticPr fontId="3" type="noConversion"/>
  </si>
  <si>
    <t>LUX BEAUTE INTERNATIONAL PTE.LTD</t>
    <phoneticPr fontId="3" type="noConversion"/>
  </si>
  <si>
    <t>THONG LAY LENG</t>
    <phoneticPr fontId="3" type="noConversion"/>
  </si>
  <si>
    <t xml:space="preserve">WU CHU KAI  </t>
    <phoneticPr fontId="3" type="noConversion"/>
  </si>
  <si>
    <t>1 TANNERY ROAD #02-01 ONE TANNERY SINGAPORE 347719</t>
    <phoneticPr fontId="3" type="noConversion"/>
  </si>
  <si>
    <t>201703532K</t>
    <phoneticPr fontId="3" type="noConversion"/>
  </si>
  <si>
    <t>WTM GLOBAL PTE. LTD</t>
    <phoneticPr fontId="3" type="noConversion"/>
  </si>
  <si>
    <t xml:space="preserve">LIM KING LEONG TONY MAYUR PRADIP CHEDE </t>
    <phoneticPr fontId="3" type="noConversion"/>
  </si>
  <si>
    <t>TONY LIM</t>
    <phoneticPr fontId="3" type="noConversion"/>
  </si>
  <si>
    <t>96355531/tonylim.king@gmail.com</t>
    <phoneticPr fontId="3" type="noConversion"/>
  </si>
  <si>
    <t>201703719K</t>
    <phoneticPr fontId="3" type="noConversion"/>
  </si>
  <si>
    <t>TLNET PTE. LTD</t>
    <phoneticPr fontId="3" type="noConversion"/>
  </si>
  <si>
    <t xml:space="preserve">LI XIAOLU  </t>
    <phoneticPr fontId="3" type="noConversion"/>
  </si>
  <si>
    <t xml:space="preserve">XU PEI LI XIAOLU </t>
    <phoneticPr fontId="3" type="noConversion"/>
  </si>
  <si>
    <t>TAO JIANGBO</t>
    <phoneticPr fontId="3" type="noConversion"/>
  </si>
  <si>
    <t>96806517/tjb211@gmail.com</t>
    <phoneticPr fontId="3" type="noConversion"/>
  </si>
  <si>
    <t>297 BEDOK SOUTH AVENUE 3 #12-05 BEDOK COURT SINGAPORE 469297</t>
    <phoneticPr fontId="3" type="noConversion"/>
  </si>
  <si>
    <t>201704064N</t>
    <phoneticPr fontId="3" type="noConversion"/>
  </si>
  <si>
    <t>MATCH GLOBAL TRADING PTE. LTD</t>
    <phoneticPr fontId="3" type="noConversion"/>
  </si>
  <si>
    <t xml:space="preserve">NI RUGANG  </t>
    <phoneticPr fontId="3" type="noConversion"/>
  </si>
  <si>
    <t xml:space="preserve">NI RUGANG GUO SHIWEN </t>
    <phoneticPr fontId="3" type="noConversion"/>
  </si>
  <si>
    <t>XU RONGJIA</t>
    <phoneticPr fontId="3" type="noConversion"/>
  </si>
  <si>
    <t>94258533/nirugang.mlc@gmail.com</t>
    <phoneticPr fontId="3" type="noConversion"/>
  </si>
  <si>
    <t>8 BIOON LAY WAY #10-15 8@TRADEHUB 21 SINGAPORE 609964</t>
    <phoneticPr fontId="3" type="noConversion"/>
  </si>
  <si>
    <t>201705823E</t>
    <phoneticPr fontId="3" type="noConversion"/>
  </si>
  <si>
    <t>INFINITUS LEARNING PTE. LTD</t>
    <phoneticPr fontId="3" type="noConversion"/>
  </si>
  <si>
    <t xml:space="preserve">ZHONG XIONGHU  </t>
    <phoneticPr fontId="3" type="noConversion"/>
  </si>
  <si>
    <t>28 WOODLANDS CRESCENT #15-19 NORTHOAKS SINGAPORE 738085</t>
    <phoneticPr fontId="3" type="noConversion"/>
  </si>
  <si>
    <t>201707764E</t>
    <phoneticPr fontId="3" type="noConversion"/>
  </si>
  <si>
    <t>INTELLIGENCE EYE PTE. LTD</t>
    <phoneticPr fontId="3" type="noConversion"/>
  </si>
  <si>
    <t xml:space="preserve">YI JIAJUN  </t>
    <phoneticPr fontId="3" type="noConversion"/>
  </si>
  <si>
    <t xml:space="preserve">LI JIAJUN  </t>
    <phoneticPr fontId="3" type="noConversion"/>
  </si>
  <si>
    <t>LI JIAJUN</t>
    <phoneticPr fontId="3" type="noConversion"/>
  </si>
  <si>
    <t>94723163/KRIK32510@GMAIL.COM</t>
    <phoneticPr fontId="3" type="noConversion"/>
  </si>
  <si>
    <t>201710822K</t>
    <phoneticPr fontId="3" type="noConversion"/>
  </si>
  <si>
    <t>CROSSLAND EDUCATION &amp; ENRICHMENT SCHOOL PTE. LTD</t>
    <phoneticPr fontId="3" type="noConversion"/>
  </si>
  <si>
    <t xml:space="preserve">GAO XING  </t>
    <phoneticPr fontId="3" type="noConversion"/>
  </si>
  <si>
    <t>60 PAYA LEBAR ROAD #09-06 PAYA LEBAR SQUARE SINGAPORE 409051\\\\</t>
    <phoneticPr fontId="3" type="noConversion"/>
  </si>
  <si>
    <t>201720294M</t>
    <phoneticPr fontId="3" type="noConversion"/>
  </si>
  <si>
    <t>ESIN VISA PTE. LTD</t>
    <phoneticPr fontId="3" type="noConversion"/>
  </si>
  <si>
    <t xml:space="preserve">ESIN GROP PTE.LTD.  </t>
    <phoneticPr fontId="3" type="noConversion"/>
  </si>
  <si>
    <t>201720296N</t>
    <phoneticPr fontId="3" type="noConversion"/>
  </si>
  <si>
    <t>ESIN IMMIGRATION PTE. LTD</t>
    <phoneticPr fontId="3" type="noConversion"/>
  </si>
  <si>
    <t xml:space="preserve">ESIN VISA PTE.LTD. EMMANUEL&amp;GRACE INC. </t>
    <phoneticPr fontId="3" type="noConversion"/>
  </si>
  <si>
    <t>201721120C</t>
    <phoneticPr fontId="3" type="noConversion"/>
  </si>
  <si>
    <t>RISEN CHN PTE. LTD</t>
    <phoneticPr fontId="3" type="noConversion"/>
  </si>
  <si>
    <t xml:space="preserve">JIANG ZIDONG CHAN AH LI@CHAN HEUNG </t>
    <phoneticPr fontId="3" type="noConversion"/>
  </si>
  <si>
    <t>JIANG ZIDONG</t>
    <phoneticPr fontId="3" type="noConversion"/>
  </si>
  <si>
    <t>AEN101@GMAIL.COM/68223908</t>
    <phoneticPr fontId="3" type="noConversion"/>
  </si>
  <si>
    <t>201721480C</t>
    <phoneticPr fontId="3" type="noConversion"/>
  </si>
  <si>
    <t>TT NET PTE. LTD</t>
    <phoneticPr fontId="3" type="noConversion"/>
  </si>
  <si>
    <t xml:space="preserve">JIANG WENTAO  </t>
    <phoneticPr fontId="3" type="noConversion"/>
  </si>
  <si>
    <t>21C SIMEI STREET 4 #06-51 DOUBLE BAY RESIDENCES SINGAPORE 528720</t>
    <phoneticPr fontId="3" type="noConversion"/>
  </si>
  <si>
    <t>201724665H</t>
    <phoneticPr fontId="3" type="noConversion"/>
  </si>
  <si>
    <t>LIGHT YI PTE. LTD</t>
    <phoneticPr fontId="3" type="noConversion"/>
  </si>
  <si>
    <t xml:space="preserve">TEO KIM CHUA  </t>
    <phoneticPr fontId="3" type="noConversion"/>
  </si>
  <si>
    <t xml:space="preserve">LIUFU RIMEI TEO KIM CHUA </t>
    <phoneticPr fontId="3" type="noConversion"/>
  </si>
  <si>
    <t>10 JALAN KUKOH #03-59 CHIN SWEE VIEW SINGAPORE 162010</t>
    <phoneticPr fontId="3" type="noConversion"/>
  </si>
  <si>
    <t>201728673E</t>
    <phoneticPr fontId="3" type="noConversion"/>
  </si>
  <si>
    <t>KINGLEY CONSULTING PTE. LTD</t>
    <phoneticPr fontId="3" type="noConversion"/>
  </si>
  <si>
    <t xml:space="preserve">LIN MING  </t>
    <phoneticPr fontId="3" type="noConversion"/>
  </si>
  <si>
    <t>15 MCNAIR ROAD TOWNERVILLE SINGAPORE 328521</t>
    <phoneticPr fontId="3" type="noConversion"/>
  </si>
  <si>
    <t>201731031H</t>
    <phoneticPr fontId="3" type="noConversion"/>
  </si>
  <si>
    <t>SINHAI INTERNATIONAL INVESTMENT HOLDING GROUP(SINGAPORE) PTE. LTD</t>
    <phoneticPr fontId="3" type="noConversion"/>
  </si>
  <si>
    <t xml:space="preserve">CONG CHEN ZHOU KUN </t>
    <phoneticPr fontId="3" type="noConversion"/>
  </si>
  <si>
    <t xml:space="preserve">SINHAI INTERNATIONAL INVESTMENT HOLDING GROUP LTD  </t>
    <phoneticPr fontId="3" type="noConversion"/>
  </si>
  <si>
    <t>ZHANG SAILING</t>
    <phoneticPr fontId="3" type="noConversion"/>
  </si>
  <si>
    <t>98586652/236360897@QQ.COM</t>
    <phoneticPr fontId="3" type="noConversion"/>
  </si>
  <si>
    <t>1015 GEYLANG EAST AVENUE 3 #02-131 GEYLANG EAST INDUSTRIAL ESTATE SINGAPORE 389730</t>
    <phoneticPr fontId="3" type="noConversion"/>
  </si>
  <si>
    <t>201732170Z</t>
    <phoneticPr fontId="3" type="noConversion"/>
  </si>
  <si>
    <t>RELOCATION CONSULTANCY PTE. LTD</t>
    <phoneticPr fontId="3" type="noConversion"/>
  </si>
  <si>
    <t xml:space="preserve">SOON LEE MEI  </t>
    <phoneticPr fontId="3" type="noConversion"/>
  </si>
  <si>
    <t xml:space="preserve">ZHOU YUAN  </t>
    <phoneticPr fontId="3" type="noConversion"/>
  </si>
  <si>
    <t>118 JALAN SENANG SINGAPORE 418297</t>
    <phoneticPr fontId="3" type="noConversion"/>
  </si>
  <si>
    <t>201732892H</t>
    <phoneticPr fontId="3" type="noConversion"/>
  </si>
  <si>
    <t>TRACKING CONSULTING PTE. LTD</t>
    <phoneticPr fontId="3" type="noConversion"/>
  </si>
  <si>
    <t>RENJI</t>
    <phoneticPr fontId="3" type="noConversion"/>
  </si>
  <si>
    <t xml:space="preserve">WU JINXIANG  </t>
    <phoneticPr fontId="3" type="noConversion"/>
  </si>
  <si>
    <t>201733823G</t>
    <phoneticPr fontId="3" type="noConversion"/>
  </si>
  <si>
    <t>SMARTISAN PTE. LTD</t>
    <phoneticPr fontId="3" type="noConversion"/>
  </si>
  <si>
    <t xml:space="preserve">WU XULING  </t>
    <phoneticPr fontId="3" type="noConversion"/>
  </si>
  <si>
    <t>20 KOVAN CLOSE SINGAPORE 548208</t>
    <phoneticPr fontId="3" type="noConversion"/>
  </si>
  <si>
    <t>201734641W</t>
    <phoneticPr fontId="3" type="noConversion"/>
  </si>
  <si>
    <t>SAILING INTERNATIONAL TRADING PTE. LTD</t>
    <phoneticPr fontId="3" type="noConversion"/>
  </si>
  <si>
    <t xml:space="preserve">SELF WORLD INTERNATIONAL TRADING LTD  </t>
    <phoneticPr fontId="3" type="noConversion"/>
  </si>
  <si>
    <t>201735970E</t>
    <phoneticPr fontId="3" type="noConversion"/>
  </si>
  <si>
    <t>GLOBAL FRONTIER ASSET MANAGEMENT PTE. LTD</t>
    <phoneticPr fontId="3" type="noConversion"/>
  </si>
  <si>
    <t xml:space="preserve">WANG MUDAN  CHIA ZHAO CAI,ANDY(XIE ZHAOCAI) </t>
    <phoneticPr fontId="3" type="noConversion"/>
  </si>
  <si>
    <t xml:space="preserve">WANG KUNCHENG WANG MUDAN </t>
    <phoneticPr fontId="3" type="noConversion"/>
  </si>
  <si>
    <t>7 TEMASEK BOULEVARD #22-03 SUNTEC TOWER ONE SINGAPORE 038987</t>
    <phoneticPr fontId="3" type="noConversion"/>
  </si>
  <si>
    <t>201806039G</t>
    <phoneticPr fontId="3" type="noConversion"/>
  </si>
  <si>
    <t>PANGOLIN TECHNOLOGY PTE. LTD</t>
    <phoneticPr fontId="3" type="noConversion"/>
  </si>
  <si>
    <t xml:space="preserve"> WU BAOTONG </t>
    <phoneticPr fontId="3" type="noConversion"/>
  </si>
  <si>
    <t xml:space="preserve">WU BAOTIONG  </t>
    <phoneticPr fontId="3" type="noConversion"/>
  </si>
  <si>
    <t xml:space="preserve">	10000</t>
    <phoneticPr fontId="3" type="noConversion"/>
  </si>
  <si>
    <t xml:space="preserve">60 PAYA LEBAR ROAD #09-06PAYA LEBAR SQUARE SINGAPORE 409051
6 EU TONG SEN STREET #06-21 THE CENTRAL SINGAPORE 059817
</t>
    <phoneticPr fontId="3" type="noConversion"/>
  </si>
  <si>
    <t>201806967N</t>
    <phoneticPr fontId="3" type="noConversion"/>
  </si>
  <si>
    <t>TRENDY INVESTMENT CONSULTANT PTE. LTD</t>
    <phoneticPr fontId="3" type="noConversion"/>
  </si>
  <si>
    <t xml:space="preserve">CHAN KA MAN  </t>
    <phoneticPr fontId="3" type="noConversion"/>
  </si>
  <si>
    <t xml:space="preserve">TRENDY INVESTMENT CONSULTANT LIMITED  </t>
    <phoneticPr fontId="3" type="noConversion"/>
  </si>
  <si>
    <t>201807987R</t>
    <phoneticPr fontId="3" type="noConversion"/>
  </si>
  <si>
    <t>MASTER SELECT GROUP PTE. LTD</t>
    <phoneticPr fontId="3" type="noConversion"/>
  </si>
  <si>
    <t>LIU YUN KUEN</t>
    <phoneticPr fontId="3" type="noConversion"/>
  </si>
  <si>
    <t xml:space="preserve">LIU YUN KUEN  </t>
    <phoneticPr fontId="3" type="noConversion"/>
  </si>
  <si>
    <t>60 PAYA LEBAR ROAD #09-06_x000B_PAYA LEBAR SQUARE,SINGAPORE(409051)</t>
    <phoneticPr fontId="3" type="noConversion"/>
  </si>
  <si>
    <t>201812475E</t>
    <phoneticPr fontId="3" type="noConversion"/>
  </si>
  <si>
    <t>SEA HUA INTERNATIONAL TRADING PTE.LTD</t>
    <phoneticPr fontId="3" type="noConversion"/>
  </si>
  <si>
    <t>GING LEE HENGG</t>
  </si>
  <si>
    <t xml:space="preserve"> ZHENG JINGHUA </t>
    <phoneticPr fontId="3" type="noConversion"/>
  </si>
  <si>
    <t xml:space="preserve">ZHENG JINGHUA  </t>
    <phoneticPr fontId="3" type="noConversion"/>
  </si>
  <si>
    <t>JIA HONGYAN</t>
  </si>
  <si>
    <t>ZHENG JINGHUA</t>
    <phoneticPr fontId="3" type="noConversion"/>
  </si>
  <si>
    <t>+86 13606925396/617859087@qq.com</t>
    <phoneticPr fontId="3" type="noConversion"/>
  </si>
  <si>
    <t>6, EU TONG SEN STREET, #06-21, THE CENTRAL, SINGAPORE 059817</t>
  </si>
  <si>
    <t>201812997N</t>
    <phoneticPr fontId="3" type="noConversion"/>
  </si>
  <si>
    <t>SUPRA CAPITAL MANAGEMENT PTE.LTD</t>
    <phoneticPr fontId="3" type="noConversion"/>
  </si>
  <si>
    <t xml:space="preserve">LTU TAO  </t>
    <phoneticPr fontId="3" type="noConversion"/>
  </si>
  <si>
    <t xml:space="preserve">LYU TAO  </t>
    <phoneticPr fontId="3" type="noConversion"/>
  </si>
  <si>
    <t>201815208H</t>
    <phoneticPr fontId="3" type="noConversion"/>
  </si>
  <si>
    <t>L PRESTIGE GLOBAL PTE. LTD</t>
    <phoneticPr fontId="3" type="noConversion"/>
  </si>
  <si>
    <t xml:space="preserve">LIU ZHENG  </t>
    <phoneticPr fontId="3" type="noConversion"/>
  </si>
  <si>
    <t xml:space="preserve">YHBB DISTRIBUTION GROUP INC  </t>
    <phoneticPr fontId="3" type="noConversion"/>
  </si>
  <si>
    <t>Miss Wu</t>
    <phoneticPr fontId="3" type="noConversion"/>
  </si>
  <si>
    <t>+852 6818 0802/Kathymui923@gmail.com</t>
    <phoneticPr fontId="3" type="noConversion"/>
  </si>
  <si>
    <t>201817495M</t>
    <phoneticPr fontId="3" type="noConversion"/>
  </si>
  <si>
    <t>SHENGYIJING TRADING PTE.LTD</t>
    <phoneticPr fontId="3" type="noConversion"/>
  </si>
  <si>
    <t>ANG ZHENG LONG, MARCUS</t>
  </si>
  <si>
    <t>YANG WEI
MAVIS</t>
  </si>
  <si>
    <t>+852 5931 1549/mavis@norbida.com</t>
    <phoneticPr fontId="3" type="noConversion"/>
  </si>
  <si>
    <t>该户口信息和地址</t>
    <phoneticPr fontId="3" type="noConversion"/>
  </si>
  <si>
    <t>yang wei</t>
    <phoneticPr fontId="3" type="noConversion"/>
  </si>
  <si>
    <t>201817506D</t>
    <phoneticPr fontId="3" type="noConversion"/>
  </si>
  <si>
    <t>CEX E-COMMERCE PTE. LTD/Singpoint Pte Ltd</t>
    <phoneticPr fontId="3" type="noConversion"/>
  </si>
  <si>
    <t xml:space="preserve">PENG WEIDONG, HE YONG, JIN XUE </t>
    <phoneticPr fontId="3" type="noConversion"/>
  </si>
  <si>
    <t xml:space="preserve">HE YONG,CHEQUEPAY PTE. LTD. </t>
    <phoneticPr fontId="3" type="noConversion"/>
  </si>
  <si>
    <t>MI HUIJIE</t>
    <phoneticPr fontId="3" type="noConversion"/>
  </si>
  <si>
    <t>93859175/Huijin.frank.mi@gmail.com</t>
    <phoneticPr fontId="3" type="noConversion"/>
  </si>
  <si>
    <t xml:space="preserve">10000
</t>
    <phoneticPr fontId="3" type="noConversion"/>
  </si>
  <si>
    <t>关闭</t>
    <phoneticPr fontId="3" type="noConversion"/>
  </si>
  <si>
    <t>201819681W</t>
    <phoneticPr fontId="3" type="noConversion"/>
  </si>
  <si>
    <t>SHAREART FOUNDATION LTD</t>
    <phoneticPr fontId="3" type="noConversion"/>
  </si>
  <si>
    <t>SUN LILI, LIU RUIYAN, LIU ERZHUANG</t>
    <phoneticPr fontId="3" type="noConversion"/>
  </si>
  <si>
    <t>201820104G</t>
    <phoneticPr fontId="3" type="noConversion"/>
  </si>
  <si>
    <t>WORTHY CHOICE INTERNATIONAL PTE.LTD</t>
    <phoneticPr fontId="3" type="noConversion"/>
  </si>
  <si>
    <t xml:space="preserve">YEH CHIEN-TING  </t>
    <phoneticPr fontId="3" type="noConversion"/>
  </si>
  <si>
    <t>201824570R</t>
    <phoneticPr fontId="3" type="noConversion"/>
  </si>
  <si>
    <t>MAXIMA TRUST INVESTMENT MANAGEMENT PTE. LTD</t>
    <phoneticPr fontId="3" type="noConversion"/>
  </si>
  <si>
    <t xml:space="preserve">WANG BILLY  </t>
    <phoneticPr fontId="3" type="noConversion"/>
  </si>
  <si>
    <t>WANG BILLY</t>
  </si>
  <si>
    <t>Wang billy</t>
    <phoneticPr fontId="3" type="noConversion"/>
  </si>
  <si>
    <t>93897293/privatebillyw@gmail.com</t>
    <phoneticPr fontId="3" type="noConversion"/>
  </si>
  <si>
    <t>201828137H</t>
    <phoneticPr fontId="3" type="noConversion"/>
  </si>
  <si>
    <t>SINH GROUP PTE.LTD</t>
    <phoneticPr fontId="3" type="noConversion"/>
  </si>
  <si>
    <t xml:space="preserve">HUANG ZHEN ,LIANG JINYUAN </t>
    <phoneticPr fontId="3" type="noConversion"/>
  </si>
  <si>
    <t xml:space="preserve">HUANG ZHEN ,HUANG HONGYING </t>
    <phoneticPr fontId="3" type="noConversion"/>
  </si>
  <si>
    <t>21 HILLVIEW AVENUE#04-11 GLENDALE PARK SINGAPORE(669556)</t>
    <phoneticPr fontId="3" type="noConversion"/>
  </si>
  <si>
    <t>201833254M</t>
    <phoneticPr fontId="3" type="noConversion"/>
  </si>
  <si>
    <t>NEW DIAMOND PTE. LTD</t>
    <phoneticPr fontId="3" type="noConversion"/>
  </si>
  <si>
    <t>HUANG LIANG,ZHANG ZHAOXIN,GE WEIWEI</t>
    <phoneticPr fontId="3" type="noConversion"/>
  </si>
  <si>
    <t xml:space="preserve">ZHAO YAN  </t>
    <phoneticPr fontId="3" type="noConversion"/>
  </si>
  <si>
    <t>809 FRENCH ROAD #06-156 KITCHENER COMPLEX SINGAPORE(200809)
6, EU TONG SEN STREET, #06-21, THE CENTRAL, SINGAPORE 059817</t>
    <phoneticPr fontId="3" type="noConversion"/>
  </si>
  <si>
    <t>201833729C</t>
    <phoneticPr fontId="3" type="noConversion"/>
  </si>
  <si>
    <t>R-POWER HOLDINGS PTE.LTD</t>
    <phoneticPr fontId="3" type="noConversion"/>
  </si>
  <si>
    <t xml:space="preserve">ZHANG ZHAOXIN ,TIAN YI </t>
    <phoneticPr fontId="3" type="noConversion"/>
  </si>
  <si>
    <t xml:space="preserve">LIANG,JINWEI TIAN,YI </t>
    <phoneticPr fontId="3" type="noConversion"/>
  </si>
  <si>
    <t>JIA HONGYAN</t>
    <phoneticPr fontId="3" type="noConversion"/>
  </si>
  <si>
    <t>201834746K</t>
    <phoneticPr fontId="3" type="noConversion"/>
  </si>
  <si>
    <t>UNEEKON MT PTE.LTD</t>
    <phoneticPr fontId="3" type="noConversion"/>
  </si>
  <si>
    <t xml:space="preserve">HUANG QING  ZHANG ZHAOXIN </t>
    <phoneticPr fontId="3" type="noConversion"/>
  </si>
  <si>
    <t xml:space="preserve">HUANG QING  </t>
    <phoneticPr fontId="3" type="noConversion"/>
  </si>
  <si>
    <t>6 EU TONG SEN STREET #06-21_x000B_THE CENTRAL SINGAPORE 059817</t>
    <phoneticPr fontId="3" type="noConversion"/>
  </si>
  <si>
    <t>201835682Z</t>
    <phoneticPr fontId="3" type="noConversion"/>
  </si>
  <si>
    <t>NEW FUTRUE EDUCATIONN CENTRE PTE.LTD</t>
    <phoneticPr fontId="3" type="noConversion"/>
  </si>
  <si>
    <t xml:space="preserve">LIEW JIOK KIN  </t>
    <phoneticPr fontId="3" type="noConversion"/>
  </si>
  <si>
    <t xml:space="preserve">DU MING ,LIEW JIOK KIN </t>
    <phoneticPr fontId="3" type="noConversion"/>
  </si>
  <si>
    <t>2 VENTURE DRIVE #06-31 VISION EXCHANGE SINGAPORE 608526</t>
  </si>
  <si>
    <t>201835772C</t>
    <phoneticPr fontId="3" type="noConversion"/>
  </si>
  <si>
    <t>SY GROUP PTE.LTD</t>
    <phoneticPr fontId="3" type="noConversion"/>
  </si>
  <si>
    <t xml:space="preserve">XU WEIBIAO  </t>
    <phoneticPr fontId="3" type="noConversion"/>
  </si>
  <si>
    <t>84039085/27961799@QQ.COM</t>
    <phoneticPr fontId="3" type="noConversion"/>
  </si>
  <si>
    <t>6 EU TONG SEN STREET #06-21 THE CENTRAL SINGAPORE 059817</t>
    <phoneticPr fontId="3" type="noConversion"/>
  </si>
  <si>
    <t>201836229W</t>
    <phoneticPr fontId="3" type="noConversion"/>
  </si>
  <si>
    <t>TYI GROUP PTE.LTD</t>
    <phoneticPr fontId="3" type="noConversion"/>
  </si>
  <si>
    <t xml:space="preserve">FANG YUAN  ZHANG ZHAOXIN </t>
    <phoneticPr fontId="3" type="noConversion"/>
  </si>
  <si>
    <t xml:space="preserve">FANG YUAN  </t>
    <phoneticPr fontId="3" type="noConversion"/>
  </si>
  <si>
    <r>
      <t>3000</t>
    </r>
    <r>
      <rPr>
        <sz val="10"/>
        <rFont val="宋体"/>
        <family val="3"/>
        <charset val="134"/>
      </rPr>
      <t>欠款</t>
    </r>
    <phoneticPr fontId="3" type="noConversion"/>
  </si>
  <si>
    <t>201839553D</t>
    <phoneticPr fontId="3" type="noConversion"/>
  </si>
  <si>
    <t>SHADOW SPADE WEB SERVICE PTE.LTD</t>
    <phoneticPr fontId="3" type="noConversion"/>
  </si>
  <si>
    <t xml:space="preserve">GUO BAILONG  </t>
    <phoneticPr fontId="3" type="noConversion"/>
  </si>
  <si>
    <t>201839770E</t>
    <phoneticPr fontId="3" type="noConversion"/>
  </si>
  <si>
    <t>BRIGHT FOREST TECHNOLOGY PTE. LTD</t>
    <phoneticPr fontId="3" type="noConversion"/>
  </si>
  <si>
    <t xml:space="preserve">YANG WEI </t>
    <phoneticPr fontId="3" type="noConversion"/>
  </si>
  <si>
    <t>CUI GUANGLIN</t>
    <phoneticPr fontId="3" type="noConversion"/>
  </si>
  <si>
    <t>201840596W</t>
    <phoneticPr fontId="3" type="noConversion"/>
  </si>
  <si>
    <t>UNICORN SUPPLY CHAIN MANGAMENT PTE.LTD</t>
    <phoneticPr fontId="3" type="noConversion"/>
  </si>
  <si>
    <t xml:space="preserve">XU LEI   </t>
    <phoneticPr fontId="3" type="noConversion"/>
  </si>
  <si>
    <t xml:space="preserve">XULEI  </t>
    <phoneticPr fontId="3" type="noConversion"/>
  </si>
  <si>
    <t>201912100C</t>
  </si>
  <si>
    <t>QUARK TECHNOLOGY PTE. LTD.</t>
  </si>
  <si>
    <t>LIU ZHENG</t>
  </si>
  <si>
    <t>ZHOU HUAPING</t>
  </si>
  <si>
    <t>+86 159 2568 8428 / huaping.zhou@qianli-inc.com</t>
  </si>
  <si>
    <t>31/12/2019</t>
  </si>
  <si>
    <t>201912400E</t>
  </si>
  <si>
    <t>SHIN ZHAN INTERNATIONAL PTE. LTD.</t>
  </si>
  <si>
    <t>BH-AGRI LAND PTE. LTD 201413958G</t>
  </si>
  <si>
    <t>TSENG WEI-CHE</t>
  </si>
  <si>
    <t>16/04/2019</t>
  </si>
  <si>
    <t>20 CECIL STREET #26-08 PLUS SINGAPORE 049705</t>
  </si>
  <si>
    <t>201903285K</t>
  </si>
  <si>
    <t>PIJI PTE. LTD.</t>
  </si>
  <si>
    <t>GUO FENG</t>
  </si>
  <si>
    <t>Andy - Pharos</t>
  </si>
  <si>
    <t>6 EU TONG SEN STREET #06-21 THE CENTRAL SINGAPORE 059817</t>
  </si>
  <si>
    <t>HI10 TECHNOLOGIES PTE. LTD.</t>
  </si>
  <si>
    <t>20193336K</t>
  </si>
  <si>
    <t>PENTAFIELD GLOVAL REAL ESTATE PTE. LTD.</t>
  </si>
  <si>
    <t>SU HUNG-WEI</t>
  </si>
  <si>
    <t>201841080D</t>
  </si>
  <si>
    <t>Silver River Pte. Ltd</t>
  </si>
  <si>
    <t>Liu Zheng</t>
  </si>
  <si>
    <t>YANG YANFANG</t>
  </si>
  <si>
    <t>201841376Z</t>
  </si>
  <si>
    <t>INFINITY ALPHA PTE. LTD</t>
  </si>
  <si>
    <t>LiU ZHENG</t>
  </si>
  <si>
    <t>ZHANG SHUFENG</t>
  </si>
  <si>
    <t>201843238H</t>
  </si>
  <si>
    <t>AMAZON CAPITAL PTE. LTD.</t>
  </si>
  <si>
    <t>IBERRAKENE MOHAND AREZKI</t>
  </si>
  <si>
    <t xml:space="preserve">201911244N </t>
  </si>
  <si>
    <t>GAINLIFE HEALTH TECHNOLOGY (SINGAPORE) PTE. LTD.</t>
  </si>
  <si>
    <t>POON WAI PANG, WENG YING</t>
  </si>
  <si>
    <t>TOP EMINENT INVEST CO., LIMITED</t>
  </si>
  <si>
    <t>T18LP0123C</t>
  </si>
  <si>
    <t>JOYSTONE LP</t>
  </si>
  <si>
    <t>N.A</t>
  </si>
  <si>
    <t>-</t>
  </si>
  <si>
    <t xml:space="preserve">T18LP0124K </t>
  </si>
  <si>
    <t>RNV LP</t>
  </si>
  <si>
    <t>HIGHRIDGE TECHNOLOGY LP</t>
  </si>
  <si>
    <t>201819468Z</t>
  </si>
  <si>
    <t>LYMOUS PTE. LTD.</t>
  </si>
  <si>
    <t>LEE KONG MENG</t>
  </si>
  <si>
    <t>ACE TECHNOLOGIES PTE. LTD..docx</t>
  </si>
  <si>
    <t>AMORNING E-LEARNING TECHNOLOGY PTE. LTD..docx</t>
  </si>
  <si>
    <t>AW PROSPERITY GROUP PTE. LTD..docx</t>
  </si>
  <si>
    <t>BRIGHT FOREST TECHNOLOGY PTE.LTD..docx</t>
  </si>
  <si>
    <t>CENTRA TECHNOLOGIES PTE. LTD..docx</t>
  </si>
  <si>
    <t>CEX E-COMMERCE PTE. LTD..docx</t>
    <phoneticPr fontId="3" type="noConversion"/>
  </si>
  <si>
    <t>CHANGLIAN SINGAPORE PTE. LTD..docx</t>
  </si>
  <si>
    <t>CHAO HUI INTERNATIONAL TRADING PTE. LTD..docx</t>
  </si>
  <si>
    <t>CHONG QING XIAO TIAN E STEAMBOAT PTE. LTD..docx</t>
  </si>
  <si>
    <t>COLUCK PTE. LTD..docx</t>
  </si>
  <si>
    <t>CONFIDENCE(SINGAPORE)TRANSPORT&amp;TRADING PTE. LTD..docx</t>
  </si>
  <si>
    <t>CROSSLAND EDUCATION &amp; ENRICHMENT SCHOOL PTE. LTD..docx</t>
  </si>
  <si>
    <t>DINGOO INDUSTRY PTE.LTD..docx</t>
  </si>
  <si>
    <t>DIZZEN GROUP PTE. LTD..docx</t>
  </si>
  <si>
    <t>DRAGONPASS APAC PTE. LTD..docx</t>
  </si>
  <si>
    <t>ENTORA PTE. LTD..docx</t>
  </si>
  <si>
    <t>ESIN GROUP PTE. LTD..docx</t>
  </si>
  <si>
    <t>ESIN HOUSE PTE. LTD..docx</t>
  </si>
  <si>
    <t>ESIN IMMIGRATION PTE. LTD..docx</t>
  </si>
  <si>
    <t>ESIN TECHNOLOGY PTE. LTD..docx</t>
  </si>
  <si>
    <t>ESIN VISA PTE. LTD..docx</t>
  </si>
  <si>
    <t>ESIN VISA PTE. LTD..lnk</t>
  </si>
  <si>
    <t>EUGENE YIN PTE. LTD..docx</t>
  </si>
  <si>
    <t>F&amp;Y TRADING PTE. LTD..docx</t>
  </si>
  <si>
    <t>FUN DE BEAUTY PTE. LTD..docx</t>
  </si>
  <si>
    <t>GAO&amp;LIM TRADING PTE. LTD..docx</t>
  </si>
  <si>
    <t>GLOBAL FRONTIER ASSET MANAGEMENT PTE. LTD..docx</t>
  </si>
  <si>
    <t>GLOBAL LEADERS INSTITUTE OF BUSINESS PTE. LTD..lnk</t>
  </si>
  <si>
    <t>HUA FEI INTERNATIONAL PTE. LTD..docx</t>
  </si>
  <si>
    <t>INFINITUS LEARNING PTE. LTD..docx</t>
  </si>
  <si>
    <t>INTELLIGENCE EYE PTE. LTD..docx</t>
  </si>
  <si>
    <t>INTELLIGIRDER PTE. LTD..docx</t>
  </si>
  <si>
    <t>INTERNATIONAL A PLUS PTE. LTD..docx</t>
  </si>
  <si>
    <t>INTERNATIONAL CULTURAL PTE.LTD..docx</t>
  </si>
  <si>
    <t>JASON MARINE SERVICE PTE. LTD..docx</t>
  </si>
  <si>
    <t>KINGLEY CONSULTING PTE. LTD..docx</t>
  </si>
  <si>
    <t>KNOCKNOCK TECHNOLOGIES ASIA PTE.LTD..docx</t>
  </si>
  <si>
    <t>L PRESTIGE GLOBAL PTE. LTD..docx</t>
  </si>
  <si>
    <t>LE SIGN &amp; PRINT PTE. LTD..docx</t>
  </si>
  <si>
    <t>LIGHT YI PTE. LTD..docx</t>
  </si>
  <si>
    <t>LIYAN INTERNATIONAL TRADING PTE. LTD..docx</t>
  </si>
  <si>
    <t>LUX BEAUTE INTERNATIONAL PTE.LTD..docx</t>
  </si>
  <si>
    <t>M3 DIGITAL HUB PTE. LTD..docx</t>
  </si>
  <si>
    <t>MASTER SELECT GROUP PTE. LTD..docx</t>
  </si>
  <si>
    <t>MATCH GLOBAL TRADING PTE. LTD..docx</t>
  </si>
  <si>
    <t>MAXIMA TRUST INVESTMENT MANAGEMENT PTE. LTD..docx</t>
  </si>
  <si>
    <t>MILES EDUCATION PTE. LTD..docx</t>
  </si>
  <si>
    <t>NEW DIAMOND PTE. LTD..docx</t>
  </si>
  <si>
    <t>NEW FUTURE EDUCATION CENTRE PTE. LTD..docx</t>
  </si>
  <si>
    <t>NIA ENTERPRISE PTE. LTD..docx</t>
  </si>
  <si>
    <t>ONE PIECE EXPRESS PTE. LTD..docx</t>
  </si>
  <si>
    <t>PANGOLIN TECHNOLOGY PTE. LTD..docx</t>
  </si>
  <si>
    <t>PETSPAD PTE. LTD..docx</t>
  </si>
  <si>
    <t>QUANTECH TRADING &amp; CAPITAL MANAGEMENT PTE. LTD..docx</t>
  </si>
  <si>
    <t>R-POWER HOLDINGS PTE.LTD..docx</t>
  </si>
  <si>
    <t>RELOCATION CONSULTANCY PTE. LTD..docx</t>
  </si>
  <si>
    <t>RISEN CHN PTE. LTD..docx</t>
  </si>
  <si>
    <t>SAILING INTERNATIONAL TRADING PTE. LTD..docx</t>
  </si>
  <si>
    <t>SAN HE TAI XIANG FOODS PTE. LTD..docx</t>
  </si>
  <si>
    <t>SEA HUA INTERNATIONAL TRADING PTE.LTD..docx</t>
  </si>
  <si>
    <t>SHADOW SPADE WEB SERVICE PTE.LTD..docx</t>
  </si>
  <si>
    <t>SHAREART FOUNDATION LTD..docx</t>
  </si>
  <si>
    <t>SHENGYIJING TRADING PTE.LTD..docx</t>
  </si>
  <si>
    <t>SHUO HE INVESTMENT HOLDINGS GROUP PTE. LTD..docx</t>
  </si>
  <si>
    <t>SINGAPORE CAMBO BIOLOGICAL TECHNOLOGY PTE. LTD..docx</t>
  </si>
  <si>
    <t>SINGAPORE HOLLY BIOTECHNOLOGY PTE. LTD..docx</t>
  </si>
  <si>
    <t>SINGAPORE INTELLIGENT HEALTHCARE RESEARCH CENTRE PTE. LTD..docx</t>
  </si>
  <si>
    <t>SINH GROUP PTE.LTD..docx</t>
  </si>
  <si>
    <t>SINHAI INTERNATIONAL INVESTMENT HOLDING GROUP(SINGAPORE) PTE. LTD..docx</t>
  </si>
  <si>
    <t>SMARTISAN PTE. LTD..docx</t>
  </si>
  <si>
    <t>SOHU INTERNATIONAL TRADING PTE.LTD..docx</t>
  </si>
  <si>
    <t>SOUTH COIN PTE. LTD..docx</t>
  </si>
  <si>
    <t>STAR DREAM PTE. LTD..docx</t>
  </si>
  <si>
    <t>STREAM PROJECTS INTERNATIONAL PTE. LTD..docx</t>
  </si>
  <si>
    <t>SUMMER WINGS PTE. LTD..docx</t>
  </si>
  <si>
    <t>SUN SUN HOLDING PTE. LTD..docx</t>
  </si>
  <si>
    <t>SUNNY TRAVEL PTE. LTD..docx</t>
  </si>
  <si>
    <t>SUPRA CAPITAL MANAGEMENT PTE.LTD..docx</t>
  </si>
  <si>
    <t>SY GROUP PTE.LTD..docx</t>
  </si>
  <si>
    <t>TLNET PTE. LTD..docx</t>
  </si>
  <si>
    <t>TRACKING CONSULTING PTE. LTD..docx</t>
  </si>
  <si>
    <t>TRENDY INVESTMENT CONSULTANT PTE. LTD..docx</t>
  </si>
  <si>
    <t>TT NET PTE. LTD..docx</t>
  </si>
  <si>
    <t>TYI GROUP PTE.LTD..docx</t>
  </si>
  <si>
    <t>UNEEKON MT PTE.LTD..docx</t>
  </si>
  <si>
    <t>UNICORN SUPPLY CHAIN MANGAMENT PTE.LTD..docx</t>
  </si>
  <si>
    <t>WANG &amp; GE TRADING PTE. LTD..docx</t>
  </si>
  <si>
    <t>WORTHY CHOICE INTERNATIONAL PTE.LTD..docx</t>
  </si>
  <si>
    <t>WTM GLOBAL PTE. LTD..docx</t>
  </si>
  <si>
    <t>XUAN YU CONSTRUCTION PTE. LTD..docx</t>
  </si>
  <si>
    <t>XUANSHENG EDUCATION INVESTMENT &amp; MANAGEMENT PTE. LTD..docx</t>
  </si>
  <si>
    <t>YAAN AIR AGILE ENTERPRISE PTE. LTD..docx</t>
  </si>
  <si>
    <t>YANG SHENG YING PTE. LTD..docx</t>
  </si>
  <si>
    <t>Reminder Email Sent</t>
  </si>
  <si>
    <t>809 FRENCH ROAD #06-156 KITCHENER COMPLEX SINGAPORE(200809)
6, EU TONG SEN STREET, #06-21, THE CENTRAL, SINGAPORE 059817</t>
  </si>
  <si>
    <t>actceo@outlook.com / +86 15596668108</t>
  </si>
  <si>
    <t>201824570R</t>
  </si>
  <si>
    <t>MAXIMA TRUST INVESTMENT MANAGEMENT PTE. LTD.</t>
  </si>
  <si>
    <t>privatebillyw@gmail.com</t>
  </si>
  <si>
    <t>201820104G</t>
  </si>
  <si>
    <t>WORTHY CHOICE INTERNATIONAL PTE. LTD.</t>
  </si>
  <si>
    <t>Dropbox CDD</t>
  </si>
  <si>
    <t>Renewal</t>
  </si>
  <si>
    <t>Referral Source</t>
  </si>
  <si>
    <t>注册时间
Date of Incorporation</t>
  </si>
  <si>
    <t>预计年审时间
Next AR timeline</t>
  </si>
  <si>
    <t>实际年审时间
Most Recent AR</t>
  </si>
  <si>
    <t>财务年度时间
FYE at previous AR</t>
  </si>
  <si>
    <t>GST 报税</t>
    <phoneticPr fontId="3" type="noConversion"/>
  </si>
  <si>
    <t>FORM C-S 申报</t>
    <phoneticPr fontId="3" type="noConversion"/>
  </si>
  <si>
    <t>FORM C-S 完税</t>
    <phoneticPr fontId="3" type="noConversion"/>
  </si>
  <si>
    <t>ECI申报</t>
    <phoneticPr fontId="3" type="noConversion"/>
  </si>
  <si>
    <t>ECI完税</t>
    <phoneticPr fontId="3" type="noConversion"/>
  </si>
  <si>
    <t>XBRL申报</t>
    <phoneticPr fontId="3" type="noConversion"/>
  </si>
  <si>
    <t>201720332H</t>
  </si>
  <si>
    <t>Joint Rainbow Shipping Pte. Ltd.
(Address Only)</t>
  </si>
  <si>
    <t>Address Only</t>
  </si>
  <si>
    <t>111 NORTH BRIDGE ROAD #29-06A PENINSULA PLAZA SINGAPORE 179098</t>
  </si>
  <si>
    <t>201633853C</t>
  </si>
  <si>
    <t>E-Silver Bunker Oil Pte. Ltd.
(Address Only)</t>
  </si>
  <si>
    <t>201717842k</t>
  </si>
  <si>
    <t>FOILI PTE LTD
(ADDRESS ONLY)</t>
  </si>
  <si>
    <t>只挂秘书 董事年审自行处理 360一年 (19/07/2019)</t>
  </si>
  <si>
    <t>地址20190705转入</t>
  </si>
  <si>
    <t>RF Friend</t>
  </si>
  <si>
    <t>King Soon Pte. Ltd.
(Address Only)</t>
  </si>
  <si>
    <t>Address Valid from 01 Apr 2020 - 31 March 2021</t>
  </si>
  <si>
    <t>只挂地址，年审自行处理 360一年 (01/04/20 - 31/03/21)</t>
  </si>
  <si>
    <t>202010388Z</t>
  </si>
  <si>
    <t>Nams Pte. Ltd.
(Address Only)</t>
  </si>
  <si>
    <t>201721948K</t>
  </si>
  <si>
    <t>DINGDING SERVICES PTE. LTD.
(Address Only)</t>
  </si>
  <si>
    <t>201624372C</t>
  </si>
  <si>
    <t>IN T MOTION PTE. LTD.
(Address Only)</t>
  </si>
  <si>
    <t>Lucy</t>
  </si>
  <si>
    <t>201811176R</t>
  </si>
  <si>
    <t>Elim Grace Pte. Ltd. 
(Address Only)</t>
  </si>
  <si>
    <t>Address Valid from 21 Oct - 20 Oct 2021</t>
  </si>
  <si>
    <t>Maggie</t>
  </si>
  <si>
    <t>HK</t>
  </si>
  <si>
    <t>Show Zhi Limited
(Address Only)</t>
  </si>
  <si>
    <t>HK Bank Account</t>
  </si>
  <si>
    <t>只挂地址 (Mailing Address)</t>
  </si>
  <si>
    <t>Zhao Yong</t>
  </si>
  <si>
    <t>Great Rainbow Trading Limited 
(Bank Account Only)</t>
  </si>
  <si>
    <t>6 Eu Tong Sen Street</t>
  </si>
  <si>
    <t>JF Consultancy Group Limited
(Bank Account Opening)</t>
  </si>
  <si>
    <t>May</t>
  </si>
  <si>
    <t>Morelux Industrial Company Limited
(Bank Account Opening)</t>
  </si>
  <si>
    <t>yes</t>
    <phoneticPr fontId="3" type="noConversion"/>
  </si>
  <si>
    <t>LUX BEAUTE INTERNATIONAL PTE.LTD
(only secretary service)</t>
  </si>
  <si>
    <t>Secretary Service Only</t>
  </si>
  <si>
    <t>N.A.</t>
  </si>
  <si>
    <t>只挂秘书 董事年审自行处理 360一年</t>
  </si>
  <si>
    <t>L PRESTIGE GLOBAL PTE. LTD
(only secretary service)</t>
  </si>
  <si>
    <t>6 EU TONG SEN STREET #06-21_x000B_THE CENTRAL SINGAPORE 059817</t>
  </si>
  <si>
    <t>只挂秘书 董事年审自行处理 360一年</t>
    <phoneticPr fontId="3" type="noConversion"/>
  </si>
  <si>
    <t>201826364K</t>
  </si>
  <si>
    <t>PARTICLE TECHNOLOGY PTE. LTD.</t>
  </si>
  <si>
    <t>PTE. LTD.</t>
  </si>
  <si>
    <t>OG - SHHAWAL LEE HENGG BIN IHSAN
IC - YOU LIHUA / PIAO YINZHEN</t>
  </si>
  <si>
    <t>30/07/2019
( 31/12/2019)</t>
  </si>
  <si>
    <t>利华姐年审</t>
  </si>
  <si>
    <t xml:space="preserve">HUANG HONGYING  ,LIANG JINYUAN </t>
  </si>
  <si>
    <t xml:space="preserve">HUANG ZHEN ,HUANG HONGYING </t>
  </si>
  <si>
    <t>YOU LIHUA
SHEN JUN</t>
  </si>
  <si>
    <t>年审催 邮件</t>
  </si>
  <si>
    <t>利华姐年审'20</t>
  </si>
  <si>
    <t>XIN FENG CHE EDUCATION PTE. LTD. 
INTERNATIONAL CULTURAL PTE.LTD (f.k.a)</t>
  </si>
  <si>
    <t>利华姐年审 '20</t>
  </si>
  <si>
    <t>201624131K</t>
  </si>
  <si>
    <t>MR.ING PTE LTD</t>
    <phoneticPr fontId="3" type="noConversion"/>
  </si>
  <si>
    <t>WANG SI</t>
  </si>
  <si>
    <t>110, LORONG 23 GEYLANG, #07-03, VICTORY CENTRE, SINGAPORE 388410
6, EU TONG SEN STREET, #06-21, THE CENTRAL, SINGAPORE 059817</t>
  </si>
  <si>
    <t>ALICE 年审 '19</t>
  </si>
  <si>
    <t>ZHANG ZHAOXIN</t>
  </si>
  <si>
    <t>YOU LIHUA</t>
  </si>
  <si>
    <t>RF年审催</t>
  </si>
  <si>
    <t>6, EU TONG SEN STREET, #06-21, THE CENTRAL, SINGAPORE 059817
809 FRENCH ROAD #06-156 KITCHENER COMPLEX SINGAPORE(200809)</t>
  </si>
  <si>
    <t>利华姐</t>
  </si>
  <si>
    <t>SY GROUP PTE.LTD</t>
  </si>
  <si>
    <t>ZHANG JIN</t>
  </si>
  <si>
    <r>
      <t xml:space="preserve">GAO ZHENGRUO
</t>
    </r>
    <r>
      <rPr>
        <strike/>
        <sz val="10"/>
        <rFont val="Calibri (Body)"/>
      </rPr>
      <t xml:space="preserve">GUO BAILONG  </t>
    </r>
  </si>
  <si>
    <t>MA年审催 邮件</t>
  </si>
  <si>
    <t>201933423R</t>
  </si>
  <si>
    <t>SHENZHEN LASER PTE. LTD</t>
  </si>
  <si>
    <t>SHHAWAL LEE HENGG BIN IHSAN</t>
  </si>
  <si>
    <t>REN XINQIANG</t>
  </si>
  <si>
    <t>201942145C</t>
  </si>
  <si>
    <t>SHINE LINE INTERNATIONAL TRADING GROUP PTE. LTD.</t>
  </si>
  <si>
    <t>SHI GUANGHUI</t>
  </si>
  <si>
    <t>201835682Z</t>
  </si>
  <si>
    <t>HENG THONG INTERNATIONAL PTE. LIMITED (w.e.f 01/04/20)
NEW FUTURE EDUCATION CENTRE PTE.LTD (F.K.A)</t>
  </si>
  <si>
    <t>DU MING</t>
  </si>
  <si>
    <t>年审19</t>
  </si>
  <si>
    <t>11, LEEDON HEIGHTS, #13-36, D'LEEDON, SINGAPORE 267955</t>
  </si>
  <si>
    <t>STREAM PROJECTS INTERNATIONAL PTE. LTD</t>
  </si>
  <si>
    <t>MA 年审 $900</t>
  </si>
  <si>
    <t>72, EUNOS AVENUE 7, #06-09A, SINGAPORE HANDICRAFTS BUILDING, SINGAPORE 409570</t>
  </si>
  <si>
    <t>YIN JUN</t>
  </si>
  <si>
    <t>YIN JUN, GAN HAILU</t>
  </si>
  <si>
    <t>eugeneyin0125@gmail.com</t>
  </si>
  <si>
    <t>65 SIMS AVENUE #06-41 YI XIU FACTORY BUILDING SINGAPORE 387418</t>
  </si>
  <si>
    <t>年审催 邮件
FYE changed to 31 Dec 2020</t>
  </si>
  <si>
    <t xml:space="preserve">111 NORTH BRIDGE ROAD #29-06A PENINSULA PLAZA SINGAPORE 179098
6, EU TONG SEN STREET, #06-21, THE CENTRAL, SINGAPORE 059817 (f.k.a)
809 FRENCH ROAD #06-156 KITCHENER COMPLEX SINGAPORE(200809) (f.k.a)
</t>
  </si>
  <si>
    <t>201839553D</t>
  </si>
  <si>
    <t>201841339C</t>
  </si>
  <si>
    <t>SYRON PTE. LTD.</t>
  </si>
  <si>
    <t xml:space="preserve">ZHANG ZHAOXIN </t>
  </si>
  <si>
    <t xml:space="preserve">MA年审催 </t>
  </si>
  <si>
    <t>111 NORTH BRIDGE ROAD #29-06A PENINSULA PLAZA SINGAPORE 179098
6, EU TONG SEN STREET, #06-21, THE CENTRAL, SINGAPORE 059817</t>
  </si>
  <si>
    <t>谢姐</t>
  </si>
  <si>
    <t>201936053E</t>
  </si>
  <si>
    <t>Betensh Pte. Ltd.</t>
  </si>
  <si>
    <t>PAN ZHIWEI</t>
  </si>
  <si>
    <t>TRACKING CONSULTING PTE. LTD</t>
  </si>
  <si>
    <t>LI WEI GUANG JOHN</t>
  </si>
  <si>
    <t>2020年报税</t>
  </si>
  <si>
    <t>ALICE 年审</t>
  </si>
  <si>
    <t>LI WEI GUANG JOHN</t>
    <phoneticPr fontId="3" type="noConversion"/>
  </si>
  <si>
    <t>202006372C</t>
  </si>
  <si>
    <t>EASTWELL CHEMICAL PTE. LTD.</t>
  </si>
  <si>
    <t>ZHAO ZHIREN</t>
  </si>
  <si>
    <t>MAY</t>
    <phoneticPr fontId="3" type="noConversion"/>
  </si>
  <si>
    <t>201906615H</t>
  </si>
  <si>
    <t>SINC INTERNATIONAL PTE. LTD.</t>
  </si>
  <si>
    <r>
      <t xml:space="preserve">SHHAWAL LEE HENGG BIN IHSAN
</t>
    </r>
    <r>
      <rPr>
        <strike/>
        <sz val="10"/>
        <rFont val="Calibri (Body)"/>
      </rPr>
      <t>ANG ZHENG LONG MARCUS</t>
    </r>
  </si>
  <si>
    <r>
      <t xml:space="preserve">REN FEI | SHHAWAL LEE HENGG BIN IHSAN
</t>
    </r>
    <r>
      <rPr>
        <strike/>
        <sz val="10"/>
        <rFont val="Calibri (Body)"/>
      </rPr>
      <t>ANG ZHENG LONG MARCUS</t>
    </r>
  </si>
  <si>
    <t>REN FEI, ANG ZHENG LONG MARCUS</t>
  </si>
  <si>
    <t>8 TANAH MERAH KECHIL LINK #10-15 SINGAPORE 465420</t>
  </si>
  <si>
    <t>Crystal (E-commerce)</t>
  </si>
  <si>
    <t>202008132N</t>
  </si>
  <si>
    <t>Dan Lu Pte. Ltd.</t>
  </si>
  <si>
    <t>LEI LEI</t>
  </si>
  <si>
    <t>902 EAST COAST PARKWAY #01-02 AQUATIC COMPLEX (BIG SPLASH) SINGAPORE (449874)</t>
  </si>
  <si>
    <r>
      <t xml:space="preserve">KONATHAM SHARAT CHANDRA 
</t>
    </r>
    <r>
      <rPr>
        <strike/>
        <sz val="10"/>
        <rFont val="Calibri (Body)"/>
      </rPr>
      <t>ZHOU HUAPING</t>
    </r>
  </si>
  <si>
    <r>
      <t xml:space="preserve">YOU LIHUA
</t>
    </r>
    <r>
      <rPr>
        <strike/>
        <sz val="10"/>
        <rFont val="Calibri"/>
        <family val="2"/>
      </rPr>
      <t>JIA HONGYAN</t>
    </r>
  </si>
  <si>
    <r>
      <t xml:space="preserve">111 NORTH BRIDGE ROAD #29-06A PENINSULA PLAZA SINGAPORE 179098
</t>
    </r>
    <r>
      <rPr>
        <strike/>
        <sz val="10"/>
        <rFont val="Calibri (Body)"/>
      </rPr>
      <t>6 EU TONG SEN STREET #06-21 THE CENTRAL SINGAPORE 059817</t>
    </r>
  </si>
  <si>
    <t>LI SHUTONG</t>
  </si>
  <si>
    <t>XU PEI
LI SHUTONG</t>
  </si>
  <si>
    <t>YOU LIHUA 年审 2020
SHEN JUN 年审2019</t>
  </si>
  <si>
    <t>Yes</t>
  </si>
  <si>
    <t>31/03/2020
(12/4/2020)</t>
  </si>
  <si>
    <t>2020年报税
AGM exempted 2019</t>
  </si>
  <si>
    <t>PIAO YINZHEN</t>
  </si>
  <si>
    <t xml:space="preserve">LYU TAO  </t>
  </si>
  <si>
    <t>LYU TAO  
DU WENCHENG</t>
  </si>
  <si>
    <t>YOU LIHUA 年审2020
ALICE 年审</t>
  </si>
  <si>
    <t>Done</t>
  </si>
  <si>
    <t>202012592H</t>
  </si>
  <si>
    <t xml:space="preserve">YAN NAN GUI SINGAPORE PTE. LTD. </t>
  </si>
  <si>
    <t>LI YANNAN</t>
  </si>
  <si>
    <t>HEBE</t>
  </si>
  <si>
    <t>sgyng20@gmai.com</t>
  </si>
  <si>
    <t>公司注册</t>
  </si>
  <si>
    <t>201918860W</t>
  </si>
  <si>
    <t>RISING SKY PTE LTD</t>
    <phoneticPr fontId="3" type="noConversion"/>
  </si>
  <si>
    <t>ZHU LINGLI</t>
  </si>
  <si>
    <t>SHEN JUN</t>
  </si>
  <si>
    <t>202015871E</t>
  </si>
  <si>
    <t>WEL BY NATURE PTE. LTD.</t>
  </si>
  <si>
    <t>ZHOU XUEMEI
E39619225</t>
  </si>
  <si>
    <t>202017834Z</t>
  </si>
  <si>
    <t>Acyclink Asia Pte. Ltd.</t>
  </si>
  <si>
    <t>LIU ZHICONG</t>
  </si>
  <si>
    <t>LYU LIANG</t>
  </si>
  <si>
    <t>MAGGIE</t>
  </si>
  <si>
    <t>202017687G</t>
  </si>
  <si>
    <t>U N I WELLNESS PTE. LTD.</t>
  </si>
  <si>
    <t>TAO YAN</t>
  </si>
  <si>
    <t>Secretary Service Only (05 Dec 2020 - 04 Dec 2021)</t>
  </si>
  <si>
    <t>803 KING GEORGE'S AVENUE #01-208 SINGAPORE 200803</t>
  </si>
  <si>
    <t>201921213D</t>
  </si>
  <si>
    <t>MEI QI JIA CHENG MEDIA</t>
  </si>
  <si>
    <r>
      <t xml:space="preserve">N.A.
</t>
    </r>
    <r>
      <rPr>
        <strike/>
        <sz val="10"/>
        <rFont val="Calibri (Body)"/>
      </rPr>
      <t>SHHAWAL LEE HENGG BIN IHSAN</t>
    </r>
  </si>
  <si>
    <t>WANG XIANGQI</t>
  </si>
  <si>
    <r>
      <t xml:space="preserve">111 NORTH BRIDGE ROAD #29-06A PENINSULA PLAZA SINGAPORE 179098
</t>
    </r>
    <r>
      <rPr>
        <strike/>
        <sz val="10"/>
        <rFont val="Calibri (Body)"/>
      </rPr>
      <t>6, EU TONG SEN STREET, #06-21, THE CENTRAL, SINGAPORE 059817</t>
    </r>
  </si>
  <si>
    <t xml:space="preserve">RF  </t>
  </si>
  <si>
    <t>202019907C</t>
  </si>
  <si>
    <t>T.H.R. Consulting Pte. Ltd.</t>
  </si>
  <si>
    <t>THOMAS RAABE</t>
  </si>
  <si>
    <t>thomas@thomas-raabe.eu</t>
  </si>
  <si>
    <t>Nicholas Lim</t>
  </si>
  <si>
    <t>202021160M</t>
  </si>
  <si>
    <t>Ren He Tian Cheng Culture Exchange Group Pte Ltd</t>
  </si>
  <si>
    <t>DU WENCHANG</t>
  </si>
  <si>
    <t>NICHOLAS LIM</t>
  </si>
  <si>
    <t>201927476Z</t>
  </si>
  <si>
    <t xml:space="preserve">Y &amp; G FURNITURE AND INTERIOR PTE. LTD. </t>
  </si>
  <si>
    <t>JI DONG | YIN JUN</t>
  </si>
  <si>
    <t>65 SIMS AVENUE #06-04 YI XIU FACTORY BUILDING SINGAPORE 387418</t>
  </si>
  <si>
    <t>201928051W</t>
  </si>
  <si>
    <t>Transeas International Pte. Ltd.</t>
  </si>
  <si>
    <t>CHENG JUN</t>
  </si>
  <si>
    <t>8 LORONG 39 GEYLANG #03-06 SIMS RESIDENCES SINGAPORE 387882</t>
  </si>
  <si>
    <t>202022902K</t>
  </si>
  <si>
    <t>SIONA BK (SINGAPORE) PTE. LTD.</t>
  </si>
  <si>
    <t>XU XIAOFENG
YUAN LUJUN</t>
  </si>
  <si>
    <t>ZHEJIANG HENGYUAN SANITARY WARE CO., LTD</t>
  </si>
  <si>
    <t>202024159G</t>
  </si>
  <si>
    <t>COSMO (S) HOLDING PTE. LTD.</t>
  </si>
  <si>
    <t>XIE QINRU</t>
  </si>
  <si>
    <t>LI YINGGUO</t>
  </si>
  <si>
    <t>HUANG LIANG,GE WEIWEI</t>
    <phoneticPr fontId="3" type="noConversion"/>
  </si>
  <si>
    <t>ZHU JIAN</t>
    <phoneticPr fontId="3" type="noConversion"/>
  </si>
  <si>
    <t>报税2019确认</t>
    <phoneticPr fontId="3" type="noConversion"/>
  </si>
  <si>
    <t>111 NORTH BRIDGE ROAD #29-06A PENINSULA PLAZA SINGAPORE 179098 
6, EU TONG SEN STREET, #06-21, THE CENTRAL, SINGAPORE 059817
809 FRENCH ROAD #06-156 KITCHENER COMPLEX SINGAPORE(200809)</t>
  </si>
  <si>
    <t xml:space="preserve">
利华姐年审'20
ALICE 年审 '19</t>
  </si>
  <si>
    <t>Becky</t>
  </si>
  <si>
    <t>202026728W</t>
  </si>
  <si>
    <t>Mingsheng Trading Pte. Ltd.</t>
  </si>
  <si>
    <t>THAM MAN KEEP</t>
  </si>
  <si>
    <t>藏</t>
  </si>
  <si>
    <t>202027482C</t>
  </si>
  <si>
    <t>Crossfield Investment Consulting Pte. Ltd.</t>
  </si>
  <si>
    <t>WU FENLAN</t>
  </si>
  <si>
    <t>202027523K</t>
  </si>
  <si>
    <t>Singapore East Best Healthy Pte. Ltd.</t>
  </si>
  <si>
    <t>DU YI</t>
  </si>
  <si>
    <t>202028890G</t>
  </si>
  <si>
    <t>Hong Yan Information Techology Consulting Pte. Ltd.</t>
  </si>
  <si>
    <t>202029249K</t>
  </si>
  <si>
    <t>Aivals Pte. Ltd.</t>
  </si>
  <si>
    <t>LI YUE</t>
  </si>
  <si>
    <t>202029274N</t>
  </si>
  <si>
    <t>Hitpromo Enterprise Pte. Ltd.</t>
  </si>
  <si>
    <t>XU ZONGJIE</t>
  </si>
  <si>
    <t>BECKY</t>
  </si>
  <si>
    <t>202029857H</t>
  </si>
  <si>
    <t>Harvest Integrated Holding Pte. Ltd.</t>
  </si>
  <si>
    <t>XIANG DUAN</t>
  </si>
  <si>
    <t>HARVEST INTEGRATED RESEARCH ORGANIZATION</t>
  </si>
  <si>
    <t>202030134Z</t>
  </si>
  <si>
    <t>Jin Ying Li Capital Pte. Ltd.</t>
  </si>
  <si>
    <t>FENG PEIJUN</t>
  </si>
  <si>
    <t>202030257M</t>
  </si>
  <si>
    <t>Jin Li Family Office Pte. Ltd.</t>
  </si>
  <si>
    <t>JIN YING LI CAPITAL PTE. LTD.</t>
  </si>
  <si>
    <t>常性</t>
  </si>
  <si>
    <t>201935098N</t>
  </si>
  <si>
    <t>TANG WIN PTE LTD.</t>
  </si>
  <si>
    <t>TANG HOI LUN</t>
  </si>
  <si>
    <t>Dormant</t>
  </si>
  <si>
    <t>Existing Client</t>
  </si>
  <si>
    <t>202032391E</t>
  </si>
  <si>
    <t>Whole Team Pte. Ltd.</t>
  </si>
  <si>
    <t>LAU TIN KI</t>
  </si>
  <si>
    <t>Peggy</t>
  </si>
  <si>
    <t>Jason</t>
  </si>
  <si>
    <t>202032812G</t>
  </si>
  <si>
    <t>Da Jun Cai Pte. Ltd.</t>
  </si>
  <si>
    <t>LIANG ZHEN</t>
  </si>
  <si>
    <t>202032815Z</t>
  </si>
  <si>
    <t>Run Heng Zhi Pte. Ltd.</t>
  </si>
  <si>
    <t>YUAN JIAN</t>
  </si>
  <si>
    <t>CREDA RUBBER &amp; PLASTIC PRODUCTS INDUSTRIAL CO LIMITED</t>
  </si>
  <si>
    <t>202032802N</t>
  </si>
  <si>
    <t>Sheng Da Gao Pte. Ltd.</t>
  </si>
  <si>
    <t>YE LIPING</t>
  </si>
  <si>
    <t>8, UBI ROAD 2, #08-16, ZERVEX, SINGAPORE 408538</t>
  </si>
  <si>
    <t>202032822Z</t>
  </si>
  <si>
    <t>DigitalFutures.World Foundation Ltd.</t>
  </si>
  <si>
    <t>LTD.</t>
  </si>
  <si>
    <t>YUAN FENG | YE JING</t>
  </si>
  <si>
    <t>202031026K</t>
  </si>
  <si>
    <t>RICH GLORY PTE. LTD.</t>
  </si>
  <si>
    <t>TSE PUI LING | FUNG YIU TO</t>
  </si>
  <si>
    <t>202034237M</t>
  </si>
  <si>
    <t>UNITED MILL METAL PTE. LTD.</t>
  </si>
  <si>
    <t>ZHANG XUDONG | LIU WENJUAN</t>
  </si>
  <si>
    <t>201932702G</t>
  </si>
  <si>
    <t>YIYI INVESTMENT PTE. LTD.</t>
  </si>
  <si>
    <t>ZHAN SHUYING</t>
  </si>
  <si>
    <t>ZHAN SHUYING | HUA NAN</t>
  </si>
  <si>
    <t>202036193D</t>
  </si>
  <si>
    <t>TOCREATE TECHNOLOGY PTE. LTD.</t>
  </si>
  <si>
    <t xml:space="preserve">GUI HONG </t>
  </si>
  <si>
    <t>GUI HONG</t>
  </si>
  <si>
    <t>202037974C</t>
  </si>
  <si>
    <t>CHANT MARINE PTE. LTD.</t>
  </si>
  <si>
    <t>ZHU WENWEN</t>
  </si>
  <si>
    <t>202036036E</t>
  </si>
  <si>
    <t>COSIMA MEDICAL PTE. LTD.</t>
  </si>
  <si>
    <t>FENG ZHAN ZHAN | ZHAO JUN</t>
  </si>
  <si>
    <t>Struck-off</t>
  </si>
  <si>
    <t>E-sin</t>
  </si>
  <si>
    <t>Dropped by RF</t>
  </si>
  <si>
    <t>Transfer out</t>
  </si>
  <si>
    <t>201913336K</t>
  </si>
  <si>
    <t>PENTAFIELD GLOVAL REAL ESTATE</t>
  </si>
  <si>
    <t>BRIGHT FOREST TECHNOLOGY PTE. LTD</t>
  </si>
  <si>
    <t xml:space="preserve">PENG CONGBIAO  </t>
  </si>
  <si>
    <t>Pending RF to check with Mavis</t>
  </si>
  <si>
    <t>73 UPPER PAYA LEBAR ROAD #06-01C CENTRO BIANCO SINGAPORE 534818</t>
  </si>
  <si>
    <t>NEW FUTURE EDUCATION CENTRE PTE.LTD</t>
  </si>
  <si>
    <t>年审催</t>
    <phoneticPr fontId="3" type="noConversion"/>
  </si>
  <si>
    <t>201914125N</t>
  </si>
  <si>
    <t xml:space="preserve">LEAN EQUIPMENT MANAGEMENT </t>
  </si>
  <si>
    <t>GAO SHANSHAN</t>
  </si>
  <si>
    <t>Dropped by Client</t>
  </si>
  <si>
    <t>TC - May</t>
  </si>
  <si>
    <t>201915137E</t>
  </si>
  <si>
    <t>GRANSHARP ENTERPRISES PTE. LTD.</t>
    <phoneticPr fontId="3" type="noConversion"/>
  </si>
  <si>
    <t>ZHOU FUMEI</t>
  </si>
  <si>
    <t>TYI GROUP PTE.LTD</t>
  </si>
  <si>
    <t>FANG YUAN</t>
  </si>
  <si>
    <t>王总</t>
  </si>
  <si>
    <t>‘+8618857689191</t>
  </si>
  <si>
    <t>MA年审催 美金账户</t>
  </si>
  <si>
    <t>MAY/TC</t>
    <phoneticPr fontId="3" type="noConversion"/>
  </si>
  <si>
    <t xml:space="preserve">Had a tax dispute of $2000. Client intent to change provide. </t>
  </si>
  <si>
    <t xml:space="preserve">Client to proceed the closure themselves. </t>
  </si>
  <si>
    <t>201913348E</t>
  </si>
  <si>
    <t>ZHANG MENGYING</t>
  </si>
  <si>
    <t>201927488N</t>
  </si>
  <si>
    <t xml:space="preserve">Rui Engineering Pte. Ltd. </t>
  </si>
  <si>
    <t>TEO KIM CHUA</t>
  </si>
  <si>
    <t>To transfer to his own sister to settle AR</t>
  </si>
  <si>
    <t>Strike Off
010320</t>
  </si>
  <si>
    <t>Rayee Trading Pte. Ltd.</t>
  </si>
  <si>
    <t>RF has arrange to strike off in March 2020</t>
  </si>
  <si>
    <t>Liu Zheng self managed</t>
  </si>
  <si>
    <t>Yang Wei</t>
  </si>
  <si>
    <t>201900583D</t>
  </si>
  <si>
    <t>Clickgolden Ecommerce Pte. Ltd.</t>
  </si>
  <si>
    <t>Core Life Electronic Commerce Pte. Ltd.</t>
  </si>
  <si>
    <t>Transferred Out</t>
  </si>
  <si>
    <t>Andy Chia</t>
  </si>
  <si>
    <t>201911244N</t>
  </si>
  <si>
    <t>6, SHENTON WAY, #25-10, OUE DOWNTOWN, SINGAPORE 068809</t>
  </si>
  <si>
    <t>201901798R</t>
  </si>
  <si>
    <t>ARNIE ELECTRONIC COMMERCE PTE. LTD.</t>
  </si>
  <si>
    <t>201901796N</t>
  </si>
  <si>
    <t>GENUINE GOODS ELECTRONIC COMMERCE PTE. LTD.</t>
  </si>
  <si>
    <t>201904097M</t>
    <phoneticPr fontId="3" type="noConversion"/>
  </si>
  <si>
    <t>CHINA FOREVER DEVELOPMENT PTE LTD</t>
  </si>
  <si>
    <t>LEE WEI GUANG, JOHN</t>
    <phoneticPr fontId="3" type="noConversion"/>
  </si>
  <si>
    <t>WONG SHIRLEY SHING SHEUNG</t>
  </si>
  <si>
    <t>WerlChem Pte. Ltd</t>
  </si>
  <si>
    <t>Joystone LP</t>
  </si>
  <si>
    <t>LLP</t>
  </si>
  <si>
    <t>8, TAI THONG CRESCENT, #16-07, THE VENUE RESIDENCES, SINGAPORE 347842</t>
  </si>
  <si>
    <t>T18LP0128E</t>
  </si>
  <si>
    <t>Highridge Technology LP</t>
  </si>
  <si>
    <t>Struck Off</t>
  </si>
  <si>
    <t>Infinity Alpha Pte. Ltd.</t>
  </si>
  <si>
    <t>Amazon Capital Pte. Ltd.</t>
  </si>
  <si>
    <t>T18LP0124K</t>
  </si>
  <si>
    <t>RNV LP
SILVERSPRING TECHNOLOGY LP(f.k.a)</t>
  </si>
  <si>
    <t>23C, NIM ROAD, ESTE VILLA, SINGAPORE 805296</t>
  </si>
  <si>
    <t>201834987C</t>
  </si>
  <si>
    <t>XU FENG ECOMMERCE PTE. LTD.</t>
  </si>
  <si>
    <t>2, VENTURE DRIVE, #06-31, VISION EXCHANGE, SINGAPORE 608526</t>
  </si>
  <si>
    <t xml:space="preserve">2020报税 财务报表信息需要放进dropbox
AGM exempted for 2019
Pending FS
</t>
  </si>
  <si>
    <t>201939152N</t>
  </si>
  <si>
    <t>Bellerosa Pte. Ltd.</t>
  </si>
  <si>
    <t>LU JIANLAN</t>
  </si>
  <si>
    <t>jacquelinelu73@gmail.com</t>
  </si>
  <si>
    <t>Piji Pte. Ltd.</t>
  </si>
  <si>
    <t>UNEEKON MT PTE.LTD</t>
  </si>
  <si>
    <t>huang qing</t>
    <phoneticPr fontId="3" type="noConversion"/>
  </si>
  <si>
    <t>weixin</t>
    <phoneticPr fontId="3" type="noConversion"/>
  </si>
  <si>
    <t>年审 财报</t>
  </si>
  <si>
    <t>ALICE 年审19</t>
  </si>
  <si>
    <t>202032521E</t>
  </si>
  <si>
    <t>Gu Jia Ko Pte. Ltd.</t>
  </si>
  <si>
    <t>WANG KONGHUI</t>
  </si>
  <si>
    <t>202032523G</t>
  </si>
  <si>
    <t>Nuo Bi Ke Pte. Ltd.</t>
  </si>
  <si>
    <t>SUN PENG</t>
  </si>
  <si>
    <t>202032528C</t>
  </si>
  <si>
    <t>Huang Ji Xin Pte. Ltd.</t>
  </si>
  <si>
    <t>HUANG CHENGZENG</t>
  </si>
  <si>
    <t>202033368Z</t>
  </si>
  <si>
    <t>JU HE JIN PTE. LTD.</t>
  </si>
  <si>
    <t>CHEN ZHE</t>
  </si>
  <si>
    <t>202033370E</t>
  </si>
  <si>
    <t>QIAO WANG LIN PTE. LTD.</t>
  </si>
  <si>
    <t>ZENG WEILIN</t>
  </si>
  <si>
    <t>202033378M</t>
  </si>
  <si>
    <t>XIN WEN LAN PTE. LTD.</t>
  </si>
  <si>
    <t>LIU XIAOLAN</t>
  </si>
  <si>
    <t>202033585C</t>
  </si>
  <si>
    <t>XING JIA MING PTE. LTD.</t>
  </si>
  <si>
    <t>WANG XING</t>
  </si>
  <si>
    <t>202033590Z</t>
  </si>
  <si>
    <t>YI BEI WEI PTE. LTD.</t>
  </si>
  <si>
    <t>LI DAWEI</t>
  </si>
  <si>
    <t>202033596E</t>
  </si>
  <si>
    <t>YONG CHANG XIN PTE. LTD.</t>
  </si>
  <si>
    <t>LIN WENBING</t>
  </si>
  <si>
    <t>Company Name</t>
  </si>
  <si>
    <t>Date of Incorporation</t>
  </si>
  <si>
    <t>N.D</t>
  </si>
  <si>
    <t>Effective from</t>
  </si>
  <si>
    <t>Till</t>
  </si>
  <si>
    <t xml:space="preserve">Status </t>
  </si>
  <si>
    <t>Payment to N.D</t>
  </si>
  <si>
    <t>Remarks</t>
  </si>
  <si>
    <t>FYE</t>
  </si>
  <si>
    <t>201622505C</t>
  </si>
  <si>
    <t>SOHU INTERNATIONAL TRADING PTE.LTD</t>
  </si>
  <si>
    <t>Outstanding</t>
  </si>
  <si>
    <t>FOILI PTE LTD</t>
  </si>
  <si>
    <t>PANGOLIN TECHNOLOGY PTE. LTD</t>
  </si>
  <si>
    <t>201815208H</t>
  </si>
  <si>
    <t>L PRESTIGE GLOBAL PTE. LTD</t>
  </si>
  <si>
    <t>WORTHY CHOICE INTERNATIONAL PTE.LTD</t>
  </si>
  <si>
    <t>201833729C</t>
  </si>
  <si>
    <t>R-POWER HOLDINGS PTE.LTD</t>
  </si>
  <si>
    <t>201836229W</t>
  </si>
  <si>
    <t>SHADOW SPADE WEB SERVICE PTE.LTD</t>
  </si>
  <si>
    <t>Active</t>
  </si>
  <si>
    <t>GRANSHARP ENTERPRISES PTE. LTD.</t>
  </si>
  <si>
    <t>RISING SKY PTE LTD</t>
  </si>
  <si>
    <t>201812475E</t>
  </si>
  <si>
    <t>SEA HUA INTERNATIONAL TRADING PTE.LTD</t>
  </si>
  <si>
    <t>201812996N</t>
  </si>
  <si>
    <t>SUPRA CAPITAL MANAGEMENT PTE.LTD</t>
  </si>
  <si>
    <t>Replaced</t>
  </si>
  <si>
    <t>Replaced by PIAO YINZHEN 16/09/20</t>
  </si>
  <si>
    <t>201834746K</t>
  </si>
  <si>
    <t>Paid 130220</t>
  </si>
  <si>
    <t>Renewed on 130220</t>
  </si>
  <si>
    <t>201833254M</t>
  </si>
  <si>
    <t>NEW DIAMOND PTE. LTD</t>
  </si>
  <si>
    <t>SHHAWAL LEE HENGG BIN IHSAN</t>
    <phoneticPr fontId="3" type="noConversion"/>
  </si>
  <si>
    <t>201835772C</t>
  </si>
  <si>
    <t>SIONA BK (SINGAPORE). CO. PTE. LTD.</t>
  </si>
  <si>
    <t>Hong Yan Information Technology Pte. Ltd.</t>
  </si>
  <si>
    <t xml:space="preserve">Supra Capital Management Pte. Ltd. </t>
  </si>
  <si>
    <t>Jin Li Family Office Pte. Ltd</t>
  </si>
  <si>
    <t>Rich Glory Pte. Ltd.</t>
  </si>
  <si>
    <t>S/No.</t>
  </si>
  <si>
    <t>Date of Job Order</t>
  </si>
  <si>
    <t>Approver</t>
  </si>
  <si>
    <t>BSU</t>
  </si>
  <si>
    <t>Name of Client</t>
  </si>
  <si>
    <t>Director</t>
  </si>
  <si>
    <t>Nominal Director</t>
  </si>
  <si>
    <t>Shareholder</t>
  </si>
  <si>
    <t xml:space="preserve">Bank </t>
  </si>
  <si>
    <t xml:space="preserve">KYC </t>
  </si>
  <si>
    <t>Description of Job</t>
  </si>
  <si>
    <t>Status</t>
  </si>
  <si>
    <t>Completed Date</t>
  </si>
  <si>
    <t>Account Number</t>
  </si>
  <si>
    <t>Mailing Address</t>
  </si>
  <si>
    <t>Token</t>
  </si>
  <si>
    <t>Commission Rate</t>
  </si>
  <si>
    <t>Billing</t>
  </si>
  <si>
    <t>Billing Date</t>
  </si>
  <si>
    <t>Dropbox</t>
  </si>
  <si>
    <t>MasterList</t>
  </si>
  <si>
    <t>Incorporation Details</t>
  </si>
  <si>
    <t>Account number</t>
  </si>
  <si>
    <t>RF</t>
  </si>
  <si>
    <t>Company Incorporation</t>
  </si>
  <si>
    <t>Quark Technology Pte. Ltd
201912100C</t>
  </si>
  <si>
    <t>UOB - Sherry 
9188 1457</t>
  </si>
  <si>
    <t>Sent Chinese Letter of Intent to Sherry
10/5 - Request for SG contracts &amp; Director CV
Opened on 24 May 2019</t>
  </si>
  <si>
    <t>Opened</t>
  </si>
  <si>
    <t>MA JINXING, ZHANG MENGYING</t>
  </si>
  <si>
    <t>JIA HONGYAN
S8586614A</t>
  </si>
  <si>
    <t>UOB - Marcus Kheng</t>
  </si>
  <si>
    <t xml:space="preserve">Sent Customer PO
Opened on 29 May 2019
366-319-315-3 (SGD)
</t>
  </si>
  <si>
    <t>PENFIELD GLOVAL REAL ESTATE PTE. LTD.</t>
  </si>
  <si>
    <t>GiNG LEE HENGG
S9509358B</t>
  </si>
  <si>
    <t>Sent Supporting Documents
Opened on 27 May 2019
348-319-056-3 (SGD)
348-902-930-6 (USD)</t>
  </si>
  <si>
    <t>Lean Equipment Management Pte. Ltd
201914125N</t>
  </si>
  <si>
    <t>GAO SHANSHAN
S8282714E</t>
  </si>
  <si>
    <t>Sent Unicorn PO</t>
  </si>
  <si>
    <t>Aborted</t>
  </si>
  <si>
    <t>Bank Account Opening</t>
  </si>
  <si>
    <t>AIKOO INTERNATIONAL PTE LTD</t>
  </si>
  <si>
    <t>UOB - Lily Phoa</t>
  </si>
  <si>
    <t>Pending RF document for KYC account opening</t>
  </si>
  <si>
    <t xml:space="preserve">Aborted </t>
  </si>
  <si>
    <t>Corp Sec</t>
  </si>
  <si>
    <t>CORE LIFE ELECTRONIC COMMERCE PTE. LTD. 
201901679G</t>
  </si>
  <si>
    <t>ZHONG GUANGHUA
EE4814895</t>
  </si>
  <si>
    <t>LIU ZHENG
S6979752J</t>
  </si>
  <si>
    <t>Application to take over bank account</t>
  </si>
  <si>
    <t>Cancelled</t>
  </si>
  <si>
    <t>ARNIE ELECTRONIC COMMERCE PTE. LTD.
201901798R</t>
  </si>
  <si>
    <t>JIAO YANFENG
EE2152263</t>
  </si>
  <si>
    <t>GING LEE HENGG
S9509358B</t>
  </si>
  <si>
    <t>GING LEE HENGG to apply for token after payment arrears is settled</t>
  </si>
  <si>
    <t>UNISTRUMENT ELECTRONIC COMMERCE PTE. LTD.
201901795D</t>
  </si>
  <si>
    <t>CUI GUANGLIN
EE2816200</t>
  </si>
  <si>
    <t>YANG WEI to apply for token after payment arrears is settled
YANG WEI taken over account</t>
  </si>
  <si>
    <t>GENUINE GOODS ELECTRONIC COMMERCE PTE. LTD.
201901796N</t>
  </si>
  <si>
    <t>WANG DONGXU
EE4025032</t>
  </si>
  <si>
    <t xml:space="preserve">Opened </t>
  </si>
  <si>
    <t>Rayee Trading Pte. Ltd.
201900510C</t>
  </si>
  <si>
    <t>ZHAO FUCUN
EE2939301</t>
  </si>
  <si>
    <t>LEE WEI GUANG, JOHN
S9106170H</t>
  </si>
  <si>
    <t>Clickgolden Ecommerce Pte. Ltd.
201900583D</t>
  </si>
  <si>
    <t>ZHONG GUANGWEI
EE2816199</t>
  </si>
  <si>
    <t>UNICORN SUPPLY CHAIN MANAGEMENT PTE. LTD. 
201840596W</t>
  </si>
  <si>
    <t>OCBC - Charise</t>
  </si>
  <si>
    <t>Sent Supporting Documents</t>
  </si>
  <si>
    <t>BVI Bank Account Opening</t>
  </si>
  <si>
    <t>Magic Networking Inc.
1983680</t>
  </si>
  <si>
    <t>CHEN JIANWU</t>
  </si>
  <si>
    <t>DBS - Kevin
8332 6882</t>
  </si>
  <si>
    <t xml:space="preserve">Sent doc on 28 May </t>
  </si>
  <si>
    <t>OCBC - Phobe Choo
9859 8805</t>
  </si>
  <si>
    <t xml:space="preserve">Sent doc on 28 May 
Sent Setting It Unicorn Contract </t>
  </si>
  <si>
    <t>Magic Information Technology Limited
1985513</t>
  </si>
  <si>
    <t>With RF</t>
  </si>
  <si>
    <t>HK Bank Account Opening</t>
  </si>
  <si>
    <t>Creda Rubber</t>
  </si>
  <si>
    <t xml:space="preserve">Document Sent - 10 Jul 2019 
Requested for M&amp;AA - 11 Jul 2019 
Requested for SG contracts - 11 Jul 2019
Client Signed - 6 Aug 2019 
</t>
  </si>
  <si>
    <t>Account Opening</t>
  </si>
  <si>
    <t xml:space="preserve">Mei Qi Jia Cheng Media Pte. Ltd. </t>
  </si>
  <si>
    <t>OCBC - Shirley</t>
  </si>
  <si>
    <t xml:space="preserve">An Chen New Technology </t>
  </si>
  <si>
    <t>UOB - Kevin
8332 6882</t>
  </si>
  <si>
    <t xml:space="preserve">Form mailed out to client - 10 Sept 2019
</t>
  </si>
  <si>
    <t>Dropped</t>
  </si>
  <si>
    <t xml:space="preserve">FHJL Investment Limited </t>
  </si>
  <si>
    <t>Form received from client - 
Form submitted to Banker - 17 Sept 2019</t>
  </si>
  <si>
    <t>Rui Engineering Pte. Ltd.</t>
  </si>
  <si>
    <t>Client Signed - 2 Sept 2019 
Chq submitted - 3 Sept 2019
Account opened - 16 Sept 2019</t>
  </si>
  <si>
    <t>Y &amp; G Furniture &amp; Interior Pte. Ltd.</t>
  </si>
  <si>
    <t xml:space="preserve">Client signed - 23 Aug 2019
Chq submitted - 23 Aug 2019 
Opened - </t>
  </si>
  <si>
    <t>Seychelles Bank Account Opening</t>
  </si>
  <si>
    <t>VAN NOTEN INTERNATIONAL LTD</t>
  </si>
  <si>
    <t>DBS - Stacey
9457 3150</t>
  </si>
  <si>
    <t>Submitted to Stacey - 26 Aug 2019
Banker requested Singapore Nexus - 10 Sept 2019 
Opened - 15 Nov 2019</t>
  </si>
  <si>
    <t>Wanze Industrial Co., Limited</t>
  </si>
  <si>
    <t>Submitted to Stacey - 10 Sept 2019
Banker requested Singpaore Nexus - 10 Sept 2019</t>
  </si>
  <si>
    <t>Sinc International Pte. Ltd</t>
  </si>
  <si>
    <t xml:space="preserve">Banker updated - 16 Sept 2019
Bank declined account opening </t>
  </si>
  <si>
    <t>Closed</t>
  </si>
  <si>
    <t>Rsin  Group Pte. Ltd.</t>
  </si>
  <si>
    <t xml:space="preserve">Document submitted - 16 Sept 19
</t>
  </si>
  <si>
    <t>SG Account Opening</t>
  </si>
  <si>
    <t>Sinc International Pte. Ltd.</t>
  </si>
  <si>
    <t>Doc sent - 22 Sept 19
Form signing - 23 Sept 19
Cheque submission - 24 Sept 19
RF bank statement - 27 Sept 19    
Opened -     25 Oct 19</t>
  </si>
  <si>
    <t>Rsin Group Pte. Ltd.</t>
  </si>
  <si>
    <t>DBS - Bedok Branch</t>
  </si>
  <si>
    <t>Form Signing - 20 Sept 19</t>
  </si>
  <si>
    <t>HK Account Opening - In Person</t>
  </si>
  <si>
    <t>Sao Gabriel Hong Kong 
聖加百利香港有限公司</t>
  </si>
  <si>
    <t>李总</t>
  </si>
  <si>
    <t>Form Signing - 1 Nov 2019
Sent M&amp;AA - 22 Nov 2019
Opened - 4 Dec 2019</t>
  </si>
  <si>
    <t>DBS Corporate MCA 072-016513-6</t>
  </si>
  <si>
    <t>乐业</t>
  </si>
  <si>
    <t>HK Account Opening - CPA</t>
  </si>
  <si>
    <t>MINSHENGXIN TRADING LIMITED
閩勝鑫貿易有限公司</t>
  </si>
  <si>
    <t>邱志童</t>
  </si>
  <si>
    <t>Doc Sent - 1 Nov 2019
Client KYC -  11 Nov 19
Pending CPA document - 
Signed CPA documet - 26 Nov
Stacey returned form - 2 Dec 
Digitalised form with signature rework by stacey - 2 Jan 
Chaser sent - 6 Jan 20
Chaser sent to stacey - 12 Feb 20
Chaser sent to stacey - 2 Mar 20
Aborted by 乐业 - March 20</t>
  </si>
  <si>
    <t>SHENGJIAN TRADING LIMITED
 晟堅貿易有限公司</t>
  </si>
  <si>
    <t>邱培坚</t>
  </si>
  <si>
    <t>Doc Sent - 1 Nov 2019
Client KYC - 8 Nov 19
Pending CPA documents - 25 Nov 19
Signed CPA documet - 26 Nov
Stacey returned form - 2 Dec
Digitalised form with signature rework by stacey - 2 Jan 
Chaser sent - 6 Jan 20
Request for doc - 7 Feb 20
Chaser sent to client for doc - 12 Feb 20
Banker send clarification email to client - 16 Feb 20</t>
  </si>
  <si>
    <t>Pending SG contract 
Requested from client</t>
  </si>
  <si>
    <t>EP</t>
  </si>
  <si>
    <t>SG Account Opening - Remote</t>
  </si>
  <si>
    <t>Yiyi Investment Pte. Ltd.
201932702G</t>
  </si>
  <si>
    <t>Hua Nan</t>
  </si>
  <si>
    <t>Doc received - 14 Nov 19
Sent to Kevin - 15 Nov 19
Kevin Boss Approval - 31 Dec 19
Account Opened - 3 Jan 20</t>
  </si>
  <si>
    <t>SGD 451-311-819-2</t>
  </si>
  <si>
    <t>8 Tanah Merah Kechil Link #10-15 S465420</t>
  </si>
  <si>
    <t>Group ID: YIYIINVESTMENT
User ID: UOBHUANAN
User ID: ZHANSHUYING</t>
  </si>
  <si>
    <t>SGD 451-311-819-2
SGD 451-311-821-4</t>
  </si>
  <si>
    <t>SG Account Opening - CPA</t>
  </si>
  <si>
    <t>Star Ocean Technology Pte. Ltd.
201935957D</t>
  </si>
  <si>
    <t>WU DAWEI
ED2240831</t>
  </si>
  <si>
    <t>XIE YONG
S8674907F</t>
  </si>
  <si>
    <t xml:space="preserve">ZHANG ZHI
WU DAWEI
</t>
  </si>
  <si>
    <t>Doc received - 19 Nov 19
Video Appt - 25 Nov 19 1100am
Signatory to be WU DA WEI 
Pending CPA document - 
Digitalised form with signature rework by stacey - 2 Jan 
Chaser sent - 6 Jan 20
Chaser sent to Stacey for account opening - 12 feb 20
Aborted by 乐业 - March 20</t>
  </si>
  <si>
    <t>SG Account Opening - IPAD</t>
  </si>
  <si>
    <t>Henghong Trading Pte. Ltd.
201935702R</t>
  </si>
  <si>
    <t>XU RONGRONG
ED6708473</t>
  </si>
  <si>
    <t>Video Appt - 25 Nov 19 0930am 
Pending Nominal Director to sign - 2 Dec 19
Request for bank form - 6 Jan 20
Email w form follow up - 6 Jan 20
Chaser sent to stacey - 12 Feb 20
Aborted by 乐业 - March 20</t>
  </si>
  <si>
    <t xml:space="preserve">Hongkong Xianghanyu 
香港翔函宇贸易有限公司资料 </t>
  </si>
  <si>
    <t>LI YOU YI
E89646762</t>
  </si>
  <si>
    <t>Doc received - 19 Nov 19
Video Appt - 25 Nov 19 1100am
Pending - KYC 
Email w form Follow up - 6 Jan 20
Request for doc - 7 Feb 20
Chaser sent to client for doc - 12 Feb 20
Client sent doc - 12 Feb 20
Received SG contract from Ivy and sent to Stacey - 18 Feb 20
Aborted by 乐业 - March 20</t>
  </si>
  <si>
    <t>HK Bank Account Opening - IPAD</t>
  </si>
  <si>
    <t xml:space="preserve">Shengruier Trading HK Co., Limited 
圣瑞薾贸易 （香港）有限公司 </t>
  </si>
  <si>
    <t>SHI YA DING
E71145333</t>
  </si>
  <si>
    <t>n.a</t>
  </si>
  <si>
    <t xml:space="preserve">Doc received - 19 Nov 19
Video Appt - 25 Nov 19 1100am
REJECTED by Stacey
</t>
  </si>
  <si>
    <t>Rejected</t>
  </si>
  <si>
    <t>OK</t>
  </si>
  <si>
    <t>Perfect Ten Limited</t>
  </si>
  <si>
    <t>SU PO</t>
  </si>
  <si>
    <t>Doc processed - 21 Nov 19
Video Appt - 27 Nov 19 230pm
Client travelling rescheduled - 10 Dec 19 230pm
Request for form - 6 Jan 20
Request for doc - 7. Feb 20
Send chaser to client - 12 Feb 20
Banker to proceed - 25 Feb 20
Stacey requested for address translation and sent - 4 March 20
Account Opening - 16 March 20</t>
  </si>
  <si>
    <t>Kaisen Industrial Limited 
凯森 纺织品资料</t>
  </si>
  <si>
    <t>LIU JUN ZHEN</t>
  </si>
  <si>
    <t>Doc processed - 22 Nov 19
Video Appt - 27 Nov 19 230pm
Pending digital resign - 10 Dec 19
Request for form - 6 Jan 20
Request for SG contract - 7 Feb 20
Chaser sent to client + Ivy - 12 Feb 20
Received SG contract from Ivy and sent to Stacey - 18 Feb 20
Aborted by 乐业 - March 20</t>
  </si>
  <si>
    <t>SG Account Update</t>
  </si>
  <si>
    <t>TYI Group Pte. Ltd.</t>
  </si>
  <si>
    <t>Pending client contact from RF - 22 Nov 19
Client called to feedback Shirley haven't contacted them - 27 Nov 19
Checked in with Shirley on the status of TYI - 2 Jan 20
Shirley to send bank documents to  Fang Yuan - 4 Jan 20
Pending client reply to Shirley email - 3 Feb 20
Client reply pending company reopening - 12 Feb 20
Chaser sent to shirley for new forms - 24 Feb 20
Client feedback saying that cannot open email - 25 Feb 20</t>
  </si>
  <si>
    <t>Morning Pte. Ltd
201934460K</t>
  </si>
  <si>
    <t>GUO XIYUE
E27824089</t>
  </si>
  <si>
    <t>HSBC -  Sophie 
9018 2158</t>
  </si>
  <si>
    <t>HSBC opening</t>
  </si>
  <si>
    <t>Xin Prospe Trade Pte. Ltd.
201934451H</t>
  </si>
  <si>
    <t>GAO DEPIN
ED3038880</t>
  </si>
  <si>
    <t>HK Xinheng Trading Limited 
香港鑫恒贸易有限公司</t>
  </si>
  <si>
    <t>LIN ZHIWEI
EH6605758</t>
  </si>
  <si>
    <t>Pending Video on 10 Dec 19
Doc sent to Stacey 4 Dec 19
Email w form follow up - 6 Jan 20
Request for doc - 7 Feb 20
Chaser sent to Client (SG contract) - 12 Feb 20
Aborted by 乐业 - 15 May 20</t>
  </si>
  <si>
    <t>Cheer Motion Limited
勵志有限公司</t>
  </si>
  <si>
    <t>LIN YAXUAN
EB2172728</t>
  </si>
  <si>
    <t>Company Incorp 21 March 2019
Pending Video on 10 Dec 19
Doc sent to Stacey 4 Dec 19
Ivy inform pending Video Rescheduling - 9 Dec
Aborted by 乐业 - March 20</t>
  </si>
  <si>
    <t>HK Wahxin Trading Limited 
香港华馨贸易有限公司</t>
  </si>
  <si>
    <t>LIN JUNFENG
EE3446074</t>
  </si>
  <si>
    <t>Pending Video on 10 Dec 19
Doc sent to Stacey 4 Dec 19
PENDING 身份证
Email w form follow up - 6 Jan 20
Chaser to client sent - 12 Feb 20
Aborted by 乐业 - 15 May 20</t>
  </si>
  <si>
    <t>Changzheng Trading Limited 
昌正贸易有限公司</t>
  </si>
  <si>
    <t>HE CHUNWEI
EB7144643</t>
  </si>
  <si>
    <t>Pending Video on 10 Dec 19
Email w form follow up - 6 Jan 20
Chaser sent to Banker - 12 Feb 20
Aborted by 乐业 - March 20</t>
  </si>
  <si>
    <t>Yifly Trading Limited 
怡飛貿易有限公司</t>
  </si>
  <si>
    <t>XIE BINGBING
EE6802582</t>
  </si>
  <si>
    <t>Pending Video on 10 Dec 19
PENDING Passport 
Email w form follow up - 6 Jan 20
request for more doc - 7 feb 20
Chaser sent to client for docu - 12 Feb 20
Received from Ivy SG contract and sent to Stacey - 18 Feb 20
Aborted by 乐业 - 15 May 20</t>
  </si>
  <si>
    <t>RHB - LYN
9030 7228</t>
  </si>
  <si>
    <t>Pending CPA signed Documents
Docs Sent to Lyn - 4 Dec 19</t>
  </si>
  <si>
    <t>HK Bank Account Opening - In Person</t>
  </si>
  <si>
    <t>Gfinnovation Pty Limited
Screenlight Entertaiment Worldwide Pty Limited</t>
  </si>
  <si>
    <t>WU GUIQUN
PA2613269</t>
  </si>
  <si>
    <t>UOB - Lily Phoa
8218 4565</t>
  </si>
  <si>
    <t>Document sent - 3 Dec 19
F2F signing @ UOB - 9 Dec 19
Pending M&amp;AA - 12 Dec 19
Checked in on client on M&amp;AA - 2 Jan 20
Client checked back if needed original M&amp;AA - 8 Jan
chaser sent to vanessa - 12 Feb 20
M&amp;AA received from Vanessa - 17 Feb 20
M&amp;AA sent to Lily - 18 Feb 20
Chaser sent to lily for outstanding list - 24 Feb 20
Sent chaser to Vanessa - 20 Mar 20
Chaser send to vanessa - 2 Apr 20
Contract requires rework - 24 Apr 20
Chaser sent to vanessa for the outstanding - 18 may 20
Chaser sent to Vanessa on M&amp;AA - 22 May 20
Chaser sent to vanessa for client to print and sign M&amp;AA - 1 June 20
Vaness requested to terminate the account opening - 2 June 20 
Request failed but we offered $1k rebate for her singapore incorp firm - 3 June</t>
  </si>
  <si>
    <t>Hong Kong Golden Land International Trading Co., Limited
金地国际贸易有限公司</t>
  </si>
  <si>
    <t>LI QIANG
E05292505</t>
  </si>
  <si>
    <t>Pending Account Opening form - 23 Dec 19
Pending Video Appointment - 7 Jan 20
Pending Ivy reconfirmation - 8 Jan 20
Pending Video Appointment - 14 Jan 20
Aborted by 乐业 - March 20</t>
  </si>
  <si>
    <t>HKYUX TRADING LIMITED 
香港裕興貿易有限公司</t>
  </si>
  <si>
    <t>LIU JIAYU
E21771193</t>
  </si>
  <si>
    <t>Pending Account Opening form - 23 Dec 19
Pending Video Appointment - 7 Jan 20
Ivy aborted application - 6 Jan 20</t>
  </si>
  <si>
    <t>Lonian Mork Limited</t>
  </si>
  <si>
    <t>RYMAN HYDER 
T5708579</t>
  </si>
  <si>
    <t>Pending Video Appointment - 7 Jan 20 @ 230pm
Morning signing failed - 7 Jan 20
Pending client email of forms - 8 Jan 20
Send chaser to stacey - 7 Feb 20
Chaser sent to banker - 12 Feb 20
Rejected - 4 Mar 20</t>
  </si>
  <si>
    <t>Digital Token (1)</t>
  </si>
  <si>
    <t>Hengxinda Commerce and Trade Co., Limited
恒信達商貿有限公司</t>
  </si>
  <si>
    <t>YAO YONGGU
G54740325</t>
  </si>
  <si>
    <t xml:space="preserve">Pending Video Appointment - 7 Jan 20 aborted due to unfamiliar form process
Pending Video Appointment - 14 Jan 20 930am
Send Chaser to Stacey - 7 Feb 20
send chaser to stacey - 12 Feb 20
Rejected - 4 March </t>
  </si>
  <si>
    <t>Norbida - Mavis</t>
  </si>
  <si>
    <t>Ho Win International Holdings Ltd.</t>
  </si>
  <si>
    <t>TSANG SHU HO
KJ0689777</t>
  </si>
  <si>
    <t>Send to Stacey - 7 Feb 20
Stacey replied for KYC, Contract. - 11 Feb 20</t>
  </si>
  <si>
    <t>Tin Shing International Holding Limited</t>
  </si>
  <si>
    <t>TSE KA KIT
KJ0485244</t>
  </si>
  <si>
    <t>Saint Vincent and the Grenadines Bank Account Opening</t>
  </si>
  <si>
    <t>Equity World Intnl Limited</t>
  </si>
  <si>
    <t>LAN HAO-WEI
351648512</t>
  </si>
  <si>
    <t>na.</t>
  </si>
  <si>
    <t xml:space="preserve">Pending client acceptance
</t>
  </si>
  <si>
    <t xml:space="preserve">MA </t>
  </si>
  <si>
    <t>Doc sent to Lily - 210220
Pending Kenneth to connect - 240220
Required doc to support opening - 260220
Chaser sent to client to follow up - 280220
Pending contract + Passport - 280220
Chaser sent - 19 March 
Chaser Sent - 27 Mar
Chaser sent - 24 Mar
Dropped by Rsin - 18 May 20</t>
  </si>
  <si>
    <t>Received new order for account opening - 19 Feb 20
Pending rework on KYC
Send to Stacey - 9 Mar 20
Sample Contract
To swing to JX if necessary</t>
  </si>
  <si>
    <t>Marshall Island Account Opening - Remote</t>
  </si>
  <si>
    <t>Sidley Energy Technology Limited</t>
  </si>
  <si>
    <t>DBS - Li Jinxin
8468 6649</t>
  </si>
  <si>
    <t>Processing Information - 24 Feb 20
COI, Passport, IC, M&amp;AA in order. Including KYC - 24 Feb 20
Sent to stacey for preliminary assessment - 24 Feb 20
Target next Tuesday to Thursday
Incumbency Sent - 9 Mar 
Send to Jinxin - 19 Mar
Send o/s M&amp;AA to Jinxin - 27 Mar
Video conference changed to 9th Apr 3:30pm - 2 Apr
JX requested for clearer M&amp;AA - 21 Apr 
Account opening - 24 Apr</t>
  </si>
  <si>
    <t>Morelux Industrial Company Limited</t>
  </si>
  <si>
    <t xml:space="preserve">Processing information - 24 Feb 20
Pending QIBING passport and IC &amp; Company M&amp;AA
Target 20th March 
Received Incumbency - 16 March 20
KYC video done - 19 March 20
Chaser sent - 27 Mar
Stacey requested for Qi Bing Passport - 31 Mar
Qi Bing Passport sent - 2 Apr 
 Stacey updated client that acc should be open by next week- 15 May
Token mailed out to client - 8 June </t>
  </si>
  <si>
    <t xml:space="preserve">DBS Corporate MCA 072-021953-8
DBS USD 
0072-002485-01-5
DBS EUR 
0072-002486-01-7
</t>
  </si>
  <si>
    <t>华菜美</t>
  </si>
  <si>
    <t>Aborted by 乐业 - March 20</t>
  </si>
  <si>
    <t>CHEN MING-TE
306831399</t>
  </si>
  <si>
    <t>RHB - Wilson
9144 6614</t>
  </si>
  <si>
    <t>COI + Director information sent - 3 Mar 20
Pending KYC from Mavis
KYC forwarded to Wilson - 4 Mar
Replied OK - 5 Mar</t>
  </si>
  <si>
    <t>Dropped due to Covid-19</t>
  </si>
  <si>
    <t>Gemini Capital LLC</t>
  </si>
  <si>
    <t xml:space="preserve">Robert Anthony Rowland Berkeley
</t>
  </si>
  <si>
    <t>Information sent to Wilson - 4 Mar 
Replied OK - 5 Mar</t>
  </si>
  <si>
    <t xml:space="preserve">Send - 19 Mar 20
Pending Mavis to provide clarification - 27 Mar
Resent to JX for appraisal - 11 June 
Lack of 3 year track record - 1 July </t>
  </si>
  <si>
    <t>Client to open either DBS or RHB.</t>
  </si>
  <si>
    <t xml:space="preserve">Dropped </t>
  </si>
  <si>
    <t>TC - Lily</t>
  </si>
  <si>
    <t>Latitude Global HK Limited</t>
  </si>
  <si>
    <t>ZHOU Yiyun</t>
  </si>
  <si>
    <t>UOB - Kevin</t>
  </si>
  <si>
    <t xml:space="preserve">Pending CV &amp; relation of SB&amp;G 
Pending transfer of shares into AG Recycling
Bank Documents sent to Harry.huang@iprosperity.com - 27 Mar 
Kevin require dated M&amp;AA and tax certificate  - 18 May 20
Updated opening by end of May - 18 May 20
Kevin email asking for POA and employment history - 21 May 20
Replied Kev on POA &amp; employment history - 22 May 20
Update from Kevin that the account will be open these few days - 1 June 
</t>
  </si>
  <si>
    <t>SGD 701-337-156-7
HKD 769-964-510-2
USD 769-964-511-0
AUD 769-964-512-9</t>
  </si>
  <si>
    <t>MORGAN HILL GLOBAL FS  LIMITED</t>
  </si>
  <si>
    <t>Pending Passport, IC, SG contracts, 
Chaser Sent - 27 Mar
Dropped due to lack of credibility - 11 June</t>
  </si>
  <si>
    <t>Rsin</t>
  </si>
  <si>
    <t>Eastwell Chemical Pte. Ltd</t>
  </si>
  <si>
    <t>Zhao Zhiren</t>
  </si>
  <si>
    <t>UOB - Alvin</t>
  </si>
  <si>
    <t>Sent full docs to Lily - 19 Mar 20
25  Video KYC confirmed - 19 March 20
Replied Alvin queries - 27 Mar
Alvin called to check on Zhang Zhaoxin - 15 May 20
Sent chaser to Alvin - 22 May 20
Chaser to Alvin for Account number - 1 June 20
Account Opened - 3 June</t>
  </si>
  <si>
    <t>To consider sending up to JX for evaluation
Resend to JX for consideration - 11 June
Due to lack of 3 year track record - 1 July 20</t>
  </si>
  <si>
    <t>Local Account Opening</t>
  </si>
  <si>
    <t>Transeas International Pte. Ltd</t>
  </si>
  <si>
    <t>UOB - Coco (Lily)
83759765</t>
  </si>
  <si>
    <t>Pending client KYC form
Received request for invoice from Lily and CV - 18 May 
Send outstanding doc to Lily and Coco - 19 May
KYC appt on 26 May 11am - 22 May
Documents Received - 29 May 
Pending Signature by Nominal Director - 1 June
Update from Coco that this may take a while
Account Opened - 26 June</t>
  </si>
  <si>
    <t xml:space="preserve">Hong Kong Haosheng International Holding Limited
香港毫盛国际控股有限公司 </t>
  </si>
  <si>
    <t>HONG WENDI</t>
  </si>
  <si>
    <t>Pending New Passport - 18 May
Received new passport - 18 May
Chaser to JX - 1 June 
Rejected before in April 2020 before - 1 June</t>
  </si>
  <si>
    <t>Five Domain International Trade Co., Limited</t>
  </si>
  <si>
    <t>CAI DUNSHEN</t>
  </si>
  <si>
    <t>Pending SG contract (the old contract company stamp is wrong) + KYC questionnaire - 18 May 
SG contract received - 19 May
Chaser to JX - 1 June
Rejected before in Dec 2019 before - 1 June</t>
  </si>
  <si>
    <t>Greenfield Trade Pte. Ltd.</t>
  </si>
  <si>
    <t>HONG YAHUI</t>
  </si>
  <si>
    <t>All in position
Chaser to JX - 1 June
Rejected because Fujian Stakeholder - 1 June</t>
  </si>
  <si>
    <t xml:space="preserve">朗翰有限公司 </t>
  </si>
  <si>
    <t>TIAN YANWAN</t>
  </si>
  <si>
    <t>Rejected because Fujian Stateholder - 2 June</t>
  </si>
  <si>
    <t xml:space="preserve">Resend to JX with tenancy - 3 June 
Rejected - 3 June </t>
  </si>
  <si>
    <t>DBS - Adrian
9853 1229</t>
  </si>
  <si>
    <t xml:space="preserve">Refered by JX to Adrian - 3 June 
Decision pending client to go DBS or UOB - 5 June
Client decided to go DBS - 8 June
Requirement (contracts and factory proof) sent to May - 10 June 
DBS unable to onboard - 6 July 
</t>
  </si>
  <si>
    <t>Wel by Nature Pte. Ltd.</t>
  </si>
  <si>
    <t>KYC Video - 18 June 
Pending signed documents
Client asked for update - 6 July 
Account Opened and mailed out to Australia - 21 July</t>
  </si>
  <si>
    <t>601234982001 (SGD)
601235690201 (USD)</t>
  </si>
  <si>
    <t xml:space="preserve">Shirley updated that account approved pending account number - 6 Aug 
Account Opened and mailing address confirm Peninsula - 11 Aug
Cheque and documents received - 13 Aug </t>
  </si>
  <si>
    <t>111 North Bridge Road Peninsula Plaza #29-06A</t>
  </si>
  <si>
    <t>Rsin - Faith</t>
  </si>
  <si>
    <t>XING CHENG INVESTMENTS PTE. LTD.</t>
  </si>
  <si>
    <t xml:space="preserve">Local Company Account Opening。 
 Documents received - 7 Aug 20
Constitution + Semi filled KYC form sent to Faith to populate - 7 Aug 20
Faith confirm to drop interest at this juncture citing she don't want to open and the guy use the account for other purposes - 9 Sept </t>
  </si>
  <si>
    <t>Video KYC - 6 Aug 2pm
Alvin msg asking for customer information + buyer/supplier information - 17 Aug
Client updated that information will require more time - 19 Aug
Send Chaer to Maggie to chase client - 24 Aug
Send chaser to Maggie - 3 Sept 
Client to drop interest - 3 Sept</t>
  </si>
  <si>
    <t>SG Incorp</t>
  </si>
  <si>
    <t>REN HE TIAN CHENG CULTURE EXCHANGE GROUP PTE. LTD.</t>
  </si>
  <si>
    <t>Sent KYC form to client - 7 Aug 
KYC form received - 11 Aug
Sent to Alvin UOB - 11 Aug
Nudge Alvin and he needed supplier and website - 13 Aug
Sent to Alvin App screenshots - 19 Aug
Send chaser to Alvin - 20 Aug 
Alvin replied rejected - 24 Aug
Explained to Avin on the logic and pending his VC timing - 24 Aug 
Created Group Chat for Alvin VC with client - 27 Aug
Alvin requested for more information - 31 Aug
send chaser to Nicholas - 3 Sept
send chaser to Alvin - 9 Sept
Alvin to request for breakdown invoice - 25 Sept
Client to drop interest for now.</t>
  </si>
  <si>
    <t>Supporting documents received from Jade - 6 Aug 
Client reached out to Marcus for assistance to pay the HKD150 search fee - 7 Aug
Payment for HKD150 Made - 7 Aug 
Ping Alvin for status - 17 Aug
Pending Review - 17 Aug
Sent chaser to Alvin - 20 Aug
Chaser sent to Alvin - 24 Aug 
Requested for CTC of doc pending doc collection- 27 Aug
Alvin collected CTC doc - 28 Aug
Account opened - 7 Sept
Chaser for Token - 12 Oct</t>
  </si>
  <si>
    <t>MA</t>
  </si>
  <si>
    <t>Sent client KYC form - 11 Aug
Received KYC form - 11 Aug
Forwarded doc to DBS Li - 13 Aug 
DBS Li rejected citing unable to onboard Corp Sec cases - 14 Aug</t>
  </si>
  <si>
    <t>DBS - MBFC</t>
  </si>
  <si>
    <t xml:space="preserve">Send client KYC form - 14 Aug 
Online account opening with appointment schedule on 31 Aug 10am DBS MBFC
Crystal went down with 2 Singaporean . Pemding PORA, CTC of shareholders- 31 Aug
Chaser sent to client - 8 sept
Chaser sent to client on status of notary document - 22 Sept
Client updated that she has went to UOB - 22 sept </t>
  </si>
  <si>
    <t>Send Doc to Alvin - 14 Aug
Alvin asked for buyer seller invoice, KYC &amp; ND NRIC - 17 Aug
Doc requested sent to alvin - 17 Aug
Buyer invoice sent to Alvin - 19 Aug
Sent chaser to Alvin - 20 Aug
Pending Alvin availabilty - 24 Aug
Sent chaser to Alvin - 26 Aug
VC scheduled on 28 Aug 5pm - 25 Aug
Client rainchecked the account opening - 25 Aug
Pending client confirmation of VC on 1 sept 10am - 31 Aug
VC completed - 1 Sept
Pending signed doc to reach Rsin - 3 Sept
UOB courier to pick up - 7 Sept
Client ask for status update - 14 sept
Alvin udated that account should be ready by end of the month - 22 sept
Pending UOB</t>
  </si>
  <si>
    <t>Pending UOB</t>
  </si>
  <si>
    <t>Glory United International Trading Limited</t>
  </si>
  <si>
    <t>杨翔</t>
  </si>
  <si>
    <t>USD 378-901-137-9 
CNH 378-901-138-8</t>
  </si>
  <si>
    <t>ADPULT MEDIA LIMITED</t>
  </si>
  <si>
    <t>Processed onboarding - 27 Aug
Sent to Kevin - 2 sept
Chaser sent - 8 Sept
Banker mentioned 2nd level not keen to open - 9 sept</t>
  </si>
  <si>
    <t>HAOYUAN HUDONG CO LIMITED</t>
  </si>
  <si>
    <t>UOB - Rachel Tan</t>
  </si>
  <si>
    <t>Processing Onboarding - 27 Aug
Sent to Rachel - 2 sept
Rachel feedback that cannot support AO - 4 Sept</t>
  </si>
  <si>
    <t>ADSPULT MEDIA CO LIMITED</t>
  </si>
  <si>
    <t>Processing Onboarding - 27 Aug
sent to marcus - 2 sept
Can proceed for VC - 8 Sept
VC set for 10 Sept 
Support document sent - 10 Sept 
Requested for Constitution - 21 Sept
Payment proof for HK done - 22 sept
Account Opened - 8 Oct</t>
  </si>
  <si>
    <t>UK Bank Account Opening</t>
  </si>
  <si>
    <t>Sunstorm Limited</t>
  </si>
  <si>
    <t>朱雯雯</t>
  </si>
  <si>
    <t>Send doc for marcus's evaluation - 26 Aug
Send chaser to marcus - 28 Aug
Marcus replied requesting for more document - 31 Aug
Sent doc to Marcus and received green light - 2 sept
VC date proposed next Tuesday 2pm - 4 Sept
Pending Client to send in signed doc - 9 Sept
Client confirms courier received in SG - 14 Sept 
Marcus updated that he is still working on the case - 22 sept
Client ping to check on status - 23 Sept
Marcus feedback that case is rejected due to Minimax. Client has given mandate to appeal. - 25 sept
Chaser sent to Marcus - 8 Oct</t>
  </si>
  <si>
    <t>UOB - Alysa Koh</t>
  </si>
  <si>
    <t>Pending Client KYC form - 10 Sept 
Pending client Passport renewal - 17 Sept 
Client passport received - 21 Sept
Pending previous records - 21 Sept
Sent to Rachel for evaluation - 22 Sept
Rachel out of action till end of the month. Awaitng team contact - 22 sept
Email resent to Alysa - 22 Sept
Requested for CV and chaser sent for status- 25 Sept
CV received and pending sending to Alysa Koh - 28 Sept
CV sent and chaser sent to Alysa for VC date - 30 sept
Chaser sent - 8 Oct
Chaser sent - 12 Oct
Account Opening 945 - 21 Oct
Documents Received - 22 Oct
Document signed and ready for dispatch to banker - 23 Oct
Chaser sent - 3 Nov 
Alysa requested for signature - 5 Nov
Pending UOB - 9 Nov</t>
  </si>
  <si>
    <t>Pending sending him documents
sent to marcus - 8 oct 
Chaser sent - 12 Oct
Sent bank statements - 22 Oct
Bank statements resent and introduced Jane - 5 Nov
VC scheduled on 9 Nov - 5 Nov
On hold - 9 Nov</t>
  </si>
  <si>
    <t>Pending RSIN</t>
  </si>
  <si>
    <t>JOJO International Trading Limited</t>
  </si>
  <si>
    <t xml:space="preserve">UOB - Lily </t>
  </si>
  <si>
    <t>Sent to lily - 11 Sept
Chaser sent - 15 Sept
Request for information from Lily - 22 Sept
Pending documents from May - 25 Sept
May updated that requested document may take some time - 25 Sept
Lily rejected client - 5 Oct</t>
  </si>
  <si>
    <t>Total Concept Corporation Limited</t>
  </si>
  <si>
    <t>UOB - Rachel</t>
  </si>
  <si>
    <t>Dropped by May</t>
  </si>
  <si>
    <t>Existing client</t>
  </si>
  <si>
    <t>SG Bank Account Opening</t>
  </si>
  <si>
    <t>Shenzhen Laser Pte. Ltd.</t>
  </si>
  <si>
    <t>Want to proceed with a bank account opening - 16 sept 
Sent to Shirley - 21 Sept 
Banker to return back to office on Wednesday - 22 Sept
Chaser Sent - 25 Sept
Chaser sent - 28 Sept
Request for more information on CV + contract | sent - 30 sept
Send chaser to Rainbow - 8 Oct
Doc received from Rainbow - 12 Oct
Doc sent to Shirley - 12 Oct
Shirley requested for chinese name and provided - 13 Oct
sent her supplementary documents - 26 Oct 
sent her more supplemenentary document - 27 Oct
Rejected by shirley - 9 Nov</t>
  </si>
  <si>
    <t>Pending Alysa VC timing on Monday. She is unable to do on Tuesday. She is on leave on Wednesday and Thursday.
Chaser sent - 25 Sept
VC confirm on 28 Sept @ 11am
Documents received - 5 Oct 
signing with Lihua Jie - 6 Oct
Meeting to pass document - 13 Oct
Chaser sent by client - 26 Oct
On hold - 9 Nov</t>
  </si>
  <si>
    <t>TC - Lily Friend</t>
  </si>
  <si>
    <t>Pond Lotus Investments Limited</t>
  </si>
  <si>
    <t>UOB - Lily</t>
  </si>
  <si>
    <t>Pending documents to send to banker
Pending RF - 24 Aug
Chaser to RF - 26 Aug
Documents received from RF - 24 Sept 
Lily replied with question on Business Acitivity, Low share capital and proof of business - 12 Oct
Sent to lily - 5 Nov 
On hold till further notice - 9 Nov</t>
  </si>
  <si>
    <t>SC - Ng Shi Li</t>
  </si>
  <si>
    <t>Chaser to Raymond sent - 30 Sept 
To switch to Gary - 7 Oct</t>
  </si>
  <si>
    <t>Sent email - 29 sept 20
Chaser sent - 6 Oct
Rejected and suggest we try other bank</t>
  </si>
  <si>
    <t>Private Bank</t>
  </si>
  <si>
    <t>Dropped - Can open regular bank account</t>
  </si>
  <si>
    <t>Pending Client</t>
  </si>
  <si>
    <t>Pending AO</t>
  </si>
  <si>
    <t>SC - Gary</t>
  </si>
  <si>
    <t xml:space="preserve">Send tenancy agreement to Gary - 6 Oct
Gary to send AOF - 6 Oct
Pending client coordination with SC china - 12 Oct
Client is doing KYC video - 13 Oct
Chaser sent to Gary - 15 Oct
ND signed and courier to Gary - 26 Oct </t>
  </si>
  <si>
    <t>OCBC - Carmen</t>
  </si>
  <si>
    <t>Case transfer from lily to Carmen She
Pending banker review - 6 Oct
Chaser sent - 12 Oct
Banker updated requesting for more information - 13 Oct
May has furbished new information - 15 Oct
Sent new information to Carmen for assessment - 15 Oct</t>
  </si>
  <si>
    <t xml:space="preserve">Send doc to Liiy - 12 Oct
Feedback on $6000 corporate search fee + request for KYC + contracts and invoices - 12 Oct 
Pending VC with Marcus on Monday afternoon - 15 Oct
SF ordered for documents to reach SG - 19 Oct
Documents received by MA - 22 Oct
Document signed and ready for dispatch - 23 Oct
Marcus requested for Bank statements - 3 Nov
On hold - 9 Nov
</t>
  </si>
  <si>
    <t>Hong Yan Information Technology Consulting Pte. Ltd</t>
  </si>
  <si>
    <t>Send doc to Shirley - 12 Oct
Client specfically wants OCBC - 12 Oct
Shirley confirms receipt of referral - 13 Oct
Chaser Sent - 20 Oct
Updated client about OCBC requirement - 26 Oct
Sindy to communicate with client - 26 Oct
Supplementary info sent to Shirley - 26 Oct
Chaser sent to Shirley - 27 Oct
Rejected - 4 Nov</t>
  </si>
  <si>
    <t xml:space="preserve">TC - May </t>
  </si>
  <si>
    <t>Individual Account Opening</t>
  </si>
  <si>
    <t>SUN ZHENGUO</t>
  </si>
  <si>
    <t>CIMB - Lynette</t>
  </si>
  <si>
    <t>Send doc to Lynette - 12 Oct 
was told that someone has sent this for AO before - 12 Oct
Rejected citing discrepency in submitted doc - 12 Oct</t>
  </si>
  <si>
    <t>LIU JIAN</t>
  </si>
  <si>
    <t>Received KYC Doc -  12 Oct
Pending Passport &amp; PORA - 12 Oct
Chaser sent to May - 15 Oct</t>
  </si>
  <si>
    <t>Onecent Technology Co., Limited</t>
  </si>
  <si>
    <t>Processed document - 12 Oct 
Sent to Lily - 12 Oct
pending KYC - 12 Oct
Chaser sent to lily - 26 Oct
received reply from lily and communicating with May - 27 Oct
AO VC scheduled 4 Nov - 2 Nov
Pending UOB - 9 Nov</t>
  </si>
  <si>
    <t xml:space="preserve">Immigration Consultancy </t>
  </si>
  <si>
    <t>Required Singapore Contract / Reside in Singpaore else rejected</t>
  </si>
  <si>
    <t>GU JIA KO PTE.LTD</t>
  </si>
  <si>
    <t>Sent to Rachel - 21 Oct 20</t>
  </si>
  <si>
    <t>RUN HENG ZHI PTE.LTD</t>
  </si>
  <si>
    <t>DA JUN CAI PTE.LTD</t>
  </si>
  <si>
    <t>HUANG JI XIN PTE.LTD</t>
  </si>
  <si>
    <t>Singapore East Best Healthy Pte Ltd</t>
  </si>
  <si>
    <t xml:space="preserve">Sent to Shirley - 23 Oct
Rejected - 11 Nov
</t>
  </si>
  <si>
    <t xml:space="preserve">Singapore East Best Healthy Pte Ltd </t>
  </si>
  <si>
    <t>UOB - Melody</t>
  </si>
  <si>
    <t>Send to Rachel - 26 Oct 
For Yang 姐 to follow up - 26 Oct</t>
  </si>
  <si>
    <t xml:space="preserve">Send to marcus - 2 Nov
On hold - 9 Nov
</t>
  </si>
  <si>
    <t>Chant Marine Pte. Ltd.</t>
  </si>
  <si>
    <t>Shhawal Lee Hengg Bin Ihsan</t>
  </si>
  <si>
    <t>United Mill Pte. Ltd.</t>
  </si>
  <si>
    <t xml:space="preserve">Particle Technology Pte. Ltd. </t>
  </si>
  <si>
    <t>Quark Technology Pte. Ltd</t>
  </si>
  <si>
    <t>Client informed us already had UOB Account - 23 Dec</t>
  </si>
  <si>
    <t>Pending Banker</t>
  </si>
  <si>
    <t xml:space="preserve">CorpPassID </t>
  </si>
  <si>
    <t>Password</t>
  </si>
  <si>
    <t>JIN YING LI CAPITAL</t>
  </si>
  <si>
    <t>JYLCAPITAL8</t>
  </si>
  <si>
    <t>Abc1234567</t>
  </si>
  <si>
    <t>JIN LI FAMILY OFFICE PTE. LTD.</t>
  </si>
  <si>
    <t>JINLIFO8</t>
  </si>
  <si>
    <t>Business Month</t>
  </si>
  <si>
    <t>Referral</t>
  </si>
  <si>
    <t>Supplier</t>
  </si>
  <si>
    <t>Commission Rate / Costing</t>
  </si>
  <si>
    <t>COGS</t>
  </si>
  <si>
    <t>Supplier Payment</t>
  </si>
  <si>
    <t>Nett Profit</t>
  </si>
  <si>
    <t>Billing Amt</t>
  </si>
  <si>
    <t>Billing Remarks</t>
  </si>
  <si>
    <t>Suzie</t>
  </si>
  <si>
    <t xml:space="preserve">UOB - Sherry </t>
  </si>
  <si>
    <t>Change of shareholding</t>
  </si>
  <si>
    <t>Bright Forest Technology Pte. Ltd.</t>
  </si>
  <si>
    <t>Change of ND from Liu Zheng to Sandra Ang
Client has made changes to XIE YONG</t>
  </si>
  <si>
    <t>Pentafield Global Real Estate</t>
  </si>
  <si>
    <t>Change of Shareholding</t>
  </si>
  <si>
    <t>Infinity Alpha - Andy Pharos</t>
  </si>
  <si>
    <t>Struck off of company</t>
  </si>
  <si>
    <t>Inv 201806115</t>
  </si>
  <si>
    <t>Paid 070819</t>
  </si>
  <si>
    <t>Uneekon MT Pte. Ltd</t>
  </si>
  <si>
    <t>Annual Return 2019</t>
  </si>
  <si>
    <t xml:space="preserve">ND - $600 130220
</t>
  </si>
  <si>
    <t>$600 AR
$1500 ND</t>
  </si>
  <si>
    <t xml:space="preserve">Paid RF </t>
  </si>
  <si>
    <t>Annual Return '19</t>
  </si>
  <si>
    <t xml:space="preserve">XIN FENG CHE EDUCATION PTE. LTD. </t>
  </si>
  <si>
    <t>Annual return 2019</t>
  </si>
  <si>
    <t xml:space="preserve">LH - </t>
  </si>
  <si>
    <t>AR</t>
  </si>
  <si>
    <t>Paid RF</t>
  </si>
  <si>
    <t xml:space="preserve">Sent to client FS - 26 Mar 
Client gave greenlight - 26 Mar 
Received AGM docs for client signing - 20 Aug
Sent to client for signing - 20 Aug 
AR filed - 21 Aug
ECI - ???? 
Form CS - ??? </t>
  </si>
  <si>
    <t>LH - $210</t>
  </si>
  <si>
    <t>Inv 2002027</t>
  </si>
  <si>
    <t>Sinh Group Pte. Ltd.</t>
  </si>
  <si>
    <t>n.a.</t>
  </si>
  <si>
    <t>$1200 AR
$300 Accounting</t>
  </si>
  <si>
    <t>Refer to 开户 tracking</t>
  </si>
  <si>
    <t>R-Power Holdings Pte. Ltd.</t>
  </si>
  <si>
    <t>ZHANG ZHAOXING</t>
  </si>
  <si>
    <t xml:space="preserve">Sent
Pending client signing of AGM docs
Sent clarification to client - 29 Feb 
Pending client addition of expense - 22 Apr
Send chaser to client - 24 Apr
Pening Li Hua 姐 updating of the account - 31 Aug 
To change management fee to $2,080,872.68 - 8 Oct </t>
  </si>
  <si>
    <t>Annual Return 2019
Change of company address to PP</t>
  </si>
  <si>
    <t>Inv 1911009</t>
  </si>
  <si>
    <t>$1200 AR
$2000 ND
$300 Accounting</t>
  </si>
  <si>
    <t>Pending</t>
  </si>
  <si>
    <t>Eugene Yin Pte. Ltd.</t>
  </si>
  <si>
    <t xml:space="preserve">Transfer of Shares 
Change of Secretary 
</t>
  </si>
  <si>
    <t>Inv 2002030</t>
  </si>
  <si>
    <t>$200 Corporate Change
$80 stamp duty</t>
  </si>
  <si>
    <t>Paid 240220</t>
  </si>
  <si>
    <t>Pending Docs
Received doc - 28 Feb
Client green light - 21 Apr 
Pending client corppass - 22 Apr</t>
  </si>
  <si>
    <t>$800 AR</t>
  </si>
  <si>
    <t>Eastwell Chemical Pte. Ltd.</t>
  </si>
  <si>
    <t xml:space="preserve">ND - $600
LH - $100
Introducer May - $6200
</t>
  </si>
  <si>
    <t>$1600 ND
$700 Incorp Package
$6200 Referral Fee</t>
  </si>
  <si>
    <t>Mr. ING Pte. Ltd.</t>
  </si>
  <si>
    <t>Pending Docs - 28 Feb 
Pending client confirmation of FS - 23 Apr</t>
  </si>
  <si>
    <t>Paid</t>
  </si>
  <si>
    <t>Pending Doc by Zou Yang
Chaser sent - 28 Feb 
Chaser - 2 March</t>
  </si>
  <si>
    <t>ND - $600 130220
LH - $</t>
  </si>
  <si>
    <t>$700 AR
$1500 ND</t>
  </si>
  <si>
    <t>Inv 2002036</t>
  </si>
  <si>
    <t>RHB</t>
  </si>
  <si>
    <t>DBS + RHB</t>
  </si>
  <si>
    <t>Incorporation</t>
  </si>
  <si>
    <t>DAN LU Pte. Ltd.</t>
  </si>
  <si>
    <t>Company incorporated - 10 Mar</t>
  </si>
  <si>
    <t>LH - $415</t>
  </si>
  <si>
    <t>Paid 100320</t>
  </si>
  <si>
    <t>Annual Return</t>
  </si>
  <si>
    <t>Tracking Consultancy Pte Ltd</t>
  </si>
  <si>
    <t>LH - $210
LZ - $600 ND</t>
  </si>
  <si>
    <t>$900 AR
$2000 ND</t>
  </si>
  <si>
    <t>Annual Return '20</t>
  </si>
  <si>
    <t>Sent to client - 28 Feb 
Sent to Lihua - 23 Apr
Signed documents sent to LH - 8 Oct</t>
  </si>
  <si>
    <t>Pending Supplier</t>
  </si>
  <si>
    <t>Inv 2002041</t>
  </si>
  <si>
    <t>$1200 AR
$2000 ND</t>
  </si>
  <si>
    <t>Paid 150420</t>
  </si>
  <si>
    <t>Sent to client - 28 Feb 
Sent to Lihua - 23 Apr
Follow up with LH - 7 Sept</t>
  </si>
  <si>
    <t>Annual return 2020</t>
  </si>
  <si>
    <t xml:space="preserve">LH - $260 AR
+ $100 XBRL
</t>
  </si>
  <si>
    <t>Inv 2002042</t>
  </si>
  <si>
    <t>Paid 160420</t>
  </si>
  <si>
    <t>Yan Nan Gui Singapore Pte. Ltd.</t>
  </si>
  <si>
    <t>Sent to Lihua - 28 Apr 2020
Company incorporated - 30 Apr
Company stamp - 14 Aug</t>
  </si>
  <si>
    <t>LH - $415
Stamp - $19</t>
  </si>
  <si>
    <t>$700 Incorporation
$150 Referral fee for 吴婷婷</t>
  </si>
  <si>
    <t>Bank Cost - $600 030920</t>
  </si>
  <si>
    <t>New Business Incorporation
Company Stamp Ordered - 21 Jul
Company Stamp received - 21 Jul</t>
  </si>
  <si>
    <t>Inv 2002046</t>
  </si>
  <si>
    <t xml:space="preserve">ND 
Incorporatation </t>
  </si>
  <si>
    <t>SG Company Incorp</t>
  </si>
  <si>
    <t>Acyclink Asia PTE Ltd</t>
  </si>
  <si>
    <t xml:space="preserve">refer to 开户
Client aborted account opening - 3 Sept </t>
  </si>
  <si>
    <t>Maxima investment</t>
  </si>
  <si>
    <t xml:space="preserve">Pending client revenue - NA
Sent to Lihua - 2 July 20
Signed form sent to LH - 13 Jul 20
</t>
  </si>
  <si>
    <t>$300 fine
$900 AR</t>
  </si>
  <si>
    <t xml:space="preserve">Pangolin Pte. Ltd. </t>
  </si>
  <si>
    <t>GST Waiver + AR
Change Secretary, Change Address, Change FYE to 31 Jan, AR, ECI
Order given - 3 Jul 20</t>
  </si>
  <si>
    <t>Annual Return (1 Feb 19 - 31 Jan 20)</t>
  </si>
  <si>
    <t>LH - $260
LZ - $600 ND</t>
  </si>
  <si>
    <t>$300 GST Waiver
$2000 ND
$1200 AR</t>
  </si>
  <si>
    <t>PHOENIX INTERNATIONAL CONSULTANCY PTE. LTD.</t>
  </si>
  <si>
    <t>Change of Company Secretary to KOH BING ZHONG</t>
  </si>
  <si>
    <t>Change to company officer</t>
  </si>
  <si>
    <t>DONE</t>
  </si>
  <si>
    <t>T.H.R Consulting Pte Ltd.</t>
  </si>
  <si>
    <t>Thomas Raabe</t>
  </si>
  <si>
    <t>You Lihua</t>
  </si>
  <si>
    <r>
      <t xml:space="preserve">New Business Incorporation
Bank account Opened
ompany Stamp ordered  - 22 Jul
</t>
    </r>
    <r>
      <rPr>
        <b/>
        <sz val="10"/>
        <rFont val="Calibri"/>
        <family val="2"/>
        <scheme val="minor"/>
      </rPr>
      <t>Company Stamp received - 22 Jul</t>
    </r>
    <r>
      <rPr>
        <sz val="10"/>
        <rFont val="Calibri"/>
        <family val="2"/>
        <scheme val="minor"/>
      </rPr>
      <t xml:space="preserve">
Pending delivery of bank documents -13 Aug 
Document arrived in Hungary</t>
    </r>
  </si>
  <si>
    <t>LH - $415 
SL - $600 
Stamp - $20</t>
  </si>
  <si>
    <t>Inv 2020054</t>
  </si>
  <si>
    <t xml:space="preserve">Company Incorporated - 
Pending bank account opening
Company Stamp Ordered - Pending
No Account Opening required. </t>
  </si>
  <si>
    <t>Pending KYC document from Faith - 17 Aug</t>
  </si>
  <si>
    <t>Faith - $200</t>
  </si>
  <si>
    <t xml:space="preserve">$200 Referral Fee </t>
  </si>
  <si>
    <t>HENG THONG INTERNATIONAL PTE. LIMITED</t>
  </si>
  <si>
    <t>Sent to LUHUA 姐 - 3 Apr 2020</t>
  </si>
  <si>
    <t>Annual Return for 2 years</t>
  </si>
  <si>
    <r>
      <t xml:space="preserve">$900 AR
FOC name change + Tax 
</t>
    </r>
    <r>
      <rPr>
        <b/>
        <sz val="10"/>
        <rFont val="Calibri"/>
        <family val="2"/>
        <scheme val="minor"/>
      </rPr>
      <t>** Dormant Company**</t>
    </r>
  </si>
  <si>
    <t>Company Incorporated - 5 Aug 
Company Stamp Order - 14 Aug
Company Stamp collected - 15 Aug
Pending account opening - 17 Aug</t>
  </si>
  <si>
    <t xml:space="preserve">Company Incorporation
</t>
  </si>
  <si>
    <r>
      <t xml:space="preserve">LH - $415 </t>
    </r>
    <r>
      <rPr>
        <b/>
        <sz val="10"/>
        <rFont val="Calibri"/>
        <family val="2"/>
        <scheme val="minor"/>
      </rPr>
      <t>310820</t>
    </r>
    <r>
      <rPr>
        <sz val="10"/>
        <rFont val="Calibri"/>
        <family val="2"/>
        <scheme val="minor"/>
      </rPr>
      <t xml:space="preserve">
SL - $600 
Stamp - $20</t>
    </r>
  </si>
  <si>
    <t>ND 
Incorporation</t>
  </si>
  <si>
    <t>ACG</t>
  </si>
  <si>
    <t>Corporate Change</t>
  </si>
  <si>
    <t>IFXDO Pte Ltd</t>
  </si>
  <si>
    <t>Resign and Appointment Company Officers</t>
  </si>
  <si>
    <t>LH - $55.5</t>
  </si>
  <si>
    <t>NEW CENTER MARINE PTE. LTD.</t>
  </si>
  <si>
    <t xml:space="preserve">Job order- 7 Aug 
Job delivered w business profile 7 Aug </t>
  </si>
  <si>
    <t>Addition of company Director</t>
  </si>
  <si>
    <t>TLNET Pte. Ltd.</t>
  </si>
  <si>
    <t>Send email for 年审 - 11 Aug
Send 2nd email for 年审 - 20 Aug
Chaser sent to RF - 7 Sept</t>
  </si>
  <si>
    <t>AR 2020</t>
  </si>
  <si>
    <t xml:space="preserve">LH - $260 </t>
  </si>
  <si>
    <t>Inv 2002083</t>
  </si>
  <si>
    <t>Paid 280920</t>
  </si>
  <si>
    <t>Crystal</t>
  </si>
  <si>
    <t>COSMO Holding Pte. LTd.</t>
  </si>
  <si>
    <t>Documents received - 13 Aug
Company Incorporated - 14 Aug 
Company Stamp ordered - 14 Aug 
Company Stamp collected - 15 Aug
Pending Account opening</t>
  </si>
  <si>
    <t>LH - $415
Stamp - $20</t>
  </si>
  <si>
    <t>Inv 2002060</t>
  </si>
  <si>
    <t>Pending Payment</t>
  </si>
  <si>
    <t>ZB Foundation Pte. Ltd.</t>
  </si>
  <si>
    <t xml:space="preserve">Job order - 13 Aug 
Job delivered - 14 Aug </t>
  </si>
  <si>
    <t>Corporate Change - Addition of company secretary KOH BING ZHONG</t>
  </si>
  <si>
    <t>LH - $30</t>
  </si>
  <si>
    <t>Documents received - 19 Aug</t>
  </si>
  <si>
    <t>HK Account opening</t>
  </si>
  <si>
    <t>U Food Supply Chain Management</t>
  </si>
  <si>
    <t>Client mandate given to do annual return + transfer of shares - 19 Aug 
Pending transfer shares document - 19 Aug
Invoice raised and issued to client - 20 Aug
Pending signed transfer instrument - 31 Aug 
sent to LH - 8 sept</t>
  </si>
  <si>
    <t>Annual Return with transfer of shares</t>
  </si>
  <si>
    <t>LH - $5.50</t>
  </si>
  <si>
    <t>Inv 2002063</t>
  </si>
  <si>
    <t>Struck off company</t>
  </si>
  <si>
    <t xml:space="preserve">Lean Equipment </t>
  </si>
  <si>
    <t>Client mandate given to strike off company - 19 Aug
Sent to LH to check if Annual return required. Financial Period (02 May - 30 Apr) - 24 Aug
LH confirms struck off doable w/o AR - 24 Aug
Inv sent to client - 24 Aug
Revised Inv sent to client @ $600 - 31 Aug
RF greenlight to proceed without payment - 2 Sept
Sent to LH - 3 Sept
received document and sent to Steve for signing - 4 Sept
Strike Off Successful - 11 Sept</t>
  </si>
  <si>
    <t>Inv 2002064</t>
  </si>
  <si>
    <t>Unicorn Supply Chain Management</t>
  </si>
  <si>
    <t>Pending transfer of vehicle
LH confirms struck off doable w/o AR - 24 Aug
Inv sent to client - 24 Aug
Revised invoice @ $600 - 31 Aug
RF greenlight to proceed without payment - 2 sept
Sent to LH - 3 Sept</t>
  </si>
  <si>
    <t>Inv 2002065</t>
  </si>
  <si>
    <t>Pending processing of documents</t>
  </si>
  <si>
    <t>Pending Excel file preparation to client - 21 Aug 
Annual Return Sent to Teo - 24 Aug 
Chaser sent - 31 Aug
Client has own accountant - 31 Aug</t>
  </si>
  <si>
    <t>Annual Return (21 Aug - 31 Jul 20)</t>
  </si>
  <si>
    <t>Misc</t>
  </si>
  <si>
    <t>RSIN Group Pte. Ltd.</t>
  </si>
  <si>
    <t>Purchase of COI</t>
  </si>
  <si>
    <t>LH - $50</t>
  </si>
  <si>
    <t>Mei Qi Jia Cheng Media Pte. Ltd.</t>
  </si>
  <si>
    <t>FYE 30 June 20
Annual Return sent to Meng Meng - 24 Aug 
Follow up for the documents for AR - 31 Aug
Client replied busy schedule. Will send voer by the week - 31 Aug
Chaser sent - 8 sept
Order sent - 27 Nov 20</t>
  </si>
  <si>
    <t xml:space="preserve">FYE </t>
  </si>
  <si>
    <t xml:space="preserve">Pending Client </t>
  </si>
  <si>
    <t>COI - $50</t>
  </si>
  <si>
    <t>Inv 2002055</t>
  </si>
  <si>
    <t>AR - $1200
COI - $150</t>
  </si>
  <si>
    <t>UOB - Marcus</t>
  </si>
  <si>
    <t>Client plans to struck off company
Chaser sent to RF - 7 Sept 
Client to do AR</t>
  </si>
  <si>
    <t>FYE 31/03/2020 
Due for AR by 31/09/2020</t>
  </si>
  <si>
    <t>Inv 2002066</t>
  </si>
  <si>
    <t>Struck off - $800
Corporate Change - $150</t>
  </si>
  <si>
    <t>Account Opening - $1500
HK search Fee - $100</t>
  </si>
  <si>
    <t>Paid 230920</t>
  </si>
  <si>
    <t xml:space="preserve">Annual Return pending client payment and confirmation - 26 Aug </t>
  </si>
  <si>
    <t>FYE 31/01/2020</t>
  </si>
  <si>
    <t>GIP Immigration</t>
  </si>
  <si>
    <t>Lucy - Single Mom</t>
  </si>
  <si>
    <t>Single Mom with 10yo boy. Discussed about GIP. We quoted 20万 with commission of 5万。 Sent her GIP factsheet.</t>
  </si>
  <si>
    <t>Pending Client Name Confirmation - 27 Aug 
Name is okay - 27 Aug 
Recheck if the name is okay - 3 Sept
Document received and sent to LH - 7 Sept 20
ACRA system Down - 10 Sept 20
COI and remaining doc sent - 16 Sept</t>
  </si>
  <si>
    <t>LH - $415  (SG incorp)
LH - $50 (COI certificate) 
LH - $300 (director)</t>
  </si>
  <si>
    <t>Inv 2002082</t>
  </si>
  <si>
    <t>SINGAPORE CHANGBAO INVESTMENT HOLDING PTE LTD</t>
  </si>
  <si>
    <t>Pending client decision - 27 Aug 
Name is okay - 27 Aug 
Documents Received - 2 Oct
Pending Payment before work - 2 Oct</t>
  </si>
  <si>
    <t xml:space="preserve">ND 
Incorp - </t>
  </si>
  <si>
    <t>REXEL EU PTE.LTD.</t>
  </si>
  <si>
    <t xml:space="preserve">Pending Name Confirmation - 28 Aug 
Name is okay - 28 Aug </t>
  </si>
  <si>
    <t>Quark Technology Pte. Ltd.</t>
  </si>
  <si>
    <t>Received documents for change of shareholder and director - 31 Aug
Raised invoice for $200 - 3 Sept 
Payment Made - 24 Nov
Order to LH placed - 25 Nov</t>
  </si>
  <si>
    <t>Received document for incorporation - 1 Sept 
Company incorporated - 2 Sept
Company Stamp - Not required</t>
  </si>
  <si>
    <t>RSIN GROUP Pte. Ltd.</t>
  </si>
  <si>
    <t>年审</t>
  </si>
  <si>
    <t>LH - 160</t>
  </si>
  <si>
    <t>Internal Billing</t>
  </si>
  <si>
    <t>狮城网</t>
  </si>
  <si>
    <t>Business Consultancy</t>
  </si>
  <si>
    <t>LAU TIN KI PRIVATE LIMITED</t>
  </si>
  <si>
    <t xml:space="preserve">License application for Food stall + liquor
Payment received - 040920
Received TA, Received Business Profile </t>
  </si>
  <si>
    <t>License application for Food stall + liquor</t>
  </si>
  <si>
    <t xml:space="preserve">Pending RSIN </t>
  </si>
  <si>
    <t>Inv 2002068</t>
  </si>
  <si>
    <t>Payment received  040920</t>
  </si>
  <si>
    <t>Update paid up capital to $10,000</t>
  </si>
  <si>
    <t>Wild Donkey Pte. Ltd.</t>
  </si>
  <si>
    <t>Document received and sent to LH - 4 Sept 20</t>
  </si>
  <si>
    <t>Addition of Corporate Secretary</t>
  </si>
  <si>
    <t>LH -  $30</t>
  </si>
  <si>
    <t>Inv 2002072</t>
  </si>
  <si>
    <t>Paid 021020</t>
  </si>
  <si>
    <t>Client asked for a discount and offered AR @ $1000 - 7 Sept
Payment Made - 10 Sept
Pending RSIN to send to supplier - 28 Sept 
Annual Document sent to client for signing - 5 Oct
Done - 13 Oct</t>
  </si>
  <si>
    <t>LH - $260</t>
  </si>
  <si>
    <t>Inv 2002071</t>
  </si>
  <si>
    <t>RF to reach out to client for Annual Return
Chaser sent to RF - 10 Sept
Chaser sent to RF - 28 Sept
Chaser sent to RF - 6 Oct
Client paid</t>
  </si>
  <si>
    <t>Inv 2002073</t>
  </si>
  <si>
    <t>Paid 071020</t>
  </si>
  <si>
    <t xml:space="preserve">Document received and sent to LH - 8 Sept 20
Company incorporated - 9 Sept 
Pending Account Opening
Pending Stamp </t>
  </si>
  <si>
    <t>藏 - $290
LH - $415 
LH - $300 (Director)</t>
  </si>
  <si>
    <t>ND - 1700
Incorp - 1200</t>
  </si>
  <si>
    <t>Fat Goldfish Pte Ltd.
LAU TIN KI PRIVATE LIMITED (f. k .a)</t>
  </si>
  <si>
    <t>Logo design + Trademark registration
8 Logos sent to Kat for consideration - 16 Sept
Pending invoice and logo editing 1 
Logo done and confirm - 13 Oct
Pending Trademark Process - 13 Oct
Trademark Applied - 20 Oct</t>
  </si>
  <si>
    <t>Inv 2002078</t>
  </si>
  <si>
    <t>Pending Document Processing
Dropped by client</t>
  </si>
  <si>
    <t xml:space="preserve">To follow up for address renewal
Sent to client - 18 Sept </t>
  </si>
  <si>
    <t>LH - $35.5</t>
  </si>
  <si>
    <t>Marcus shortfall of $10 per invoice</t>
  </si>
  <si>
    <t>To follow up for address renewal</t>
  </si>
  <si>
    <t>Hong Yan Information Technology Consulting</t>
  </si>
  <si>
    <t>Name Check - 14 Sept 20
Client call on hold - 16 Sept 20
Change name from Sheng Yang Information Technology to current name
Pending Compliance Doc - 23 Sept
Done - 25 Sept</t>
  </si>
  <si>
    <t>Digital Futures Pte. Ltd</t>
  </si>
  <si>
    <t>Name Check - 14 Sept 20
Proposed new name - Digital Future (SG) - 16 Sept
Orders given to supplier
Chaser sent - 2 Oct
ACRA documents received - 16 Oct</t>
  </si>
  <si>
    <t>G. Ocean Singapore Pte. Ltd.</t>
  </si>
  <si>
    <t>Client wants to do a Apr 2019 May 2019 financial statement - 15 sept 
Sent a sample Apr 2019 version to client - 15 sept</t>
  </si>
  <si>
    <t xml:space="preserve">Name check - 14 Sept 20
Incorp Mandate Given - 28 Sept 20
Sent to Supplier - 28 Sept
Checked for ND - 1 OCt
Replied ND to be PIAO - 2 Oct
Received ACRA docs pending compliance docs - 2 Oct
Complaince Docs Received - 6 Oct </t>
  </si>
  <si>
    <t>AIVALS Pte. Ltd.</t>
  </si>
  <si>
    <t>Pending Corporate Sharing information and incorp form - 16 sept
ACRA document sent - 22 Sept
Pending Compliance Doc - 23 Sept
Done</t>
  </si>
  <si>
    <t xml:space="preserve">Name check - 16 sept 20
Received document - 18 sept
Sent to supplier - 21 Sept 20 
ACRA document received - 22 Sept
Done - 29 Sept </t>
  </si>
  <si>
    <t>Inv 2002076</t>
  </si>
  <si>
    <t>ND - $3000
Incorp - $1500</t>
  </si>
  <si>
    <t>Wants to proceed with a bank account opening</t>
  </si>
  <si>
    <t>Fat Goldfish Pte. Ltd.</t>
  </si>
  <si>
    <t>Change of Name from Lau Tin Ki  to Fat Goldfish Pte Ltd.</t>
  </si>
  <si>
    <t>LH - $30 + $5.50 + $15</t>
  </si>
  <si>
    <t>Ex Client</t>
  </si>
  <si>
    <t>WerlChem Pte. Ltd.</t>
  </si>
  <si>
    <t>Change of Address from to our address</t>
  </si>
  <si>
    <t xml:space="preserve">Proceed as Dormant AR
Sent to LH 姐
Received company document - 28 Sept </t>
  </si>
  <si>
    <t>ND  - $300 
LH - $210</t>
  </si>
  <si>
    <t>ND - $1400
AR - $900</t>
  </si>
  <si>
    <t>SP / EP / PEP / LOC</t>
  </si>
  <si>
    <t>LOC Application</t>
  </si>
  <si>
    <t>Yishun D&amp;T Pte. Ltd.</t>
  </si>
  <si>
    <t>Send to supplier for processing - 22 Sept 
Sent to client - 23 Sept</t>
  </si>
  <si>
    <t>Addition of Secretary</t>
  </si>
  <si>
    <t>LH - $35.50</t>
  </si>
  <si>
    <t>Pending client acceptance
Order sent to Contractor - 25 Sept</t>
  </si>
  <si>
    <t>LH - $415
ND - $300</t>
  </si>
  <si>
    <t>Pending Client Acceptance
Order sent to Contractor - 25 Sept</t>
  </si>
  <si>
    <t>Corporate Changes</t>
  </si>
  <si>
    <t>Documets sent to client</t>
  </si>
  <si>
    <t>Change of shareholder name</t>
  </si>
  <si>
    <t>LH - $20 + $5.50</t>
  </si>
  <si>
    <t>Internal Biling</t>
  </si>
  <si>
    <t>Glentop International Pte. Ltd.</t>
  </si>
  <si>
    <t>Document received - 24 Sept 
Orders sent to Contractor - 25 Sept</t>
  </si>
  <si>
    <t>Incorporation of SG Bank Account</t>
  </si>
  <si>
    <t>Change of Business Activities</t>
  </si>
  <si>
    <t>LH - $15.50</t>
  </si>
  <si>
    <t>Internal</t>
  </si>
  <si>
    <t>LOC Application
Pending Applicant details - 2 Oct
Notification completed - 2 Oct</t>
  </si>
  <si>
    <t xml:space="preserve">Misc </t>
  </si>
  <si>
    <t>A&amp;S Service Engineering Pte. Ltd.</t>
  </si>
  <si>
    <t>To put on hold - 12 Oct</t>
  </si>
  <si>
    <t xml:space="preserve">Prospectus for A&amp;S </t>
  </si>
  <si>
    <t>Lucy - $1000</t>
  </si>
  <si>
    <t>Inv 2002084</t>
  </si>
  <si>
    <t>M3 Digital Hub Pte. Ltd</t>
  </si>
  <si>
    <t xml:space="preserve">Transfer of shares of existing shareholders - 6 Oct 
To touch base with client in Nov for OCBC statements - 1 Nov
 </t>
  </si>
  <si>
    <t>Inv 2002106</t>
  </si>
  <si>
    <t>FYE 31 Aug 20
Inititate contact with client - 6 oct
Client to connect again on Friday - 12 Oct
Chaser sent - 19 Oct</t>
  </si>
  <si>
    <t>Pending client</t>
  </si>
  <si>
    <t xml:space="preserve">RSIN previous receivable - $400
LH - $310
</t>
  </si>
  <si>
    <t>Inv 2002062</t>
  </si>
  <si>
    <t>AR - $1000
Previous penalty + outstnading - $400</t>
  </si>
  <si>
    <t>Strike Off</t>
  </si>
  <si>
    <t>Worthy choice</t>
  </si>
  <si>
    <t>Company Clousure</t>
  </si>
  <si>
    <t>Company Closure</t>
  </si>
  <si>
    <t>Inv 2002087</t>
  </si>
  <si>
    <t>AR - $1200
Accounting - $300</t>
  </si>
  <si>
    <t xml:space="preserve">Highridge Technology LP </t>
  </si>
  <si>
    <t>Inititate contact with existing agent - 8 Oct
Nudge sent to group - 12 Oct
To coordinate for letter collection</t>
  </si>
  <si>
    <t>Transfer out to Pharos</t>
  </si>
  <si>
    <t>Individual Bank Account Opening</t>
  </si>
  <si>
    <t>Syron Pte. Ltd.</t>
  </si>
  <si>
    <t>LIU ZHENG (zhang zhaoxing)</t>
  </si>
  <si>
    <t>Pending Docs
Chaser Sent - 28 Feb 
Client mention doc will be ready by Wednesday - 2 March 
Chaser to client - 12 Oct</t>
  </si>
  <si>
    <t>Inv 1911024</t>
  </si>
  <si>
    <t>Paid 140220</t>
  </si>
  <si>
    <t>Pending client decision
Chaser Sent - 28 Feb
Chaser sent - 2 March
Client was uncontactable</t>
  </si>
  <si>
    <t>EP Client</t>
  </si>
  <si>
    <t>Yiyi Investment Pte. Ltd.</t>
  </si>
  <si>
    <t>Reinitiate EP programe - 12 Oct
To inform client to fund account of 500K - 13 Oct
To post up job bank - 13 Oct
On hold till further notice</t>
  </si>
  <si>
    <t>On Hold</t>
  </si>
  <si>
    <t>Gu Jia Ko</t>
  </si>
  <si>
    <t xml:space="preserve">Document sent to LH Jie - 13 Oct
</t>
  </si>
  <si>
    <t>LH - $415 + $50</t>
  </si>
  <si>
    <t>Incorp only</t>
  </si>
  <si>
    <t xml:space="preserve">Part of Company incorporation </t>
  </si>
  <si>
    <t xml:space="preserve">Document sent to LH 0 13 Oct
</t>
  </si>
  <si>
    <t>Refer by Peggy (Fat Goldfish Pte. Ltd)</t>
  </si>
  <si>
    <t>Inv 2002086</t>
  </si>
  <si>
    <t>Incorporation with 1 year address + Secretary</t>
  </si>
  <si>
    <t>Account</t>
  </si>
  <si>
    <t>Pending Accounting adjustment - 19 Oct
Done - 19 Oct</t>
  </si>
  <si>
    <t>Accounting</t>
  </si>
  <si>
    <t>Compnay Transfer In</t>
  </si>
  <si>
    <t>Change of ND, Secretary &amp; Address - 20 Oct
Documents sent to supplier - 22 Oct</t>
  </si>
  <si>
    <t>LH - $55.50</t>
  </si>
  <si>
    <t>$0 - AR
$1200 - ND</t>
  </si>
  <si>
    <t>New Diamond Pte. Ltd.</t>
  </si>
  <si>
    <t>FYE 31 Aug 20
Payment received from client - 20 oct 
order placed with supplier - 20 Oct
Signed document send to supplier - 21 Oct
Done and sent to client - 26 Oct</t>
  </si>
  <si>
    <t>$700 - AR 
$1500 - ND</t>
  </si>
  <si>
    <t>$1200 - AR 
$2000 - ND 
$ - Accounting</t>
  </si>
  <si>
    <t>FYE 31 Sept 20
Pending Outreach to Client</t>
  </si>
  <si>
    <t>FYE 30 Sept 20
 Chaser Sent to client - 20 Oct</t>
  </si>
  <si>
    <t>$700 - AR
$1500 - ND</t>
  </si>
  <si>
    <t>FYE 30 Sept 20
Contacted customer - 20 Oct
Client has transferred out - 23 Oct</t>
  </si>
  <si>
    <t>$600 - AR
$1500 - ND</t>
  </si>
  <si>
    <t xml:space="preserve">FYE 31 Aug 20
Contacted customer - 20 Oct
</t>
  </si>
  <si>
    <t>$900 - AR</t>
  </si>
  <si>
    <t>Y &amp; G Furniture and Interior Pte. Ltd.</t>
  </si>
  <si>
    <t xml:space="preserve">FYE 31 Jul 20 
Contacted customer - 20 Oct
Payment Made - 26 Oct
Orders given for AR - 26 Oct
</t>
  </si>
  <si>
    <t>Inv 2002096</t>
  </si>
  <si>
    <t>$800 - AR</t>
  </si>
  <si>
    <t>Paid 261020</t>
  </si>
  <si>
    <t>Inv 2002095</t>
  </si>
  <si>
    <t>Elim Grace Pte. Ltd.</t>
  </si>
  <si>
    <t>Provision of Company Address - 21 Oct 2020 - 20 Oct 2021</t>
  </si>
  <si>
    <t xml:space="preserve">Inv 2002094 </t>
  </si>
  <si>
    <t>$120 - Address</t>
  </si>
  <si>
    <t>Pending transfer documents</t>
  </si>
  <si>
    <t>IRAS Filing</t>
  </si>
  <si>
    <t>IRAS filing orders given to LH - 22 Oct</t>
  </si>
  <si>
    <t>Rising Sky</t>
  </si>
  <si>
    <t>Dormant Company AR</t>
  </si>
  <si>
    <t>XR AISA Pte. Ltd.</t>
  </si>
  <si>
    <t>Sent to Lily &amp; Rachel - Rejected
Sent to Shi Li - Can be supported but provide SG contracts
Chaser sent to RF - 8 Oct</t>
  </si>
  <si>
    <t>LH - $465
Shhawal - $150</t>
  </si>
  <si>
    <t>LH - $465
PYZ - $150</t>
  </si>
  <si>
    <t>Shhawal - $150</t>
  </si>
  <si>
    <t>`</t>
  </si>
  <si>
    <t>Shhawal - $300
LH - $465</t>
  </si>
  <si>
    <t>支付宝</t>
  </si>
  <si>
    <t>To prepare AR for dormant company</t>
  </si>
  <si>
    <t>EP project costing</t>
  </si>
  <si>
    <t xml:space="preserve">Purchase of COI + Change of secretary + address </t>
  </si>
  <si>
    <t>LH - $100</t>
  </si>
  <si>
    <t>LH - $465
PYZ - $300</t>
  </si>
  <si>
    <t>TANG WIN PTE. LTD.</t>
  </si>
  <si>
    <t>Pending transfer to documents for the provision of secretarial services - 25 Nov
Pending AR documents 
AR document signed - 1 Dec 
Order placed with supplier - 1 Dec
Done - 2 Dec</t>
  </si>
  <si>
    <t>Annual Return 
ND
Secretary + Address</t>
  </si>
  <si>
    <t>Done - 25 Nov 20</t>
  </si>
  <si>
    <t>Company Stamp</t>
  </si>
  <si>
    <t>Payment to supplier made - 30 Dec</t>
  </si>
  <si>
    <t>刘小姐</t>
  </si>
  <si>
    <t>Done - 9 Nov 20</t>
  </si>
  <si>
    <t>Tax YA '20</t>
  </si>
  <si>
    <t>Tax confirmation sent to client - 30 Nov 
Signed confirmation sent to supplier - 1 Dec
Done - 8 Dec</t>
  </si>
  <si>
    <t>AR 2019 Biling</t>
  </si>
  <si>
    <t xml:space="preserve">Tax Return YA 20 
Signed docs sent to LH - 8 Dec </t>
  </si>
  <si>
    <t>Legal</t>
  </si>
  <si>
    <t>General Investment Pte. Ltd.</t>
  </si>
  <si>
    <t>Drafting of Legal Opinion
Pending client payment - 1 Dec 
Chaser sent to referal partner - 8 Dec
Formal Instruction give to Kenneth - 23 Dec</t>
  </si>
  <si>
    <t>KS TEO</t>
  </si>
  <si>
    <t>Tax Return filed - 1 Dec 2020</t>
  </si>
  <si>
    <t xml:space="preserve">Lucy </t>
  </si>
  <si>
    <t>U N I Wellness Pte. Ltd.</t>
  </si>
  <si>
    <t>Addition of Secretary 
Orders placed - 3 Dec</t>
  </si>
  <si>
    <t>Inv 2002105</t>
  </si>
  <si>
    <t>Tax Return YA 20 
Signed docs sent to LH - 8 Dec 
Filing Completed - 9 Dec</t>
  </si>
  <si>
    <t>Sent to supplier - 9 Dec 
Pending filing of Tax</t>
  </si>
  <si>
    <t>Pending Client signing</t>
  </si>
  <si>
    <t xml:space="preserve">Pending client signing and AR </t>
  </si>
  <si>
    <t xml:space="preserve">Pending client confirmation of transfer and closure </t>
  </si>
  <si>
    <t xml:space="preserve">Shin Chun (Singapore) Pte. Ltd. </t>
  </si>
  <si>
    <t>Addition of Company Director - Ling Bobo</t>
  </si>
  <si>
    <t>Inv 2002109</t>
  </si>
  <si>
    <t>Sinc International Pte. Ltdd.</t>
  </si>
  <si>
    <t>Change of Shareholders from Shhawal to Marcus</t>
  </si>
  <si>
    <t xml:space="preserve">SBF fee - fee + $100 </t>
  </si>
  <si>
    <t xml:space="preserve">ND: PUC &gt; 1M +$500 </t>
  </si>
  <si>
    <t>Public Company - $2000</t>
  </si>
  <si>
    <t>Pte ltd - $1100</t>
  </si>
  <si>
    <t xml:space="preserve">AR Pte Ltd - RMB 4900
AR Public Company - S$2000 </t>
  </si>
  <si>
    <t>小国个户开户 - $2000</t>
  </si>
  <si>
    <t xml:space="preserve">Incorp - $1700 inclusive ND </t>
  </si>
  <si>
    <t>Chang xin</t>
  </si>
  <si>
    <t xml:space="preserve">account $200/50 transaction | incorp 900 + 200 ($1100) with bank account opening </t>
  </si>
  <si>
    <t xml:space="preserve">annual $1000 include nominee director </t>
  </si>
  <si>
    <t>CTEGO Pte Ltd</t>
  </si>
  <si>
    <t>Gransharp Pte. Ltd.</t>
  </si>
  <si>
    <t>Lean Equipment Pte. Ltd.</t>
  </si>
  <si>
    <t xml:space="preserve">Foili Pte. Ltd. </t>
  </si>
  <si>
    <t>Particle Technology Pte. Ltd.</t>
  </si>
  <si>
    <t>Singpay Holding Pte Ltd</t>
  </si>
  <si>
    <t>E-Silver Bunker Pte. Ltd</t>
  </si>
  <si>
    <t>Joint Rainbow Pte Ltd</t>
  </si>
  <si>
    <t>Lian Yang Limited</t>
  </si>
  <si>
    <t>Pentafield Global Real Estate Pte. Ltd.</t>
  </si>
  <si>
    <t>Syron Pte Ltd.</t>
  </si>
  <si>
    <t>China Forever Development Pte Ltd</t>
  </si>
  <si>
    <t xml:space="preserve">Creda Rubber &amp; Plastic Products </t>
  </si>
  <si>
    <t xml:space="preserve">Lian Yang Guo Rong </t>
  </si>
  <si>
    <t>Quark Technology</t>
  </si>
  <si>
    <t>Tanabee Global Trade Limited</t>
  </si>
  <si>
    <t>Mei Qi Jia Cheng Media</t>
  </si>
  <si>
    <t xml:space="preserve">Date of First Enquiry </t>
  </si>
  <si>
    <t>Contractor</t>
  </si>
  <si>
    <t>Intend to incorporate a restaurant in Singapore
meeting scheduled for 2 Sept 
Meeting rescheduled to 3 Sept @ 11am 
Closed @ $2000</t>
  </si>
  <si>
    <t>Closed - Won</t>
  </si>
  <si>
    <t>Chen 总</t>
  </si>
  <si>
    <t>Enquired if student can register a company
Referral mentioned checking with Father - 21 Sept</t>
  </si>
  <si>
    <t>Richard Z 
8291 6839</t>
  </si>
  <si>
    <t>Enquired on the 狮城网$568 promo 
Sent him quote for $2000 all -inclusive as well as 年审 all-inclusive 
Mentioned that he has found his own</t>
  </si>
  <si>
    <t xml:space="preserve">Closed - Lost </t>
  </si>
  <si>
    <t>Rsin.com</t>
  </si>
  <si>
    <t>Calvin Xu
8858 3119</t>
  </si>
  <si>
    <t xml:space="preserve">enquired about 年审 - 14 sept
returned a call and was told to wait for his colleague to return a call - 16 sept
Arranged for a meeting - 21 sept </t>
  </si>
  <si>
    <t>Mr. Foong</t>
  </si>
  <si>
    <t>Business Proposal / Prosepectus for Mr. Foong</t>
  </si>
  <si>
    <t>Inclusive of ND, secretary and AR. Exclude tax</t>
  </si>
  <si>
    <t>Single Mom with 10yo boy. Discussed about GIP. We quoted 20万 with commission of 5万。 Sent her GIP factsheet.
Chaser sent to Lucy - 23 Oct</t>
  </si>
  <si>
    <t>UDAP Foundation</t>
  </si>
  <si>
    <t>Transfer of Secretary + Annual Return</t>
  </si>
  <si>
    <t>Existing</t>
  </si>
  <si>
    <t>Mei Qi Jia Cheng</t>
  </si>
  <si>
    <t xml:space="preserve">Wants to do PR / EP. Suggest for xiang xiang to do big EP to quote 40,000 (5k refund if unsuccessful) for meng ment to do EP with MQJC - 4万 </t>
  </si>
  <si>
    <t>RF female friend</t>
  </si>
  <si>
    <t>Doricela</t>
  </si>
  <si>
    <t xml:space="preserve">Change of shareholder + AR (USD $4K) </t>
  </si>
  <si>
    <t>东北restaurant</t>
  </si>
  <si>
    <t>To follow up on meeting</t>
  </si>
  <si>
    <t>Audit Requirement</t>
  </si>
  <si>
    <t>Jason | Wels by nature</t>
  </si>
  <si>
    <t>Bob Rogers</t>
  </si>
  <si>
    <t xml:space="preserve">Wel by Nature Pte Ltd's Friend </t>
  </si>
  <si>
    <t>PROJECT SEO</t>
  </si>
  <si>
    <t>常乐</t>
  </si>
  <si>
    <t>Lucky Angel Trading Pte. Ltd.</t>
  </si>
  <si>
    <t>60 PAYA LEBAR ROAD #09-06PAYA LEBAR SQUARE SINGAPORE (409051)</t>
    <phoneticPr fontId="3" type="noConversion"/>
  </si>
  <si>
    <t>60 PAYA LEBAR ROAD #09-06_x000B_PAYA LEBAR SQUARE SINGAPORE 409051</t>
    <phoneticPr fontId="3" type="noConversion"/>
  </si>
  <si>
    <t>FOILI PTE LTD</t>
    <phoneticPr fontId="3" type="noConversion"/>
  </si>
  <si>
    <r>
      <rPr>
        <sz val="10"/>
        <rFont val="宋体"/>
        <family val="3"/>
        <charset val="134"/>
      </rPr>
      <t>地址</t>
    </r>
    <r>
      <rPr>
        <sz val="10"/>
        <rFont val="Arial"/>
        <family val="2"/>
      </rPr>
      <t>20190705</t>
    </r>
    <r>
      <rPr>
        <sz val="10"/>
        <rFont val="宋体"/>
        <family val="3"/>
        <charset val="134"/>
      </rPr>
      <t>转入</t>
    </r>
    <phoneticPr fontId="3" type="noConversion"/>
  </si>
  <si>
    <t>ZHANG ZHAOXING</t>
    <phoneticPr fontId="3" type="noConversion"/>
  </si>
  <si>
    <t>Pending Document Processing
Awaiting Harvest Integrated Research Organization Shareholder information + Incorp form 
Name check is okay
Orders given to supplier 
Sent to client - 25 Sept
Compliance Doc Sent - 29 sept  
Sent for stamp making</t>
  </si>
  <si>
    <t xml:space="preserve">8613913820966
</t>
  </si>
  <si>
    <t>Send documents to Lily - 19 Aug 
Compliance replied with BO involvment in parent company - 24 Aug
Sent lily Name card, KYC + ID docs - 24 Aug 
Pending Marcus Vc slot and payment instruction - 25 Aug
marcus offered 28 Aug 10am slot - 25 Aug 
VC completed - 28 Aug
2-3 weeks after received documents - 28 Aug
HK search fee paid - 2 Sept
Signed doc reach banker -2 sept
Marcus feedback need his BL - 8 Sept
Client sent BL - 9 Sept
Marcus updated that has been submitted for AO - 18 Sept
Referral Partner ping on status - 23 Sept
Account Opened - 2 Oct
Client feedback in Dec 2020 that his account cannot be used and that it's under review - Dec 
Spoke to UOB customer care on the status of his account "under review" - 5 Dec</t>
  </si>
  <si>
    <t xml:space="preserve">SC - Shi Li </t>
  </si>
  <si>
    <t xml:space="preserve">SC - Ng Shi Li </t>
  </si>
  <si>
    <t xml:space="preserve">Pending sending him documents
</t>
  </si>
  <si>
    <t>201903577D</t>
  </si>
  <si>
    <t>MIMO CREATION PTE. LTD.</t>
  </si>
  <si>
    <t>Addition of Auditor - Completed</t>
  </si>
  <si>
    <t xml:space="preserve">sent Shi li BDO agreement - 6 Oct
Chaser sent - 7 Oct
Client confirmed availability on Friday in Macau - 12 Oct
Chaser sent to Shi Li on status - 13 Oct
Friday appointment in ZhuHai - 13 Oct 3pm
Chaser Sent - 26 Oct 
Documents still on route to Shi LI - 27 Oct
Documents still on route to Shi Li - 3 Nov
Shi Li confirms receipt of documents - 4 Nov
Shili require UBO to sign documents in front of her - 11 Jan 21
</t>
  </si>
  <si>
    <t>Pending client decision on the private bank - 1 Oct 
Chaser sent - 7 Oct
Chaser sent - 12 Oct
Mandate given to proceed with BOS 
To follow up with BOS for account opening - 11 Jan 21</t>
  </si>
  <si>
    <t>U Choose Pte. Ltd.</t>
  </si>
  <si>
    <t>Package $568</t>
  </si>
  <si>
    <t>Inv 2002112</t>
  </si>
  <si>
    <t>U CHOOSE PTE. LTD.</t>
  </si>
  <si>
    <t>202101644K</t>
  </si>
  <si>
    <t>CAO ZHENG</t>
  </si>
  <si>
    <t>CIMB - Isabel</t>
  </si>
  <si>
    <t xml:space="preserve">Got stuck at UOB policy change - 1 Dec
Preliminary Doc sent to Shi Li - 24 Dec 
Chaser Sent - 25 Jan </t>
  </si>
  <si>
    <t>Pending confirmation that HK company can be opened - 25 Jan
CIMB updated that they cannot open HK company - 25 Jan</t>
  </si>
  <si>
    <t xml:space="preserve">Client account was closed by DBS last Friday - 22 Jan
Unlikely to be able to support account opening - 25 Jan </t>
  </si>
  <si>
    <t>Greatsun Pte. Ltd.</t>
  </si>
  <si>
    <t>Change of Director from PIAO YINZHENG to 黄老师</t>
  </si>
  <si>
    <t>NG KAH KHENG</t>
  </si>
  <si>
    <t>Otto Tech Pte. Ltd.</t>
  </si>
  <si>
    <t>Lily</t>
  </si>
  <si>
    <t>DBS - Celia</t>
  </si>
  <si>
    <t xml:space="preserve">Change of Shareholder </t>
  </si>
  <si>
    <t>SINGAPORE SOLEILS.E.TECHNOLOGY PTE.LTD.</t>
  </si>
  <si>
    <t>SINGAPORE JAUNTYSHARE TECHNOLOGY PTE. LTD.</t>
  </si>
  <si>
    <t xml:space="preserve">    INTERNATIONAL HEALTH SCIENCE RESEARCH CENTER SINGAPORE PTE. LTD.</t>
  </si>
  <si>
    <t xml:space="preserve">     SINGAPORE AURORAPURA TECHNOLOGY PTE.LTD</t>
  </si>
  <si>
    <t xml:space="preserve">Incorporation Completed - 26 Jan 21 </t>
  </si>
  <si>
    <t>众腾</t>
  </si>
  <si>
    <t>Stamp - RMB 180</t>
  </si>
  <si>
    <t>Invoiced client - 21 Oct
Pending payment - 22 Oct
Payment Made - 5 Nov
Document sent to Marcus for signing - 28 Jan 21</t>
  </si>
  <si>
    <t xml:space="preserve">Aivals Pte. Ltd. </t>
  </si>
  <si>
    <t>Payment Mth</t>
  </si>
  <si>
    <t>Company</t>
  </si>
  <si>
    <t>Period Start</t>
  </si>
  <si>
    <t>Period End</t>
  </si>
  <si>
    <t>Nominee Director</t>
  </si>
  <si>
    <t>Amount</t>
  </si>
  <si>
    <t xml:space="preserve">Henry &amp; Soon Engineering Enterprise </t>
  </si>
  <si>
    <t>Annual Return 21</t>
  </si>
  <si>
    <t>黄老师</t>
  </si>
  <si>
    <t>黄老师 - 20% x $2500</t>
  </si>
  <si>
    <t>$1500 - Book-keeping
$1000 - Annnual Return</t>
  </si>
  <si>
    <t>New Peptide Biotechnology Pte. Ltd.</t>
  </si>
  <si>
    <t>Stamp: $19
Y</t>
  </si>
  <si>
    <t xml:space="preserve">Sheng Peptide Biotechnology Pte. Ltd. </t>
  </si>
  <si>
    <t>$1500 incorp $1500 ND
$1500 NSH</t>
  </si>
  <si>
    <t>$1500 incorp
$1500 ND</t>
  </si>
  <si>
    <t>Annual Return FY19/20</t>
  </si>
  <si>
    <t>FYE 31 Jul 20
Inititate contact with client - 5 Oct
chaser sent to RF - 6 Oct
Chaser sent pending payment - 19 Oct 
Payment Made - 27 Nov 
Orders placed with Lihua - 27 Nov 
Chaser sent for 年审document - 7 Dec
Chaser sent for documents - 8 Dec
Pending client signing - 2 Feb 21</t>
  </si>
  <si>
    <t xml:space="preserve">Got stuck at UOB policy change - 1 Dec
Preliminary Doc sent to Shi Li - 24 Dec 
Chaser Sent - 25 Jan 
Supplementary doc sent to Shili - 27 Jan
Rejected - 3 Feb </t>
  </si>
  <si>
    <t>Kat (Fat Goldfish)</t>
  </si>
  <si>
    <t xml:space="preserve">Xixi </t>
  </si>
  <si>
    <t>NEA Food Shop License</t>
  </si>
  <si>
    <t>Send doc to Shi Li - 12 Oct
Shi Li requested for COI in english - 13 Oct 
Client has proceeded with UOB - 15 Oct
Jane sent 律师见证文件原件 to 渣打Shi Li
Offical Rejection Notice - 3 Feb</t>
  </si>
  <si>
    <t>Marcus sent 律师见证文件原件 to Shili - 18 Dec
Chaser Sent - 11 Jan 21
Official Rejection Notice - 3 Feb 21</t>
  </si>
  <si>
    <t>Marcus sent 律师见证文件原件 to Shili - 18 Dec
Chaser sent - 25 Jan
Offical Rejection notice - 5 Feb 21</t>
  </si>
  <si>
    <t>Jane send supporting docs - 23 Dec
Pending Initial Assessment - 5 Jan 21
Rejected - 5 Feb 21</t>
  </si>
  <si>
    <t>ND - $600</t>
  </si>
  <si>
    <t>Fine - $300
LH - $260</t>
  </si>
  <si>
    <t>LH - 210</t>
  </si>
  <si>
    <t>SC - $1000 referral fee
LH - $100 Account Fee
ND - 600</t>
  </si>
  <si>
    <t>LH - $260
ND - $300</t>
  </si>
  <si>
    <t xml:space="preserve">SC - $2000
LH - $415 
LH - $300
</t>
  </si>
  <si>
    <t>Shhawal</t>
  </si>
  <si>
    <t>Piao Yin Zhen</t>
  </si>
  <si>
    <t>Strike Off 080321</t>
  </si>
  <si>
    <t xml:space="preserve">EP </t>
  </si>
  <si>
    <t>HUA NAN + ZHAN SHUYING</t>
  </si>
  <si>
    <t>Ihua Link International Pte. Ltd.</t>
  </si>
  <si>
    <t>OCBC - Michelle</t>
  </si>
  <si>
    <t>Bruce</t>
  </si>
  <si>
    <t>GC Medic</t>
  </si>
  <si>
    <t xml:space="preserve">Doc sent to SL - 25 Jan 
Request for Tenancy Agreement - 4 Feb 
Rejected - 22 Mar
</t>
  </si>
  <si>
    <t>Jane corresponding with client for documents - 26 Nov
Marcus sent 律师见证文件原件 to 渣打Shili - 18 Dec
Shhawal went down to branch for signing with Shili - 25 Jan 21
Rejected - 19 Mar</t>
  </si>
  <si>
    <t xml:space="preserve">Marcus sent 律师见证文件原件to Shili - 18 Dec
Shili request for China Director Liang Sicheng Passport + PORA - 5 Jan 21
Client to abort Account Opening - 22 Mar
</t>
  </si>
  <si>
    <t>Asian Urban Ecological Design Federation Pte. Ltd.</t>
  </si>
  <si>
    <t xml:space="preserve">FYE 30 Sept 20
Contacted customer - 20 Oct
Sent email - 22 Oct 
Chaser sent - 22 Mar 
</t>
  </si>
  <si>
    <t>BCP - Laptop</t>
  </si>
  <si>
    <t xml:space="preserve">Xinchuang New Material Technology Pte.Ltd </t>
  </si>
  <si>
    <t>SINGAPORE HENGDA RESIN INDUSTRY PTE.LTD.</t>
  </si>
  <si>
    <t>TINGEEN PTE. LTD</t>
  </si>
  <si>
    <t>AMAZINGBIRD IN TOKYO (SINGAPORE) PTE. LTD.</t>
  </si>
  <si>
    <t>YAOLONG INTERNATIONAL PTE. LTD</t>
  </si>
  <si>
    <t>$900 - Annual Return</t>
  </si>
  <si>
    <t>Paid RF 160321</t>
  </si>
  <si>
    <t>LORNA SHIPPING PTE LTD</t>
  </si>
  <si>
    <t>Inv 2002118</t>
  </si>
  <si>
    <t>Inv 2002116</t>
  </si>
  <si>
    <t>Rejected - 23 Mar 21</t>
  </si>
  <si>
    <t>Inv 2002120</t>
  </si>
  <si>
    <t xml:space="preserve">$900 - AR return package incl ND </t>
  </si>
  <si>
    <t>$900 - AR return package incl ND 
$300 - Accounting
$300 - Penalty</t>
  </si>
  <si>
    <t>Inv 2002121</t>
  </si>
  <si>
    <t>MAXBULL ASIA-PACIFIC PTE. LTD.</t>
  </si>
  <si>
    <t>Struck Off - 22 Mar
Pending next instructions - 23 Mar
On hold</t>
  </si>
  <si>
    <t xml:space="preserve">Q21 Trading Pte. Ltd. </t>
  </si>
  <si>
    <t>YYS21 Trading Pte. Ltd.</t>
  </si>
  <si>
    <t>CKS BIZ Pte. Ltd.</t>
  </si>
  <si>
    <t>KSOON Business Pte. LTd.</t>
  </si>
  <si>
    <t>TOH KHENG SOON</t>
  </si>
  <si>
    <t>KOH BING ZHONG</t>
  </si>
  <si>
    <t>CHEW JIAN HONG</t>
  </si>
  <si>
    <t>HUANG SHIQUAN</t>
  </si>
  <si>
    <t>YONG YEN SYN</t>
  </si>
  <si>
    <t>Kevin</t>
  </si>
  <si>
    <t>Pending prepayment of $5k - 23 Mar</t>
  </si>
  <si>
    <t>Inv 2002123</t>
  </si>
  <si>
    <t>$900 - AR Return Package</t>
  </si>
  <si>
    <t>JIN FU ENGINEERING SERVICES PTE. LTD.</t>
  </si>
  <si>
    <t>Inv 2002124</t>
  </si>
  <si>
    <t>Inv 2002125</t>
  </si>
  <si>
    <t>Inv 2002126</t>
  </si>
  <si>
    <t>OCBC - Michelle (Sri Yanti)</t>
  </si>
  <si>
    <t>Client Dropped as Bruce went back to his incorporating Corp Sec.</t>
  </si>
  <si>
    <t>Inv 2002127</t>
  </si>
  <si>
    <t>$900 - AR w ND + S</t>
  </si>
  <si>
    <t>SCHNG CHEMICAL TRADING PTE. LTD.</t>
  </si>
  <si>
    <t>Heng Thong International Pte. Limited</t>
  </si>
  <si>
    <t>Inv 2002128</t>
  </si>
  <si>
    <t>Received 290321</t>
  </si>
  <si>
    <t>Pending Payment - 24 Mar
To change ND + Sec with advanced payment for AR
Bizfile sent to client - 30 Mar</t>
  </si>
  <si>
    <t>Paid RF 240321
300321</t>
  </si>
  <si>
    <t>年审+零申报
AR documents received from Lihua 
Pending Client signature - 22 Mar
Bizfile Sent - 30 Mar</t>
  </si>
  <si>
    <t>Was rejected to by SC - Shili 
Requested for ND to assist with the signing - 23 Mar 21
Pending Mailout to client requested address @ Advisory Service Singapore Pte. Ltd.- 240321</t>
  </si>
  <si>
    <t>Resent requested documents - 22 Mar
Done</t>
  </si>
  <si>
    <t xml:space="preserve">Signing of ND agreement + Director resolution
Pending client to sign ND - 23 Mar
Addition of new Director Lv Pei-ting - 30 Mar
Completed - 30 Mar
</t>
  </si>
  <si>
    <t xml:space="preserve">EXCELLENT UNION ENTERPRISE PTE. LTD.    </t>
  </si>
  <si>
    <t>Inv 2002129</t>
  </si>
  <si>
    <t>New Incorp</t>
  </si>
  <si>
    <t>WELL LONG ENTERPRISE PTE.LTD.</t>
  </si>
  <si>
    <t>WINNER METALS PTE.LTD.</t>
  </si>
  <si>
    <t>MY LIGHTING PTE. LTD.</t>
  </si>
  <si>
    <t>JUPENG TRADE PTE .LTD.</t>
  </si>
  <si>
    <t>Refer to 开户tracking</t>
  </si>
  <si>
    <t>Inv 2002130</t>
  </si>
  <si>
    <t>LTVP</t>
  </si>
  <si>
    <t>Mdm Yu Guilian</t>
  </si>
  <si>
    <t>Addition of Corporate Secretary
Payment Made 290321
Order placed - 30 Mar
Lihua replied with DR - 31 Mar
Completed - 31 Mar</t>
  </si>
  <si>
    <t>Inv 2002131</t>
  </si>
  <si>
    <t>AR (Dormant)</t>
  </si>
  <si>
    <t>Pending Rsin</t>
  </si>
  <si>
    <t>Received in cash 010421</t>
  </si>
  <si>
    <t>Inv 2002132</t>
  </si>
  <si>
    <t>Inv 2002133</t>
  </si>
  <si>
    <t>Inv 2002134</t>
  </si>
  <si>
    <t>RF/Faith</t>
  </si>
  <si>
    <t>Change of DR + Secretary with AR in the future
Order placed - 30 March 
Document receved Pending client signing - 30 Mar
Client Signed pending Lihua next action - 31 Mar
Done - 1 Apr</t>
  </si>
  <si>
    <t xml:space="preserve">Refer to 开户 tracking </t>
  </si>
  <si>
    <t>Please check for invoice</t>
  </si>
  <si>
    <t>年审+零申报
Chaser Sent asking if client is okay to change FYE - 23 Mar
Client okay to change FYE to 31 Dec - 24 Mar
Sent to client for signing of AR - 24 Mar
Chaser - 30 Mar
Chaser sent - 31 Mar
Bizfile sent - 5 Apr</t>
  </si>
  <si>
    <t>$900 - AR return package incl ND 
$300 - Penalty</t>
  </si>
  <si>
    <t>Received 050421</t>
  </si>
  <si>
    <t xml:space="preserve">Inv 2002135 </t>
  </si>
  <si>
    <t xml:space="preserve">$1200 - Commission
$600 - Strike off </t>
  </si>
  <si>
    <t xml:space="preserve">Inv 2002136 </t>
  </si>
  <si>
    <t>ZENOBLE TRADING PTE. LTD.</t>
  </si>
  <si>
    <t>HEXIS INTERNATIONAL TRADING PTE. LTD.</t>
  </si>
  <si>
    <t>Paid RF 
240321
060421</t>
  </si>
  <si>
    <t>DIGISIGMA PTE. LTD.</t>
  </si>
  <si>
    <t>Inv 2002137</t>
  </si>
  <si>
    <t>COI + Gift Box</t>
  </si>
  <si>
    <t>Inv 2002138</t>
  </si>
  <si>
    <t>KVIDU PTE.LTD.</t>
  </si>
  <si>
    <t xml:space="preserve">Stamp Box - RMB180 </t>
  </si>
  <si>
    <t>KANSIDON INDUSTRIES PTE. LTD</t>
  </si>
  <si>
    <t xml:space="preserve">AR + accounting up to 200tx </t>
  </si>
  <si>
    <t>Inv 2002140</t>
  </si>
  <si>
    <t xml:space="preserve">Pending Banker </t>
  </si>
  <si>
    <t xml:space="preserve">BALT HOSPITALITY ASIA PTE. LTD. </t>
  </si>
  <si>
    <t>Inv 2002141</t>
  </si>
  <si>
    <t>Invoice Issued - 6 Apr
Client updated that local director unable to assist - 8 Apr
Pending Client on next action - 8 Apr 
Client confirm abortion - 8 Apr</t>
  </si>
  <si>
    <t xml:space="preserve">$500 - Strike Off 
$300 - Accounts
$500 - AR
$300 - Penalty </t>
  </si>
  <si>
    <t>Reply banker - 15 Mar
Chaser Sent to Banker - 22 Mar
Shirley updated VC schedule for 30 Mar 10am - 24 Mar
Sara updated to halt the account opening pending payment - 8 Apr
Client updated the secretary details - 12 Apr
Shirley updated that account opening has failed. - 12 Apr</t>
  </si>
  <si>
    <t>Pending RF payment confirmation - 30 Mar
Received financial figures - 5 Apr
Sent to supplier - 5 Apr
Supplier requested for last year FS - 12 Apr
Updated supplier that last year was dormant - 12 Apr</t>
  </si>
  <si>
    <t>Paid RF 
240321
Paid RF $450 120321</t>
  </si>
  <si>
    <t>年审
Requested for Financial statement to confirm company networth - 23 Mar
50% Payment Made - 24 Mar 
Order placed with Lihua - 30 Mar
There is a $300 fine pending client payment confirmation - 30 Mar
Client confirm payment of $300 - 8 Apr
Orders passed down to Lihua - 8 Apr
Done - 12 Apr</t>
  </si>
  <si>
    <t>Invoice Issued - 6 Apr
50% Payment Received - 7 Apr
Order placed with supplier - 7 Apr
Incorporation completed - 8 Apr 
Pending Form 45 + COI - 8 Apr 
Pending Gift Box RMB180 - 8 Apr
Pending final payment - 8 Apr
Final Payment made - 12 Apr</t>
  </si>
  <si>
    <t>RF $450 070412
RF $450 120412</t>
  </si>
  <si>
    <t>Received incorp doc - 31 Mar 21
Stopped - 1 Apr 21
Reinitiated contact - 7 Apr
Invoice raised - 7 Apr
50% payment received - 7 Apr
Incorporation order sent - 7 Apr 
ACRA refer to authorities - 7 Apr
Final Payment received $450 - 12 Apr
Done</t>
  </si>
  <si>
    <t>Gift Box - ¥180</t>
  </si>
  <si>
    <t xml:space="preserve">RF $450 -  120421 </t>
  </si>
  <si>
    <t>RF $450 
120412</t>
  </si>
  <si>
    <t>RF $680 120412</t>
  </si>
  <si>
    <t>Paid RF 
$650 - 290321
Paid RF $300 - 120421</t>
  </si>
  <si>
    <t xml:space="preserve">年审 + FS
Client has signed documents - 22 Mar
Client has issues with the financials - 22 Mar
pending AR + AGM from Lihua - 23 Mar
Pending financial adjustment - 23 Mar
Pending Client on how they want to adjust financials
Client sent clarification - 30 Mar 
Pending client tax adjustment - 5 Mar
Client has okay the tax adjustment - 12 Mar
Pending RSIN to send to BZ Koh - 12 Mar </t>
  </si>
  <si>
    <t>YANG BROTHERS CONSTRUCTION PTE. LTD.</t>
  </si>
  <si>
    <t>Inv 2002142</t>
  </si>
  <si>
    <t>Monthly Billing</t>
  </si>
  <si>
    <t xml:space="preserve">Invoice Issued - 8 Apr
50% deposti received - 12 Apr
Orders placed with supplier - 12 Apr
Pending check with client if they want to change FYE - 12 Apr </t>
  </si>
  <si>
    <t xml:space="preserve">Invoice Issued - 8 Apr
50% deposit received - 12 Apr
Orders placed with supplier - 12 Apr
Pending check with client if they want to change FYE - 12 Apr </t>
  </si>
  <si>
    <t xml:space="preserve">Pending Payment
Feedback requesting for Invoice change - 6 Apr 
50% deposit received - 7 Apr
Orders placed w LH - 7 Apr
Pending check with client if they want to change FYE - 12 Apr </t>
  </si>
  <si>
    <t>Pending Client Document 
Received KYC form - 23 Mar
Bank Contacted client - 1 Apr
Chaser sent to Michelle -  5 Apr
Chaser Sent - 8 Apr
Chaser sent - 12 Apr</t>
  </si>
  <si>
    <t>Doc sent to michelle - 5 Apr
Client sent in supplementary document - 8 Apr
Chaser - 8 Apr
Chaser Sent - 12 Apr</t>
  </si>
  <si>
    <t>Pending decision from Sarah 
Documents sent to Michelle - 6 Apr
Chaser Sent - 8 Apr
Chaser Sent - 12 Apr</t>
  </si>
  <si>
    <t>Sent to michelle 
Pending Banker - 22 Mar
Pending 3 mths bank statement - 25 Mar
Sent to Michelle - 30 Mar
Chaser sent - 12 Apr</t>
  </si>
  <si>
    <t>Client replied - 19 Mar
Pending Banker - 22 Mar
Invoice sent - 25 Mar
VC scheduled on 6 Apr
Michelle updated the she requires the local director to endorse - 7 Apr
We have updated Bruce on the siutation - 8 Apr
Chaser sent to Bruce - 12 Apr</t>
  </si>
  <si>
    <t xml:space="preserve">律师见证文件原件 to 渣打Shilis - 29 Dec
Chaser sent - 25 Jan
SL requested for factory photos - 1 Feb
Supplimentary Docs sent to SL - 5 Feb 
Supplement Doc sent to SL - 18 Mar 
Chaser sent to Banker - 22 Mar
Chaser Sent - 25 Mar
Chaser sent - 8 Apr
Banker updated to request client to go down to SCB China for signature sighting - 12 Apr
</t>
  </si>
  <si>
    <t>Invoice Issued - 6 Apr
Client updated that local director unable to assist - 8 Apr
Client updated to reinititated account opening - 12 Apr</t>
  </si>
  <si>
    <t xml:space="preserve">HIGOAL  INDUSTRIAL PTE. LTD. </t>
  </si>
  <si>
    <t xml:space="preserve">Invoice issued - 12 Apr </t>
  </si>
  <si>
    <t>Refer to 开户</t>
  </si>
  <si>
    <t>Inv 2002143</t>
  </si>
  <si>
    <t>201841300E</t>
  </si>
  <si>
    <t xml:space="preserve">Invoice issued - 5 Apr
Document sent to RF for sending to client - 8 Apr
Document sent to client - 8 Apr
Signed dcos sent to supplier - 12 Apr
Stike off successful - 13 Apr </t>
  </si>
  <si>
    <t>Nicholas Lv</t>
  </si>
  <si>
    <t>Document signed - 12 Apr
Order sent to supplier - 13 Apr</t>
  </si>
  <si>
    <t>Documents received - 9 Apr
Orders sent to supplier - 12 Apr
Done - 13 Apr</t>
  </si>
  <si>
    <t>LTVP application
Pending translation by Thursday 15 Apr - 13 Apr</t>
  </si>
  <si>
    <t>RF $430 070421</t>
  </si>
  <si>
    <t>Redenomination of share capital - 30 Mar 21
Document sent to client - 30 Mar 21 
Chaser - 31 Mar 21
Jane to coordinate - 4 Apr
Chaser sent to LH - 9 Apr
Redonomination done - 12 Apr</t>
  </si>
  <si>
    <t>Pending Payment
Feedback requesting for Invoice change - 6 Apr 
50% deposit received - 7 Apr
Orders placed w LH - 7 Apr
Secretary informed that there's a $300 fine - 8 APr
New invoice raised for payment - 8 Apr
AR docs sent to client for signing - 9 Apr
Chaser sent - 13 Apr</t>
  </si>
  <si>
    <t>Pending Payment
Feedback requesting for Invoice change - 6 Apr 
50% deposit received - 7 Apr
Orders Placed with LH - 7 Apr
AR doc sent - 9 Apr
Chaser sent - 13 Apr</t>
  </si>
  <si>
    <t>To change nominee director &amp; address - 26 Nov
Emaill sent - 27 Nov
Chaser sent - 1 Dec
To add a change of shareholder - 8 Dec
Done</t>
  </si>
  <si>
    <t>Accounting + Annual Return 
Pending more document from client - 12 Apr</t>
  </si>
  <si>
    <t>GST application
Responded to IRAS on the 22 March 21
GST approved - 1 Apr 21</t>
  </si>
  <si>
    <t>Annual Return for FY 19/20 ending 30 Sept 20
Documents received - 30 Mar 21
Financial forward to Lihua - 30 Mar 21
requested for USD bank account - 13 Apr 21</t>
  </si>
  <si>
    <t>做账+关闭
Pending quote from Lihua. - 22 Mar
Chaser Sent - 23 Mar
Chaser sent - 24 Mar
Invoice Sent - 25 Mar
RF confirmed 50% deposit of $650 - 29 Mar
做账 done  and sent to client for review - 30 Mar
Pending Supplier to strike off - 5 Apr
Client sent signed document - 7 APr 
Secretary informed us about $300 - 9 Apr 
Invoice resent w $300 penalty - 9 Apr
Penalty payment received - 12 Apr
Chaser sent to supplier to proceed - 13 Apr</t>
  </si>
  <si>
    <t>HAIYUAN TRADING PTE. LTD.</t>
  </si>
  <si>
    <t>Kenneth</t>
  </si>
  <si>
    <t>Pending client to send in a new DR for change of directorship and shareholder - 13 Apr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</si>
</sst>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[$-14809]d/m/yyyy;@"/>
    <numFmt numFmtId="165" formatCode="0.00_);[Red]\(0.00\)"/>
    <numFmt numFmtId="166" formatCode="dd/mm/yyyy;@"/>
    <numFmt numFmtId="167" formatCode="_(&quot;$&quot;* #,##0_);_(&quot;$&quot;* \(#,##0\);_(&quot;$&quot;* &quot;-&quot;??_);_(@_)"/>
    <numFmt numFmtId="168" formatCode="&quot;$&quot;#,##0"/>
    <numFmt numFmtId="169" formatCode="&quot;$&quot;#,##0.00"/>
  </numFmts>
  <fonts count="28"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9.75"/>
      <color theme="1"/>
      <name val="Trebuchet-MS-Bold"/>
      <family val="2"/>
    </font>
    <font>
      <b/>
      <sz val="10"/>
      <color theme="4" tint="-0.249977111117893"/>
      <name val="Arial"/>
      <family val="2"/>
    </font>
    <font>
      <sz val="10"/>
      <color rgb="FFFF0000"/>
      <name val="Arial"/>
      <family val="2"/>
    </font>
    <font>
      <sz val="10"/>
      <color theme="4" tint="-0.249977111117893"/>
      <name val="Arial"/>
      <family val="2"/>
    </font>
    <font>
      <sz val="10"/>
      <name val="宋体"/>
      <family val="3"/>
      <charset val="134"/>
    </font>
    <font>
      <sz val="9"/>
      <name val="Arial"/>
      <family val="2"/>
    </font>
    <font>
      <sz val="10"/>
      <color rgb="FFFF0000"/>
      <name val="宋体"/>
      <family val="3"/>
      <charset val="134"/>
    </font>
    <font>
      <sz val="10"/>
      <name val="Helvetica"/>
      <family val="2"/>
    </font>
    <font>
      <u/>
      <sz val="10"/>
      <color rgb="FFFF0000"/>
      <name val="Arial"/>
      <family val="2"/>
    </font>
    <font>
      <sz val="10"/>
      <name val="Calibri"/>
      <family val="2"/>
      <scheme val="minor"/>
    </font>
    <font>
      <sz val="11"/>
      <color rgb="FF9C6500"/>
      <name val="Calibri"/>
      <family val="2"/>
      <charset val="134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</font>
    <font>
      <sz val="11"/>
      <color theme="1"/>
      <name val="Calibri"/>
      <family val="2"/>
      <scheme val="minor"/>
    </font>
    <font>
      <sz val="10"/>
      <color rgb="FF9C6500"/>
      <name val="Calibri"/>
      <family val="2"/>
      <scheme val="minor"/>
    </font>
    <font>
      <strike/>
      <sz val="10"/>
      <name val="Calibri (Body)"/>
    </font>
    <font>
      <sz val="10.5"/>
      <color rgb="FF000000"/>
      <name val="Times New Roman"/>
      <family val="1"/>
    </font>
    <font>
      <b/>
      <u/>
      <sz val="10"/>
      <name val="Arial"/>
      <family val="2"/>
    </font>
    <font>
      <strike/>
      <sz val="1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6" fillId="9" borderId="0" applyNumberFormat="0" applyBorder="0" applyAlignment="0" applyProtection="0">
      <alignment vertical="center"/>
    </xf>
    <xf numFmtId="44" fontId="17" fillId="0" borderId="0" applyFont="0" applyFill="0" applyBorder="0" applyAlignment="0" applyProtection="0"/>
  </cellStyleXfs>
  <cellXfs count="250">
    <xf numFmtId="0" fontId="0" fillId="0" borderId="0" xfId="0"/>
    <xf numFmtId="0" fontId="1" fillId="2" borderId="1" xfId="0" applyFont="1" applyFill="1" applyBorder="1"/>
    <xf numFmtId="164" fontId="1" fillId="2" borderId="1" xfId="0" applyNumberFormat="1" applyFont="1" applyFill="1" applyBorder="1" applyAlignment="1">
      <alignment wrapText="1"/>
    </xf>
    <xf numFmtId="164" fontId="1" fillId="2" borderId="1" xfId="0" applyNumberFormat="1" applyFont="1" applyFill="1" applyBorder="1"/>
    <xf numFmtId="0" fontId="2" fillId="3" borderId="1" xfId="0" applyFont="1" applyFill="1" applyBorder="1" applyAlignment="1">
      <alignment horizontal="center"/>
    </xf>
    <xf numFmtId="0" fontId="0" fillId="0" borderId="1" xfId="0" applyBorder="1"/>
    <xf numFmtId="165" fontId="5" fillId="0" borderId="1" xfId="0" applyNumberFormat="1" applyFont="1" applyBorder="1"/>
    <xf numFmtId="0" fontId="0" fillId="3" borderId="1" xfId="0" applyFill="1" applyBorder="1" applyAlignment="1">
      <alignment horizontal="center"/>
    </xf>
    <xf numFmtId="165" fontId="0" fillId="0" borderId="1" xfId="0" applyNumberFormat="1" applyBorder="1"/>
    <xf numFmtId="0" fontId="6" fillId="4" borderId="1" xfId="0" applyFont="1" applyFill="1" applyBorder="1" applyAlignment="1">
      <alignment horizontal="left" vertical="top" wrapText="1"/>
    </xf>
    <xf numFmtId="0" fontId="5" fillId="0" borderId="1" xfId="0" applyFont="1" applyBorder="1"/>
    <xf numFmtId="14" fontId="6" fillId="4" borderId="1" xfId="0" applyNumberFormat="1" applyFont="1" applyFill="1" applyBorder="1" applyAlignment="1">
      <alignment horizontal="left" vertical="top" wrapText="1"/>
    </xf>
    <xf numFmtId="166" fontId="0" fillId="3" borderId="1" xfId="0" applyNumberFormat="1" applyFill="1" applyBorder="1" applyAlignment="1">
      <alignment horizontal="center"/>
    </xf>
    <xf numFmtId="165" fontId="5" fillId="5" borderId="1" xfId="0" applyNumberFormat="1" applyFont="1" applyFill="1" applyBorder="1"/>
    <xf numFmtId="0" fontId="7" fillId="0" borderId="1" xfId="0" applyFont="1" applyBorder="1"/>
    <xf numFmtId="166" fontId="8" fillId="3" borderId="1" xfId="0" applyNumberFormat="1" applyFont="1" applyFill="1" applyBorder="1" applyAlignment="1">
      <alignment horizontal="center"/>
    </xf>
    <xf numFmtId="0" fontId="5" fillId="4" borderId="1" xfId="0" applyFont="1" applyFill="1" applyBorder="1"/>
    <xf numFmtId="0" fontId="9" fillId="0" borderId="1" xfId="0" applyFont="1" applyBorder="1"/>
    <xf numFmtId="0" fontId="8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6" borderId="1" xfId="0" applyNumberFormat="1" applyFill="1" applyBorder="1"/>
    <xf numFmtId="0" fontId="10" fillId="0" borderId="0" xfId="0" applyFont="1"/>
    <xf numFmtId="0" fontId="10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166" fontId="10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wrapText="1"/>
    </xf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horizontal="center" wrapText="1"/>
    </xf>
    <xf numFmtId="0" fontId="0" fillId="0" borderId="0" xfId="0" applyAlignment="1">
      <alignment wrapText="1"/>
    </xf>
    <xf numFmtId="166" fontId="0" fillId="0" borderId="0" xfId="0" applyNumberFormat="1" applyAlignment="1">
      <alignment horizontal="center" wrapText="1"/>
    </xf>
    <xf numFmtId="166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4" fillId="0" borderId="0" xfId="1" applyAlignment="1">
      <alignment horizontal="center" wrapText="1"/>
    </xf>
    <xf numFmtId="0" fontId="4" fillId="0" borderId="0" xfId="1" applyAlignment="1">
      <alignment wrapText="1"/>
    </xf>
    <xf numFmtId="3" fontId="0" fillId="0" borderId="0" xfId="0" applyNumberForma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/>
    <xf numFmtId="0" fontId="8" fillId="0" borderId="0" xfId="0" applyFont="1" applyAlignment="1">
      <alignment wrapText="1"/>
    </xf>
    <xf numFmtId="166" fontId="8" fillId="0" borderId="0" xfId="0" applyNumberFormat="1" applyFont="1" applyAlignment="1">
      <alignment horizontal="center" wrapText="1"/>
    </xf>
    <xf numFmtId="166" fontId="8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14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3" fillId="0" borderId="0" xfId="0" applyFont="1"/>
    <xf numFmtId="14" fontId="0" fillId="0" borderId="0" xfId="0" applyNumberFormat="1"/>
    <xf numFmtId="0" fontId="4" fillId="0" borderId="0" xfId="1"/>
    <xf numFmtId="15" fontId="0" fillId="0" borderId="0" xfId="0" applyNumberFormat="1"/>
    <xf numFmtId="0" fontId="0" fillId="7" borderId="0" xfId="0" applyFill="1"/>
    <xf numFmtId="0" fontId="0" fillId="7" borderId="0" xfId="0" applyFill="1" applyAlignment="1">
      <alignment horizontal="center" wrapText="1"/>
    </xf>
    <xf numFmtId="0" fontId="10" fillId="7" borderId="0" xfId="0" applyFont="1" applyFill="1" applyAlignment="1">
      <alignment horizontal="center" wrapText="1"/>
    </xf>
    <xf numFmtId="14" fontId="0" fillId="7" borderId="0" xfId="0" applyNumberFormat="1" applyFill="1" applyAlignment="1">
      <alignment wrapText="1"/>
    </xf>
    <xf numFmtId="166" fontId="0" fillId="7" borderId="0" xfId="0" applyNumberFormat="1" applyFill="1" applyAlignment="1">
      <alignment horizontal="center" wrapText="1"/>
    </xf>
    <xf numFmtId="0" fontId="0" fillId="7" borderId="0" xfId="0" applyFill="1" applyAlignment="1">
      <alignment wrapText="1"/>
    </xf>
    <xf numFmtId="0" fontId="10" fillId="7" borderId="0" xfId="0" applyFont="1" applyFill="1" applyAlignment="1">
      <alignment wrapText="1"/>
    </xf>
    <xf numFmtId="0" fontId="14" fillId="0" borderId="0" xfId="1" applyFont="1" applyAlignment="1">
      <alignment wrapText="1"/>
    </xf>
    <xf numFmtId="0" fontId="5" fillId="0" borderId="0" xfId="0" applyFont="1"/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166" fontId="5" fillId="0" borderId="0" xfId="0" applyNumberFormat="1" applyFont="1" applyAlignment="1">
      <alignment horizontal="center" wrapText="1"/>
    </xf>
    <xf numFmtId="166" fontId="5" fillId="0" borderId="0" xfId="0" applyNumberFormat="1" applyFont="1" applyAlignment="1">
      <alignment horizontal="center" vertical="center" wrapText="1"/>
    </xf>
    <xf numFmtId="0" fontId="0" fillId="6" borderId="0" xfId="0" applyFill="1"/>
    <xf numFmtId="0" fontId="0" fillId="6" borderId="0" xfId="0" applyFill="1" applyAlignment="1">
      <alignment horizontal="center" wrapText="1"/>
    </xf>
    <xf numFmtId="0" fontId="0" fillId="6" borderId="0" xfId="0" applyFill="1" applyAlignment="1">
      <alignment wrapText="1"/>
    </xf>
    <xf numFmtId="166" fontId="0" fillId="6" borderId="0" xfId="0" applyNumberFormat="1" applyFill="1" applyAlignment="1">
      <alignment horizontal="center" wrapText="1"/>
    </xf>
    <xf numFmtId="166" fontId="0" fillId="6" borderId="0" xfId="0" applyNumberFormat="1" applyFill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8" borderId="0" xfId="0" applyFill="1"/>
    <xf numFmtId="0" fontId="0" fillId="8" borderId="0" xfId="0" applyFill="1" applyAlignment="1">
      <alignment horizontal="center" wrapText="1"/>
    </xf>
    <xf numFmtId="0" fontId="10" fillId="8" borderId="0" xfId="0" applyFont="1" applyFill="1" applyAlignment="1">
      <alignment horizontal="center" wrapText="1"/>
    </xf>
    <xf numFmtId="14" fontId="0" fillId="8" borderId="0" xfId="0" applyNumberFormat="1" applyFill="1" applyAlignment="1">
      <alignment wrapText="1"/>
    </xf>
    <xf numFmtId="166" fontId="0" fillId="8" borderId="0" xfId="0" applyNumberFormat="1" applyFill="1" applyAlignment="1">
      <alignment horizontal="center" wrapText="1"/>
    </xf>
    <xf numFmtId="0" fontId="0" fillId="8" borderId="0" xfId="0" applyFill="1" applyAlignment="1">
      <alignment wrapText="1"/>
    </xf>
    <xf numFmtId="0" fontId="4" fillId="8" borderId="0" xfId="1" applyFill="1" applyAlignment="1">
      <alignment wrapText="1"/>
    </xf>
    <xf numFmtId="0" fontId="0" fillId="0" borderId="0" xfId="0" applyFont="1"/>
    <xf numFmtId="0" fontId="0" fillId="0" borderId="0" xfId="0" applyFont="1" applyAlignment="1">
      <alignment horizontal="center" wrapText="1"/>
    </xf>
    <xf numFmtId="0" fontId="0" fillId="0" borderId="0" xfId="0" applyFont="1" applyAlignment="1">
      <alignment wrapText="1"/>
    </xf>
    <xf numFmtId="166" fontId="0" fillId="0" borderId="0" xfId="0" applyNumberFormat="1" applyFont="1" applyAlignment="1">
      <alignment horizontal="center" wrapText="1"/>
    </xf>
    <xf numFmtId="166" fontId="0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15" fontId="0" fillId="8" borderId="0" xfId="0" applyNumberFormat="1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5" fontId="0" fillId="12" borderId="0" xfId="0" applyNumberFormat="1" applyFill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22" fillId="0" borderId="0" xfId="0" applyFont="1" applyAlignment="1">
      <alignment horizontal="left" vertical="center" wrapText="1"/>
    </xf>
    <xf numFmtId="166" fontId="20" fillId="3" borderId="0" xfId="0" applyNumberFormat="1" applyFont="1" applyFill="1" applyAlignment="1">
      <alignment horizontal="center" vertical="center" wrapText="1"/>
    </xf>
    <xf numFmtId="0" fontId="20" fillId="3" borderId="0" xfId="0" applyFont="1" applyFill="1" applyAlignment="1">
      <alignment horizontal="center" vertical="center" wrapText="1"/>
    </xf>
    <xf numFmtId="166" fontId="20" fillId="3" borderId="0" xfId="0" applyNumberFormat="1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left" vertical="center" wrapText="1"/>
    </xf>
    <xf numFmtId="166" fontId="20" fillId="3" borderId="0" xfId="0" applyNumberFormat="1" applyFont="1" applyFill="1" applyAlignment="1">
      <alignment horizontal="left" vertical="center" wrapText="1"/>
    </xf>
    <xf numFmtId="15" fontId="20" fillId="3" borderId="0" xfId="0" applyNumberFormat="1" applyFont="1" applyFill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0" fillId="14" borderId="0" xfId="0" applyFill="1" applyAlignment="1">
      <alignment horizontal="center" vertical="center" wrapText="1"/>
    </xf>
    <xf numFmtId="15" fontId="0" fillId="14" borderId="0" xfId="0" applyNumberForma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15" fontId="0" fillId="16" borderId="0" xfId="0" applyNumberFormat="1" applyFill="1" applyAlignment="1">
      <alignment horizontal="center" vertical="center" wrapText="1"/>
    </xf>
    <xf numFmtId="0" fontId="15" fillId="16" borderId="0" xfId="0" applyFont="1" applyFill="1" applyAlignment="1">
      <alignment horizontal="center" vertical="center" wrapText="1"/>
    </xf>
    <xf numFmtId="16" fontId="0" fillId="8" borderId="0" xfId="0" applyNumberFormat="1" applyFill="1" applyAlignment="1">
      <alignment horizontal="center" vertical="center" wrapText="1"/>
    </xf>
    <xf numFmtId="0" fontId="15" fillId="15" borderId="0" xfId="0" applyFont="1" applyFill="1" applyAlignment="1">
      <alignment horizontal="left" vertical="center" wrapText="1"/>
    </xf>
    <xf numFmtId="166" fontId="15" fillId="15" borderId="0" xfId="0" applyNumberFormat="1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166" fontId="15" fillId="15" borderId="0" xfId="0" applyNumberFormat="1" applyFont="1" applyFill="1" applyAlignment="1">
      <alignment horizontal="left" vertical="center" wrapText="1"/>
    </xf>
    <xf numFmtId="0" fontId="15" fillId="15" borderId="0" xfId="0" applyFont="1" applyFill="1" applyAlignment="1">
      <alignment horizontal="center" vertical="center" wrapText="1"/>
    </xf>
    <xf numFmtId="166" fontId="15" fillId="15" borderId="0" xfId="0" applyNumberFormat="1" applyFont="1" applyFill="1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15" fontId="0" fillId="17" borderId="0" xfId="0" applyNumberFormat="1" applyFill="1" applyAlignment="1">
      <alignment horizontal="center" vertical="center" wrapText="1"/>
    </xf>
    <xf numFmtId="0" fontId="15" fillId="14" borderId="0" xfId="0" applyFont="1" applyFill="1" applyAlignment="1">
      <alignment horizontal="center" vertical="center"/>
    </xf>
    <xf numFmtId="168" fontId="15" fillId="0" borderId="0" xfId="0" applyNumberFormat="1" applyFont="1" applyAlignment="1">
      <alignment horizontal="center" vertical="center" wrapText="1"/>
    </xf>
    <xf numFmtId="0" fontId="15" fillId="17" borderId="0" xfId="0" applyFont="1" applyFill="1" applyAlignment="1">
      <alignment horizontal="center" vertical="center" wrapText="1"/>
    </xf>
    <xf numFmtId="15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5" fillId="13" borderId="0" xfId="0" applyFont="1" applyFill="1" applyAlignment="1">
      <alignment horizontal="center" vertical="center" wrapText="1"/>
    </xf>
    <xf numFmtId="0" fontId="15" fillId="8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167" fontId="15" fillId="0" borderId="0" xfId="3" applyNumberFormat="1" applyFont="1" applyFill="1" applyBorder="1" applyAlignment="1">
      <alignment horizontal="center" vertical="center" wrapText="1"/>
    </xf>
    <xf numFmtId="166" fontId="15" fillId="0" borderId="0" xfId="0" applyNumberFormat="1" applyFont="1" applyFill="1" applyBorder="1" applyAlignment="1">
      <alignment horizontal="center" vertical="center" wrapText="1"/>
    </xf>
    <xf numFmtId="0" fontId="15" fillId="12" borderId="0" xfId="0" applyFont="1" applyFill="1" applyAlignment="1">
      <alignment horizontal="center" vertical="center" wrapText="1"/>
    </xf>
    <xf numFmtId="0" fontId="15" fillId="17" borderId="0" xfId="0" applyFont="1" applyFill="1" applyAlignment="1">
      <alignment horizontal="center" vertical="center"/>
    </xf>
    <xf numFmtId="14" fontId="15" fillId="0" borderId="0" xfId="0" applyNumberFormat="1" applyFont="1" applyFill="1" applyBorder="1" applyAlignment="1">
      <alignment horizontal="center" vertical="center" wrapText="1"/>
    </xf>
    <xf numFmtId="167" fontId="15" fillId="0" borderId="0" xfId="3" applyNumberFormat="1" applyFont="1" applyFill="1" applyBorder="1" applyAlignment="1">
      <alignment horizontal="center" vertical="center"/>
    </xf>
    <xf numFmtId="166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 wrapText="1"/>
    </xf>
    <xf numFmtId="167" fontId="15" fillId="0" borderId="0" xfId="3" applyNumberFormat="1" applyFont="1" applyBorder="1" applyAlignment="1">
      <alignment horizontal="center" vertical="center" wrapText="1"/>
    </xf>
    <xf numFmtId="166" fontId="15" fillId="0" borderId="0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167" fontId="18" fillId="0" borderId="0" xfId="3" applyNumberFormat="1" applyFont="1" applyBorder="1" applyAlignment="1">
      <alignment horizontal="center" vertical="center" wrapText="1"/>
    </xf>
    <xf numFmtId="166" fontId="18" fillId="0" borderId="0" xfId="0" applyNumberFormat="1" applyFont="1" applyBorder="1" applyAlignment="1">
      <alignment horizontal="center" vertical="center" wrapText="1"/>
    </xf>
    <xf numFmtId="0" fontId="19" fillId="0" borderId="0" xfId="1" applyFont="1" applyBorder="1" applyAlignment="1">
      <alignment horizontal="center" vertical="center" wrapText="1"/>
    </xf>
    <xf numFmtId="0" fontId="20" fillId="11" borderId="0" xfId="0" applyFont="1" applyFill="1" applyBorder="1" applyAlignment="1">
      <alignment horizontal="center" vertical="center" wrapText="1"/>
    </xf>
    <xf numFmtId="167" fontId="20" fillId="11" borderId="0" xfId="3" applyNumberFormat="1" applyFont="1" applyFill="1" applyBorder="1" applyAlignment="1">
      <alignment horizontal="center" vertical="center" wrapText="1"/>
    </xf>
    <xf numFmtId="166" fontId="20" fillId="11" borderId="0" xfId="0" applyNumberFormat="1" applyFont="1" applyFill="1" applyBorder="1" applyAlignment="1">
      <alignment horizontal="center" vertical="center" wrapText="1"/>
    </xf>
    <xf numFmtId="14" fontId="20" fillId="11" borderId="0" xfId="0" applyNumberFormat="1" applyFont="1" applyFill="1" applyBorder="1" applyAlignment="1">
      <alignment horizontal="center" vertical="center" wrapText="1"/>
    </xf>
    <xf numFmtId="0" fontId="15" fillId="10" borderId="0" xfId="0" applyFont="1" applyFill="1" applyBorder="1" applyAlignment="1">
      <alignment horizontal="center" vertical="center" wrapText="1"/>
    </xf>
    <xf numFmtId="167" fontId="15" fillId="10" borderId="0" xfId="3" applyNumberFormat="1" applyFont="1" applyFill="1" applyBorder="1" applyAlignment="1">
      <alignment horizontal="center" vertical="center" wrapText="1"/>
    </xf>
    <xf numFmtId="166" fontId="15" fillId="10" borderId="0" xfId="0" applyNumberFormat="1" applyFont="1" applyFill="1" applyBorder="1" applyAlignment="1">
      <alignment horizontal="center" vertical="center" wrapText="1"/>
    </xf>
    <xf numFmtId="0" fontId="18" fillId="10" borderId="0" xfId="0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 vertical="center" wrapText="1"/>
    </xf>
    <xf numFmtId="0" fontId="18" fillId="0" borderId="0" xfId="2" applyFont="1" applyFill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6" fontId="15" fillId="0" borderId="0" xfId="0" applyNumberFormat="1" applyFont="1" applyFill="1" applyBorder="1" applyAlignment="1">
      <alignment horizontal="center" vertical="center"/>
    </xf>
    <xf numFmtId="0" fontId="15" fillId="0" borderId="0" xfId="2" applyFont="1" applyFill="1" applyBorder="1" applyAlignment="1">
      <alignment horizontal="center" vertical="center"/>
    </xf>
    <xf numFmtId="0" fontId="15" fillId="0" borderId="0" xfId="2" applyFont="1" applyFill="1" applyBorder="1" applyAlignment="1">
      <alignment horizontal="center" vertical="center" wrapText="1"/>
    </xf>
    <xf numFmtId="166" fontId="15" fillId="0" borderId="0" xfId="2" applyNumberFormat="1" applyFont="1" applyFill="1" applyBorder="1" applyAlignment="1">
      <alignment horizontal="center" vertical="center" wrapText="1"/>
    </xf>
    <xf numFmtId="0" fontId="18" fillId="0" borderId="0" xfId="2" applyFont="1" applyFill="1" applyBorder="1" applyAlignment="1">
      <alignment horizontal="center" vertical="center"/>
    </xf>
    <xf numFmtId="167" fontId="18" fillId="0" borderId="0" xfId="3" applyNumberFormat="1" applyFont="1" applyFill="1" applyBorder="1" applyAlignment="1">
      <alignment horizontal="center" vertical="center" wrapText="1"/>
    </xf>
    <xf numFmtId="166" fontId="18" fillId="0" borderId="0" xfId="2" applyNumberFormat="1" applyFont="1" applyFill="1" applyBorder="1" applyAlignment="1">
      <alignment horizontal="center" vertical="center" wrapText="1"/>
    </xf>
    <xf numFmtId="0" fontId="23" fillId="0" borderId="0" xfId="2" applyFont="1" applyFill="1" applyBorder="1" applyAlignment="1">
      <alignment horizontal="center" vertical="center"/>
    </xf>
    <xf numFmtId="14" fontId="18" fillId="0" borderId="0" xfId="2" applyNumberFormat="1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 wrapText="1"/>
    </xf>
    <xf numFmtId="0" fontId="4" fillId="0" borderId="0" xfId="1" applyFont="1" applyFill="1" applyBorder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 wrapText="1"/>
    </xf>
    <xf numFmtId="0" fontId="15" fillId="0" borderId="0" xfId="0" applyFont="1" applyFill="1" applyBorder="1" applyAlignment="1">
      <alignment horizontal="left" vertical="center"/>
    </xf>
    <xf numFmtId="15" fontId="15" fillId="17" borderId="0" xfId="0" applyNumberFormat="1" applyFont="1" applyFill="1" applyAlignment="1">
      <alignment horizontal="center" vertical="center" wrapText="1"/>
    </xf>
    <xf numFmtId="168" fontId="15" fillId="17" borderId="0" xfId="0" applyNumberFormat="1" applyFont="1" applyFill="1" applyAlignment="1">
      <alignment horizontal="center" vertical="center" wrapText="1"/>
    </xf>
    <xf numFmtId="15" fontId="15" fillId="12" borderId="0" xfId="0" applyNumberFormat="1" applyFont="1" applyFill="1" applyAlignment="1">
      <alignment horizontal="center" vertical="center" wrapText="1"/>
    </xf>
    <xf numFmtId="168" fontId="15" fillId="12" borderId="0" xfId="0" applyNumberFormat="1" applyFont="1" applyFill="1" applyAlignment="1">
      <alignment horizontal="center" vertical="center" wrapText="1"/>
    </xf>
    <xf numFmtId="0" fontId="15" fillId="3" borderId="0" xfId="0" applyFont="1" applyFill="1" applyBorder="1" applyAlignment="1">
      <alignment horizontal="center" vertical="center"/>
    </xf>
    <xf numFmtId="15" fontId="15" fillId="13" borderId="0" xfId="0" applyNumberFormat="1" applyFont="1" applyFill="1" applyAlignment="1">
      <alignment horizontal="center" vertical="center" wrapText="1"/>
    </xf>
    <xf numFmtId="0" fontId="26" fillId="0" borderId="0" xfId="0" applyFont="1"/>
    <xf numFmtId="0" fontId="15" fillId="8" borderId="0" xfId="0" applyFont="1" applyFill="1" applyAlignment="1">
      <alignment horizontal="left" vertical="center" wrapText="1"/>
    </xf>
    <xf numFmtId="166" fontId="15" fillId="8" borderId="0" xfId="0" applyNumberFormat="1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 wrapText="1"/>
    </xf>
    <xf numFmtId="166" fontId="15" fillId="8" borderId="0" xfId="0" applyNumberFormat="1" applyFont="1" applyFill="1" applyAlignment="1">
      <alignment horizontal="center" vertical="center" wrapText="1"/>
    </xf>
    <xf numFmtId="166" fontId="15" fillId="8" borderId="0" xfId="0" applyNumberFormat="1" applyFont="1" applyFill="1" applyAlignment="1">
      <alignment horizontal="left" vertical="center" wrapText="1"/>
    </xf>
    <xf numFmtId="15" fontId="15" fillId="8" borderId="0" xfId="0" applyNumberFormat="1" applyFont="1" applyFill="1" applyAlignment="1">
      <alignment horizontal="left" vertical="center" wrapText="1"/>
    </xf>
    <xf numFmtId="166" fontId="18" fillId="8" borderId="0" xfId="2" applyNumberFormat="1" applyFont="1" applyFill="1" applyAlignment="1">
      <alignment horizontal="center" vertical="center" wrapText="1"/>
    </xf>
    <xf numFmtId="0" fontId="18" fillId="8" borderId="0" xfId="2" applyFont="1" applyFill="1" applyAlignment="1">
      <alignment horizontal="center" vertical="center" wrapText="1"/>
    </xf>
    <xf numFmtId="0" fontId="15" fillId="8" borderId="0" xfId="0" applyFont="1" applyFill="1" applyAlignment="1">
      <alignment horizontal="center" vertical="center"/>
    </xf>
    <xf numFmtId="166" fontId="15" fillId="8" borderId="0" xfId="0" applyNumberFormat="1" applyFont="1" applyFill="1" applyAlignment="1">
      <alignment horizontal="left" vertical="center"/>
    </xf>
    <xf numFmtId="0" fontId="15" fillId="8" borderId="0" xfId="0" applyFont="1" applyFill="1" applyBorder="1" applyAlignment="1">
      <alignment horizontal="left"/>
    </xf>
    <xf numFmtId="169" fontId="15" fillId="0" borderId="0" xfId="0" applyNumberFormat="1" applyFont="1" applyAlignment="1">
      <alignment horizontal="center" vertical="center" wrapText="1"/>
    </xf>
    <xf numFmtId="169" fontId="0" fillId="8" borderId="0" xfId="0" applyNumberFormat="1" applyFill="1" applyAlignment="1">
      <alignment horizontal="center" vertical="center" wrapText="1"/>
    </xf>
    <xf numFmtId="0" fontId="15" fillId="12" borderId="0" xfId="0" applyFont="1" applyFill="1" applyAlignment="1">
      <alignment horizontal="center" wrapText="1"/>
    </xf>
    <xf numFmtId="15" fontId="15" fillId="8" borderId="0" xfId="0" applyNumberFormat="1" applyFont="1" applyFill="1" applyAlignment="1">
      <alignment horizontal="center" vertical="center" wrapText="1"/>
    </xf>
    <xf numFmtId="168" fontId="15" fillId="8" borderId="0" xfId="0" applyNumberFormat="1" applyFont="1" applyFill="1" applyAlignment="1">
      <alignment horizontal="center" vertical="center" wrapText="1"/>
    </xf>
    <xf numFmtId="0" fontId="15" fillId="0" borderId="0" xfId="0" applyFont="1" applyFill="1" applyAlignment="1">
      <alignment horizontal="center" vertical="center" wrapText="1"/>
    </xf>
    <xf numFmtId="0" fontId="15" fillId="8" borderId="0" xfId="0" applyFont="1" applyFill="1" applyBorder="1" applyAlignment="1">
      <alignment horizontal="center" vertical="center" wrapText="1"/>
    </xf>
    <xf numFmtId="169" fontId="15" fillId="8" borderId="0" xfId="0" applyNumberFormat="1" applyFont="1" applyFill="1" applyAlignment="1">
      <alignment horizontal="center" vertical="center" wrapText="1"/>
    </xf>
    <xf numFmtId="8" fontId="15" fillId="12" borderId="0" xfId="0" applyNumberFormat="1" applyFont="1" applyFill="1" applyAlignment="1">
      <alignment horizontal="center" vertical="center" wrapText="1"/>
    </xf>
    <xf numFmtId="169" fontId="15" fillId="12" borderId="0" xfId="0" applyNumberFormat="1" applyFont="1" applyFill="1" applyAlignment="1">
      <alignment horizontal="center" vertical="center" wrapText="1"/>
    </xf>
    <xf numFmtId="8" fontId="15" fillId="8" borderId="0" xfId="0" applyNumberFormat="1" applyFont="1" applyFill="1" applyAlignment="1">
      <alignment horizontal="center" vertical="center" wrapText="1"/>
    </xf>
    <xf numFmtId="6" fontId="15" fillId="8" borderId="0" xfId="0" applyNumberFormat="1" applyFont="1" applyFill="1" applyAlignment="1">
      <alignment horizontal="center" vertical="center" wrapText="1"/>
    </xf>
    <xf numFmtId="17" fontId="15" fillId="8" borderId="0" xfId="0" applyNumberFormat="1" applyFont="1" applyFill="1" applyAlignment="1">
      <alignment horizontal="center" vertical="center" wrapText="1"/>
    </xf>
    <xf numFmtId="15" fontId="15" fillId="3" borderId="0" xfId="0" applyNumberFormat="1" applyFont="1" applyFill="1" applyAlignment="1">
      <alignment horizontal="center" vertical="center" wrapText="1"/>
    </xf>
    <xf numFmtId="169" fontId="15" fillId="3" borderId="0" xfId="0" applyNumberFormat="1" applyFont="1" applyFill="1" applyAlignment="1">
      <alignment horizontal="center" vertical="center" wrapText="1"/>
    </xf>
    <xf numFmtId="6" fontId="15" fillId="3" borderId="0" xfId="0" applyNumberFormat="1" applyFont="1" applyFill="1" applyAlignment="1">
      <alignment horizontal="center" vertical="center" wrapText="1"/>
    </xf>
    <xf numFmtId="0" fontId="20" fillId="8" borderId="0" xfId="0" applyFont="1" applyFill="1" applyAlignment="1">
      <alignment horizontal="center" vertical="center" wrapText="1"/>
    </xf>
    <xf numFmtId="0" fontId="15" fillId="10" borderId="0" xfId="0" applyFont="1" applyFill="1" applyAlignment="1">
      <alignment horizontal="center" vertical="center" wrapText="1"/>
    </xf>
    <xf numFmtId="0" fontId="15" fillId="14" borderId="0" xfId="0" applyFont="1" applyFill="1" applyAlignment="1">
      <alignment horizontal="center" vertical="center" wrapText="1"/>
    </xf>
    <xf numFmtId="15" fontId="15" fillId="14" borderId="0" xfId="0" applyNumberFormat="1" applyFont="1" applyFill="1" applyAlignment="1">
      <alignment horizontal="center" vertical="center" wrapText="1"/>
    </xf>
    <xf numFmtId="169" fontId="15" fillId="14" borderId="0" xfId="0" applyNumberFormat="1" applyFont="1" applyFill="1" applyAlignment="1">
      <alignment horizontal="center" vertical="center" wrapText="1"/>
    </xf>
    <xf numFmtId="6" fontId="15" fillId="14" borderId="0" xfId="0" applyNumberFormat="1" applyFont="1" applyFill="1" applyAlignment="1">
      <alignment horizontal="center" vertical="center" wrapText="1"/>
    </xf>
    <xf numFmtId="169" fontId="15" fillId="17" borderId="0" xfId="0" applyNumberFormat="1" applyFont="1" applyFill="1" applyAlignment="1">
      <alignment horizontal="center" vertical="center" wrapText="1"/>
    </xf>
    <xf numFmtId="6" fontId="15" fillId="17" borderId="0" xfId="0" applyNumberFormat="1" applyFont="1" applyFill="1" applyAlignment="1">
      <alignment horizontal="center" vertical="center" wrapText="1"/>
    </xf>
    <xf numFmtId="169" fontId="15" fillId="13" borderId="0" xfId="0" applyNumberFormat="1" applyFont="1" applyFill="1" applyAlignment="1">
      <alignment horizontal="center" vertical="center" wrapText="1"/>
    </xf>
    <xf numFmtId="6" fontId="15" fillId="13" borderId="0" xfId="0" applyNumberFormat="1" applyFont="1" applyFill="1" applyAlignment="1">
      <alignment horizontal="center" vertical="center" wrapText="1"/>
    </xf>
    <xf numFmtId="6" fontId="15" fillId="12" borderId="0" xfId="0" applyNumberFormat="1" applyFont="1" applyFill="1" applyAlignment="1">
      <alignment horizontal="center" vertical="center" wrapText="1"/>
    </xf>
    <xf numFmtId="14" fontId="15" fillId="8" borderId="0" xfId="0" applyNumberFormat="1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21" fillId="18" borderId="0" xfId="0" applyFont="1" applyFill="1" applyAlignment="1">
      <alignment horizontal="center" vertical="center" wrapText="1"/>
    </xf>
    <xf numFmtId="14" fontId="15" fillId="17" borderId="0" xfId="0" applyNumberFormat="1" applyFont="1" applyFill="1" applyAlignment="1">
      <alignment horizontal="center" vertical="center" wrapText="1"/>
    </xf>
    <xf numFmtId="0" fontId="15" fillId="8" borderId="0" xfId="0" applyFont="1" applyFill="1" applyBorder="1" applyAlignment="1">
      <alignment horizontal="center" vertical="center"/>
    </xf>
    <xf numFmtId="15" fontId="15" fillId="0" borderId="0" xfId="0" applyNumberFormat="1" applyFont="1" applyFill="1" applyBorder="1" applyAlignment="1">
      <alignment horizontal="center" vertical="center"/>
    </xf>
    <xf numFmtId="15" fontId="15" fillId="0" borderId="0" xfId="0" applyNumberFormat="1" applyFont="1" applyFill="1" applyAlignment="1">
      <alignment horizontal="center" vertical="center" wrapText="1"/>
    </xf>
    <xf numFmtId="169" fontId="15" fillId="0" borderId="0" xfId="0" applyNumberFormat="1" applyFont="1" applyFill="1" applyAlignment="1">
      <alignment horizontal="center" vertical="center" wrapText="1"/>
    </xf>
    <xf numFmtId="6" fontId="15" fillId="0" borderId="0" xfId="0" applyNumberFormat="1" applyFont="1" applyFill="1" applyAlignment="1">
      <alignment horizontal="center" vertical="center" wrapText="1"/>
    </xf>
    <xf numFmtId="14" fontId="15" fillId="0" borderId="0" xfId="0" applyNumberFormat="1" applyFont="1" applyAlignment="1">
      <alignment horizontal="left" vertical="center" wrapText="1"/>
    </xf>
    <xf numFmtId="15" fontId="15" fillId="0" borderId="0" xfId="0" applyNumberFormat="1" applyFont="1" applyFill="1" applyBorder="1" applyAlignment="1">
      <alignment horizontal="center" vertical="center" wrapText="1"/>
    </xf>
    <xf numFmtId="0" fontId="15" fillId="19" borderId="0" xfId="0" applyFont="1" applyFill="1" applyAlignment="1">
      <alignment horizontal="center" vertical="center" wrapText="1"/>
    </xf>
    <xf numFmtId="15" fontId="15" fillId="19" borderId="0" xfId="0" applyNumberFormat="1" applyFont="1" applyFill="1" applyAlignment="1">
      <alignment horizontal="center" vertical="center" wrapText="1"/>
    </xf>
    <xf numFmtId="169" fontId="15" fillId="19" borderId="0" xfId="0" applyNumberFormat="1" applyFont="1" applyFill="1" applyAlignment="1">
      <alignment horizontal="center" vertical="center" wrapText="1"/>
    </xf>
    <xf numFmtId="6" fontId="15" fillId="19" borderId="0" xfId="0" applyNumberFormat="1" applyFont="1" applyFill="1" applyAlignment="1">
      <alignment horizontal="center" vertical="center" wrapText="1"/>
    </xf>
    <xf numFmtId="15" fontId="21" fillId="0" borderId="0" xfId="0" applyNumberFormat="1" applyFont="1" applyAlignment="1">
      <alignment horizontal="center" vertical="center"/>
    </xf>
    <xf numFmtId="16" fontId="15" fillId="8" borderId="0" xfId="0" applyNumberFormat="1" applyFont="1" applyFill="1" applyAlignment="1">
      <alignment horizontal="center" vertical="center" wrapText="1"/>
    </xf>
    <xf numFmtId="0" fontId="21" fillId="8" borderId="0" xfId="0" applyFont="1" applyFill="1" applyAlignment="1">
      <alignment horizontal="center" vertical="center"/>
    </xf>
    <xf numFmtId="15" fontId="15" fillId="17" borderId="0" xfId="0" applyNumberFormat="1" applyFont="1" applyFill="1" applyBorder="1" applyAlignment="1">
      <alignment horizontal="center" vertical="center"/>
    </xf>
    <xf numFmtId="0" fontId="0" fillId="12" borderId="0" xfId="0" applyFill="1" applyAlignment="1">
      <alignment horizontal="center" wrapText="1"/>
    </xf>
    <xf numFmtId="15" fontId="18" fillId="12" borderId="0" xfId="0" applyNumberFormat="1" applyFont="1" applyFill="1" applyAlignment="1">
      <alignment horizontal="center" vertical="center" wrapText="1"/>
    </xf>
    <xf numFmtId="0" fontId="18" fillId="12" borderId="0" xfId="0" applyFont="1" applyFill="1" applyAlignment="1">
      <alignment horizontal="center" vertical="center" wrapText="1"/>
    </xf>
    <xf numFmtId="168" fontId="18" fillId="12" borderId="0" xfId="0" applyNumberFormat="1" applyFont="1" applyFill="1" applyAlignment="1">
      <alignment horizontal="center" vertical="center" wrapText="1"/>
    </xf>
    <xf numFmtId="167" fontId="15" fillId="3" borderId="0" xfId="3" applyNumberFormat="1" applyFont="1" applyFill="1" applyBorder="1" applyAlignment="1">
      <alignment horizontal="center" vertical="center"/>
    </xf>
    <xf numFmtId="166" fontId="15" fillId="3" borderId="0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wrapText="1"/>
    </xf>
    <xf numFmtId="15" fontId="0" fillId="8" borderId="0" xfId="0" applyNumberFormat="1" applyFill="1" applyAlignment="1">
      <alignment horizontal="center" wrapText="1"/>
    </xf>
    <xf numFmtId="6" fontId="0" fillId="8" borderId="0" xfId="0" applyNumberFormat="1" applyFill="1" applyAlignment="1">
      <alignment horizontal="center" wrapText="1"/>
    </xf>
    <xf numFmtId="16" fontId="0" fillId="12" borderId="0" xfId="0" applyNumberFormat="1" applyFill="1" applyAlignment="1">
      <alignment horizontal="center" wrapText="1"/>
    </xf>
    <xf numFmtId="16" fontId="0" fillId="8" borderId="0" xfId="0" applyNumberFormat="1" applyFill="1" applyAlignment="1">
      <alignment horizontal="center" wrapText="1"/>
    </xf>
    <xf numFmtId="15" fontId="0" fillId="0" borderId="0" xfId="0" applyNumberFormat="1" applyAlignment="1">
      <alignment horizontal="center" wrapText="1"/>
    </xf>
    <xf numFmtId="0" fontId="21" fillId="0" borderId="0" xfId="0" applyFont="1" applyAlignment="1">
      <alignment horizontal="center" vertical="center" wrapText="1"/>
    </xf>
    <xf numFmtId="17" fontId="0" fillId="0" borderId="0" xfId="0" applyNumberFormat="1"/>
    <xf numFmtId="6" fontId="0" fillId="0" borderId="0" xfId="0" applyNumberFormat="1"/>
    <xf numFmtId="0" fontId="15" fillId="20" borderId="0" xfId="0" applyFont="1" applyFill="1" applyAlignment="1">
      <alignment horizontal="center" vertical="center" wrapText="1"/>
    </xf>
    <xf numFmtId="15" fontId="15" fillId="20" borderId="0" xfId="0" applyNumberFormat="1" applyFont="1" applyFill="1" applyAlignment="1">
      <alignment horizontal="center" vertical="center" wrapText="1"/>
    </xf>
    <xf numFmtId="169" fontId="15" fillId="20" borderId="0" xfId="0" applyNumberFormat="1" applyFont="1" applyFill="1" applyAlignment="1">
      <alignment horizontal="center" vertical="center" wrapText="1"/>
    </xf>
    <xf numFmtId="6" fontId="15" fillId="20" borderId="0" xfId="0" applyNumberFormat="1" applyFont="1" applyFill="1" applyAlignment="1">
      <alignment horizontal="center" vertical="center" wrapText="1"/>
    </xf>
    <xf numFmtId="15" fontId="0" fillId="20" borderId="0" xfId="0" applyNumberForma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21" fillId="3" borderId="0" xfId="0" applyFont="1" applyFill="1" applyAlignment="1">
      <alignment horizontal="center" vertical="center"/>
    </xf>
    <xf numFmtId="0" fontId="15" fillId="3" borderId="0" xfId="2" applyFont="1" applyFill="1" applyBorder="1" applyAlignment="1">
      <alignment horizontal="center" vertical="center"/>
    </xf>
    <xf numFmtId="15" fontId="15" fillId="3" borderId="0" xfId="0" applyNumberFormat="1" applyFont="1" applyFill="1" applyBorder="1" applyAlignment="1">
      <alignment horizontal="center" vertical="center"/>
    </xf>
  </cellXfs>
  <cellStyles count="4">
    <cellStyle name="Currency" xfId="3" builtinId="4"/>
    <cellStyle name="Hyperlink" xfId="1" builtinId="8"/>
    <cellStyle name="Neutral" xfId="2" builtinId="28"/>
    <cellStyle name="Normal" xfId="0" builtinId="0"/>
  </cellStyles>
  <dxfs count="2">
    <dxf>
      <fill>
        <patternFill patternType="solid">
          <fgColor indexed="64"/>
          <bgColor rgb="FFFF9900"/>
        </patternFill>
      </fill>
    </dxf>
    <dxf>
      <fill>
        <patternFill patternType="solid">
          <fgColor indexed="64"/>
          <bgColor rgb="FFFF9900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98926802/zhaoxin.zhang5555@gmail.com" TargetMode="External"/><Relationship Id="rId2" Type="http://schemas.openxmlformats.org/officeDocument/2006/relationships/hyperlink" Target="mailto:93698669/XUANYU116@GMAIL.COM" TargetMode="External"/><Relationship Id="rId1" Type="http://schemas.openxmlformats.org/officeDocument/2006/relationships/hyperlink" Target="mailto:84039085/27961799@QQ.COM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98586652/236360897@QQ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privatebillyw@gmail.com" TargetMode="External"/><Relationship Id="rId2" Type="http://schemas.openxmlformats.org/officeDocument/2006/relationships/hyperlink" Target="mailto:privatebillyw@gmail.com" TargetMode="External"/><Relationship Id="rId1" Type="http://schemas.openxmlformats.org/officeDocument/2006/relationships/hyperlink" Target="mailto:actceo@outlook.com%20/%20+86%2015596668108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thomas@thomas-raabe.eu" TargetMode="External"/><Relationship Id="rId2" Type="http://schemas.openxmlformats.org/officeDocument/2006/relationships/hyperlink" Target="mailto:sgyng20@gmai.com" TargetMode="External"/><Relationship Id="rId1" Type="http://schemas.openxmlformats.org/officeDocument/2006/relationships/hyperlink" Target="mailto:eugeneyin0125@gmail.com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actceo@outlook.com%20/%20+86%2015596668108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mailto:jacquelinelu73@gmail.com" TargetMode="External"/><Relationship Id="rId1" Type="http://schemas.openxmlformats.org/officeDocument/2006/relationships/hyperlink" Target="mailto:84039085/27961799@QQ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mailto:98926802/zhaoxin.zhang5555@gmail.com" TargetMode="External"/><Relationship Id="rId2" Type="http://schemas.openxmlformats.org/officeDocument/2006/relationships/hyperlink" Target="mailto:93698669/XUANYU116@GMAIL.COM" TargetMode="External"/><Relationship Id="rId1" Type="http://schemas.openxmlformats.org/officeDocument/2006/relationships/hyperlink" Target="mailto:84039085/27961799@QQ.COM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mailto:98586652/236360897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opLeftCell="A42" zoomScale="86" workbookViewId="0">
      <selection activeCell="B59" sqref="B59"/>
    </sheetView>
  </sheetViews>
  <sheetFormatPr baseColWidth="10" defaultColWidth="8.6640625" defaultRowHeight="13"/>
  <cols>
    <col min="1" max="1" width="13.6640625" customWidth="1"/>
    <col min="2" max="2" width="69.5" customWidth="1"/>
    <col min="3" max="3" width="10.33203125" customWidth="1"/>
    <col min="4" max="4" width="18.5" customWidth="1"/>
    <col min="5" max="5" width="13.5" customWidth="1"/>
    <col min="6" max="6" width="15.6640625" customWidth="1"/>
    <col min="7" max="7" width="21.6640625" customWidth="1"/>
    <col min="8" max="8" width="17.1640625" style="19" customWidth="1"/>
  </cols>
  <sheetData>
    <row r="1" spans="1:8" ht="34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3" t="s">
        <v>6</v>
      </c>
      <c r="H1" s="4" t="s">
        <v>7</v>
      </c>
    </row>
    <row r="2" spans="1:8">
      <c r="A2" s="5" t="s">
        <v>8</v>
      </c>
      <c r="B2" s="5" t="s">
        <v>9</v>
      </c>
      <c r="C2" s="5" t="s">
        <v>10</v>
      </c>
      <c r="D2" s="5" t="s">
        <v>11</v>
      </c>
      <c r="E2" s="5" t="s">
        <v>12</v>
      </c>
      <c r="F2" s="5"/>
      <c r="G2" s="5"/>
      <c r="H2" s="7"/>
    </row>
    <row r="3" spans="1:8">
      <c r="A3" s="5" t="s">
        <v>13</v>
      </c>
      <c r="B3" s="5" t="s">
        <v>14</v>
      </c>
      <c r="C3" s="5" t="s">
        <v>10</v>
      </c>
      <c r="D3" s="5" t="s">
        <v>11</v>
      </c>
      <c r="E3" s="5" t="s">
        <v>15</v>
      </c>
      <c r="F3" s="11">
        <v>42984</v>
      </c>
      <c r="G3" s="11">
        <v>42861</v>
      </c>
      <c r="H3" s="12">
        <v>43226</v>
      </c>
    </row>
    <row r="4" spans="1:8" ht="14">
      <c r="A4" s="5" t="s">
        <v>16</v>
      </c>
      <c r="B4" s="5" t="s">
        <v>17</v>
      </c>
      <c r="C4" s="5" t="s">
        <v>10</v>
      </c>
      <c r="D4" s="5" t="s">
        <v>11</v>
      </c>
      <c r="E4" s="5" t="s">
        <v>18</v>
      </c>
      <c r="F4" s="9" t="s">
        <v>19</v>
      </c>
      <c r="G4" s="9" t="s">
        <v>20</v>
      </c>
      <c r="H4" s="7" t="s">
        <v>21</v>
      </c>
    </row>
    <row r="5" spans="1:8" ht="14">
      <c r="A5" s="5" t="s">
        <v>22</v>
      </c>
      <c r="B5" s="5" t="s">
        <v>23</v>
      </c>
      <c r="C5" s="5" t="s">
        <v>10</v>
      </c>
      <c r="D5" s="5" t="s">
        <v>11</v>
      </c>
      <c r="E5" s="5" t="s">
        <v>24</v>
      </c>
      <c r="F5" s="11">
        <v>43009</v>
      </c>
      <c r="G5" s="9" t="s">
        <v>25</v>
      </c>
      <c r="H5" s="18" t="s">
        <v>26</v>
      </c>
    </row>
    <row r="6" spans="1:8" ht="14">
      <c r="A6" s="5" t="s">
        <v>27</v>
      </c>
      <c r="B6" s="5" t="s">
        <v>28</v>
      </c>
      <c r="C6" s="5" t="s">
        <v>10</v>
      </c>
      <c r="D6" s="5" t="s">
        <v>11</v>
      </c>
      <c r="E6" s="8" t="s">
        <v>29</v>
      </c>
      <c r="F6" s="9" t="s">
        <v>30</v>
      </c>
      <c r="G6" s="11">
        <v>42919</v>
      </c>
      <c r="H6" s="12">
        <v>43284</v>
      </c>
    </row>
    <row r="7" spans="1:8" ht="14">
      <c r="A7" s="5" t="s">
        <v>31</v>
      </c>
      <c r="B7" s="5" t="s">
        <v>32</v>
      </c>
      <c r="C7" s="5" t="s">
        <v>10</v>
      </c>
      <c r="D7" s="5" t="s">
        <v>11</v>
      </c>
      <c r="E7" s="8" t="s">
        <v>33</v>
      </c>
      <c r="F7" s="11">
        <v>43315</v>
      </c>
      <c r="G7" s="9" t="s">
        <v>34</v>
      </c>
      <c r="H7" s="7" t="s">
        <v>35</v>
      </c>
    </row>
    <row r="8" spans="1:8" ht="14">
      <c r="A8" s="5" t="s">
        <v>36</v>
      </c>
      <c r="B8" s="5" t="s">
        <v>37</v>
      </c>
      <c r="C8" s="5" t="s">
        <v>10</v>
      </c>
      <c r="D8" s="5" t="s">
        <v>11</v>
      </c>
      <c r="E8" s="8" t="s">
        <v>38</v>
      </c>
      <c r="F8" s="11">
        <v>42743</v>
      </c>
      <c r="G8" s="9" t="s">
        <v>39</v>
      </c>
      <c r="H8" s="7" t="s">
        <v>40</v>
      </c>
    </row>
    <row r="9" spans="1:8" ht="14">
      <c r="A9" s="5" t="s">
        <v>41</v>
      </c>
      <c r="B9" s="5" t="s">
        <v>42</v>
      </c>
      <c r="C9" s="5" t="s">
        <v>10</v>
      </c>
      <c r="D9" s="5" t="s">
        <v>11</v>
      </c>
      <c r="E9" s="8" t="s">
        <v>43</v>
      </c>
      <c r="F9" s="9" t="s">
        <v>44</v>
      </c>
      <c r="G9" s="9" t="s">
        <v>45</v>
      </c>
      <c r="H9" s="7" t="s">
        <v>46</v>
      </c>
    </row>
    <row r="10" spans="1:8" ht="14">
      <c r="A10" s="5" t="s">
        <v>47</v>
      </c>
      <c r="B10" s="5" t="s">
        <v>48</v>
      </c>
      <c r="C10" s="5" t="s">
        <v>10</v>
      </c>
      <c r="D10" s="5" t="s">
        <v>11</v>
      </c>
      <c r="E10" s="8" t="s">
        <v>49</v>
      </c>
      <c r="F10" s="9" t="s">
        <v>50</v>
      </c>
      <c r="G10" s="9" t="s">
        <v>51</v>
      </c>
      <c r="H10" s="7" t="s">
        <v>52</v>
      </c>
    </row>
    <row r="11" spans="1:8" ht="14">
      <c r="A11" s="5" t="s">
        <v>53</v>
      </c>
      <c r="B11" s="17" t="s">
        <v>54</v>
      </c>
      <c r="C11" s="5" t="s">
        <v>10</v>
      </c>
      <c r="D11" s="5" t="s">
        <v>11</v>
      </c>
      <c r="E11" s="8" t="s">
        <v>55</v>
      </c>
      <c r="F11" s="9" t="s">
        <v>56</v>
      </c>
      <c r="G11" s="9" t="s">
        <v>57</v>
      </c>
      <c r="H11" s="7" t="s">
        <v>58</v>
      </c>
    </row>
    <row r="12" spans="1:8" ht="14">
      <c r="A12" s="5" t="s">
        <v>59</v>
      </c>
      <c r="B12" s="5" t="s">
        <v>60</v>
      </c>
      <c r="C12" s="5" t="s">
        <v>10</v>
      </c>
      <c r="D12" s="5" t="s">
        <v>11</v>
      </c>
      <c r="E12" s="8" t="s">
        <v>61</v>
      </c>
      <c r="F12" s="9" t="s">
        <v>62</v>
      </c>
      <c r="G12" s="9" t="s">
        <v>63</v>
      </c>
      <c r="H12" s="18" t="s">
        <v>64</v>
      </c>
    </row>
    <row r="13" spans="1:8">
      <c r="A13" s="5" t="s">
        <v>65</v>
      </c>
      <c r="B13" s="5" t="s">
        <v>66</v>
      </c>
      <c r="C13" s="5" t="s">
        <v>10</v>
      </c>
      <c r="D13" s="5" t="s">
        <v>11</v>
      </c>
      <c r="E13" s="8" t="s">
        <v>67</v>
      </c>
      <c r="F13" s="11">
        <v>43254</v>
      </c>
      <c r="G13" s="11">
        <v>43016</v>
      </c>
      <c r="H13" s="12">
        <v>43381</v>
      </c>
    </row>
    <row r="14" spans="1:8" ht="14">
      <c r="A14" s="5" t="s">
        <v>68</v>
      </c>
      <c r="B14" s="5" t="s">
        <v>69</v>
      </c>
      <c r="C14" s="5" t="s">
        <v>10</v>
      </c>
      <c r="D14" s="5" t="s">
        <v>11</v>
      </c>
      <c r="E14" s="8" t="s">
        <v>70</v>
      </c>
      <c r="F14" s="9" t="s">
        <v>71</v>
      </c>
      <c r="G14" s="11">
        <v>43012</v>
      </c>
      <c r="H14" s="12">
        <v>43377</v>
      </c>
    </row>
    <row r="15" spans="1:8" ht="14">
      <c r="A15" s="5" t="s">
        <v>72</v>
      </c>
      <c r="B15" s="5" t="s">
        <v>73</v>
      </c>
      <c r="C15" s="5" t="s">
        <v>10</v>
      </c>
      <c r="D15" s="5" t="s">
        <v>11</v>
      </c>
      <c r="E15" s="8" t="s">
        <v>70</v>
      </c>
      <c r="F15" s="9" t="s">
        <v>74</v>
      </c>
      <c r="G15" s="9" t="s">
        <v>34</v>
      </c>
      <c r="H15" s="7" t="s">
        <v>35</v>
      </c>
    </row>
    <row r="16" spans="1:8">
      <c r="A16" s="5"/>
      <c r="B16" s="5"/>
      <c r="C16" s="5"/>
      <c r="D16" s="5"/>
      <c r="E16" s="5"/>
      <c r="F16" s="16"/>
      <c r="G16" s="16"/>
      <c r="H16" s="7"/>
    </row>
    <row r="17" spans="1:8">
      <c r="A17" s="5"/>
      <c r="B17" s="5"/>
      <c r="C17" s="5"/>
      <c r="D17" s="5"/>
      <c r="E17" s="5"/>
      <c r="F17" s="10"/>
      <c r="G17" s="10"/>
      <c r="H17" s="7"/>
    </row>
    <row r="18" spans="1:8">
      <c r="A18" s="5" t="s">
        <v>75</v>
      </c>
      <c r="B18" s="5" t="s">
        <v>76</v>
      </c>
      <c r="C18" s="5" t="s">
        <v>10</v>
      </c>
      <c r="D18" s="5" t="s">
        <v>11</v>
      </c>
      <c r="E18" s="8" t="s">
        <v>77</v>
      </c>
      <c r="F18" s="6"/>
      <c r="G18" s="6"/>
      <c r="H18" s="7"/>
    </row>
    <row r="19" spans="1:8">
      <c r="A19" s="5" t="s">
        <v>78</v>
      </c>
      <c r="B19" s="5" t="s">
        <v>79</v>
      </c>
      <c r="C19" s="5" t="s">
        <v>10</v>
      </c>
      <c r="D19" s="5" t="s">
        <v>11</v>
      </c>
      <c r="E19" s="8" t="s">
        <v>80</v>
      </c>
      <c r="F19" s="6"/>
      <c r="G19" s="6"/>
      <c r="H19" s="7"/>
    </row>
    <row r="20" spans="1:8" ht="14">
      <c r="A20" s="5" t="s">
        <v>81</v>
      </c>
      <c r="B20" s="14" t="s">
        <v>82</v>
      </c>
      <c r="C20" s="5" t="s">
        <v>10</v>
      </c>
      <c r="D20" s="5" t="s">
        <v>11</v>
      </c>
      <c r="E20" s="8" t="s">
        <v>83</v>
      </c>
      <c r="F20" s="9" t="s">
        <v>84</v>
      </c>
      <c r="G20" s="9" t="s">
        <v>30</v>
      </c>
      <c r="H20" s="18" t="s">
        <v>85</v>
      </c>
    </row>
    <row r="21" spans="1:8" ht="14">
      <c r="A21" s="5" t="s">
        <v>86</v>
      </c>
      <c r="B21" s="5" t="s">
        <v>87</v>
      </c>
      <c r="C21" s="5" t="s">
        <v>10</v>
      </c>
      <c r="D21" s="5" t="s">
        <v>11</v>
      </c>
      <c r="E21" s="8" t="s">
        <v>88</v>
      </c>
      <c r="F21" s="9" t="s">
        <v>89</v>
      </c>
      <c r="G21" s="9" t="s">
        <v>90</v>
      </c>
      <c r="H21" s="7" t="s">
        <v>91</v>
      </c>
    </row>
    <row r="22" spans="1:8" ht="14">
      <c r="A22" s="5" t="s">
        <v>92</v>
      </c>
      <c r="B22" s="5" t="s">
        <v>93</v>
      </c>
      <c r="C22" s="5" t="s">
        <v>10</v>
      </c>
      <c r="D22" s="5" t="s">
        <v>11</v>
      </c>
      <c r="E22" s="8" t="s">
        <v>94</v>
      </c>
      <c r="F22" s="9" t="s">
        <v>95</v>
      </c>
      <c r="G22" s="9" t="s">
        <v>96</v>
      </c>
      <c r="H22" s="7" t="s">
        <v>97</v>
      </c>
    </row>
    <row r="23" spans="1:8">
      <c r="A23" s="5" t="s">
        <v>98</v>
      </c>
      <c r="B23" s="14" t="s">
        <v>99</v>
      </c>
      <c r="C23" s="5" t="s">
        <v>10</v>
      </c>
      <c r="D23" s="5" t="s">
        <v>11</v>
      </c>
      <c r="E23" s="8" t="s">
        <v>100</v>
      </c>
      <c r="F23" s="16"/>
      <c r="G23" s="16"/>
      <c r="H23" s="7"/>
    </row>
    <row r="24" spans="1:8">
      <c r="A24" s="5" t="s">
        <v>101</v>
      </c>
      <c r="B24" s="5" t="s">
        <v>102</v>
      </c>
      <c r="C24" s="5" t="s">
        <v>10</v>
      </c>
      <c r="D24" s="5" t="s">
        <v>11</v>
      </c>
      <c r="E24" s="8" t="s">
        <v>103</v>
      </c>
      <c r="F24" s="6"/>
      <c r="G24" s="6"/>
      <c r="H24" s="7"/>
    </row>
    <row r="25" spans="1:8">
      <c r="A25" s="5" t="s">
        <v>104</v>
      </c>
      <c r="B25" s="14" t="s">
        <v>105</v>
      </c>
      <c r="C25" s="5" t="s">
        <v>10</v>
      </c>
      <c r="D25" s="5" t="s">
        <v>11</v>
      </c>
      <c r="E25" s="8" t="s">
        <v>106</v>
      </c>
      <c r="F25" s="6"/>
      <c r="G25" s="6"/>
      <c r="H25" s="7"/>
    </row>
    <row r="26" spans="1:8">
      <c r="A26" s="5" t="s">
        <v>107</v>
      </c>
      <c r="B26" s="5" t="s">
        <v>108</v>
      </c>
      <c r="C26" s="5" t="s">
        <v>10</v>
      </c>
      <c r="D26" s="5" t="s">
        <v>11</v>
      </c>
      <c r="E26" s="8" t="s">
        <v>106</v>
      </c>
      <c r="F26" s="6"/>
      <c r="G26" s="6"/>
      <c r="H26" s="7"/>
    </row>
    <row r="27" spans="1:8" ht="14">
      <c r="A27" s="5" t="s">
        <v>109</v>
      </c>
      <c r="B27" s="5" t="s">
        <v>110</v>
      </c>
      <c r="C27" s="5" t="s">
        <v>10</v>
      </c>
      <c r="D27" s="5" t="s">
        <v>11</v>
      </c>
      <c r="E27" s="8" t="s">
        <v>111</v>
      </c>
      <c r="F27" s="9" t="s">
        <v>112</v>
      </c>
      <c r="G27" s="9" t="s">
        <v>112</v>
      </c>
      <c r="H27" s="18" t="s">
        <v>112</v>
      </c>
    </row>
    <row r="28" spans="1:8">
      <c r="A28" s="5" t="s">
        <v>113</v>
      </c>
      <c r="B28" s="5" t="s">
        <v>114</v>
      </c>
      <c r="C28" s="5" t="s">
        <v>10</v>
      </c>
      <c r="D28" s="5" t="s">
        <v>11</v>
      </c>
      <c r="E28" s="8" t="s">
        <v>115</v>
      </c>
      <c r="F28" s="16"/>
      <c r="G28" s="16"/>
      <c r="H28" s="7"/>
    </row>
    <row r="29" spans="1:8">
      <c r="A29" s="5" t="s">
        <v>116</v>
      </c>
      <c r="B29" s="5" t="s">
        <v>117</v>
      </c>
      <c r="C29" s="5" t="s">
        <v>10</v>
      </c>
      <c r="D29" s="5" t="s">
        <v>11</v>
      </c>
      <c r="E29" s="8" t="s">
        <v>118</v>
      </c>
      <c r="F29" s="6"/>
      <c r="G29" s="6"/>
      <c r="H29" s="7"/>
    </row>
    <row r="30" spans="1:8">
      <c r="A30" s="5" t="s">
        <v>119</v>
      </c>
      <c r="B30" s="5" t="s">
        <v>120</v>
      </c>
      <c r="C30" s="5" t="s">
        <v>10</v>
      </c>
      <c r="D30" s="5" t="s">
        <v>11</v>
      </c>
      <c r="E30" s="8" t="s">
        <v>121</v>
      </c>
      <c r="F30" s="6"/>
      <c r="G30" s="6"/>
      <c r="H30" s="7"/>
    </row>
    <row r="31" spans="1:8" ht="14">
      <c r="A31" s="5" t="s">
        <v>122</v>
      </c>
      <c r="B31" s="5" t="s">
        <v>123</v>
      </c>
      <c r="C31" s="5" t="s">
        <v>10</v>
      </c>
      <c r="D31" s="5" t="s">
        <v>11</v>
      </c>
      <c r="E31" s="8" t="s">
        <v>124</v>
      </c>
      <c r="F31" s="9" t="s">
        <v>125</v>
      </c>
      <c r="G31" s="9" t="s">
        <v>126</v>
      </c>
      <c r="H31" s="7" t="s">
        <v>127</v>
      </c>
    </row>
    <row r="32" spans="1:8" ht="14">
      <c r="A32" s="5" t="s">
        <v>128</v>
      </c>
      <c r="B32" s="5" t="s">
        <v>129</v>
      </c>
      <c r="C32" s="5" t="s">
        <v>10</v>
      </c>
      <c r="D32" s="5" t="s">
        <v>11</v>
      </c>
      <c r="E32" s="8" t="s">
        <v>130</v>
      </c>
      <c r="F32" s="9" t="s">
        <v>131</v>
      </c>
      <c r="G32" s="9" t="s">
        <v>131</v>
      </c>
      <c r="H32" s="7" t="s">
        <v>132</v>
      </c>
    </row>
    <row r="33" spans="1:8" ht="14">
      <c r="A33" s="5" t="s">
        <v>133</v>
      </c>
      <c r="B33" s="5" t="s">
        <v>134</v>
      </c>
      <c r="C33" s="5" t="s">
        <v>10</v>
      </c>
      <c r="D33" s="5" t="s">
        <v>11</v>
      </c>
      <c r="E33" s="8" t="s">
        <v>135</v>
      </c>
      <c r="F33" s="9" t="s">
        <v>95</v>
      </c>
      <c r="G33" s="9" t="s">
        <v>136</v>
      </c>
      <c r="H33" s="7" t="s">
        <v>137</v>
      </c>
    </row>
    <row r="34" spans="1:8">
      <c r="A34" s="5" t="s">
        <v>138</v>
      </c>
      <c r="B34" s="5" t="s">
        <v>139</v>
      </c>
      <c r="C34" s="5" t="s">
        <v>10</v>
      </c>
      <c r="D34" s="5" t="s">
        <v>11</v>
      </c>
      <c r="E34" s="8" t="s">
        <v>140</v>
      </c>
      <c r="F34" s="11">
        <v>42860</v>
      </c>
      <c r="G34" s="11">
        <v>42799</v>
      </c>
      <c r="H34" s="15">
        <v>43164</v>
      </c>
    </row>
    <row r="35" spans="1:8">
      <c r="A35" s="5" t="s">
        <v>141</v>
      </c>
      <c r="B35" s="14" t="s">
        <v>142</v>
      </c>
      <c r="C35" s="5" t="s">
        <v>10</v>
      </c>
      <c r="D35" s="5" t="s">
        <v>11</v>
      </c>
      <c r="E35" s="8" t="s">
        <v>143</v>
      </c>
      <c r="F35" s="16"/>
      <c r="G35" s="16"/>
      <c r="H35" s="12"/>
    </row>
    <row r="36" spans="1:8">
      <c r="A36" s="5" t="s">
        <v>144</v>
      </c>
      <c r="B36" s="5" t="s">
        <v>145</v>
      </c>
      <c r="C36" s="5" t="s">
        <v>10</v>
      </c>
      <c r="D36" s="5" t="s">
        <v>11</v>
      </c>
      <c r="E36" s="8" t="s">
        <v>146</v>
      </c>
      <c r="F36" s="11">
        <v>42926</v>
      </c>
      <c r="G36" s="11">
        <v>42926</v>
      </c>
      <c r="H36" s="12">
        <v>43291</v>
      </c>
    </row>
    <row r="37" spans="1:8">
      <c r="A37" s="5" t="s">
        <v>147</v>
      </c>
      <c r="B37" s="5" t="s">
        <v>148</v>
      </c>
      <c r="C37" s="5" t="s">
        <v>10</v>
      </c>
      <c r="D37" s="5" t="s">
        <v>11</v>
      </c>
      <c r="E37" s="8" t="s">
        <v>149</v>
      </c>
      <c r="F37" s="16"/>
      <c r="G37" s="16"/>
      <c r="H37" s="12"/>
    </row>
    <row r="38" spans="1:8" ht="14">
      <c r="A38" s="5" t="s">
        <v>150</v>
      </c>
      <c r="B38" s="5" t="s">
        <v>151</v>
      </c>
      <c r="C38" s="5" t="s">
        <v>10</v>
      </c>
      <c r="D38" s="5" t="s">
        <v>11</v>
      </c>
      <c r="E38" s="8" t="s">
        <v>152</v>
      </c>
      <c r="F38" s="9" t="s">
        <v>153</v>
      </c>
      <c r="G38" s="11">
        <v>42984</v>
      </c>
      <c r="H38" s="12">
        <v>43349</v>
      </c>
    </row>
    <row r="39" spans="1:8" ht="14">
      <c r="A39" s="5" t="s">
        <v>154</v>
      </c>
      <c r="B39" s="5" t="s">
        <v>155</v>
      </c>
      <c r="C39" s="5" t="s">
        <v>10</v>
      </c>
      <c r="D39" s="5" t="s">
        <v>11</v>
      </c>
      <c r="E39" s="8" t="s">
        <v>156</v>
      </c>
      <c r="F39" s="9" t="s">
        <v>157</v>
      </c>
      <c r="G39" s="9" t="s">
        <v>157</v>
      </c>
      <c r="H39" s="7" t="s">
        <v>158</v>
      </c>
    </row>
    <row r="40" spans="1:8" ht="14">
      <c r="A40" s="5" t="s">
        <v>159</v>
      </c>
      <c r="B40" s="14" t="s">
        <v>160</v>
      </c>
      <c r="C40" s="5" t="s">
        <v>10</v>
      </c>
      <c r="D40" s="5" t="s">
        <v>11</v>
      </c>
      <c r="E40" s="8" t="s">
        <v>161</v>
      </c>
      <c r="F40" s="9" t="s">
        <v>125</v>
      </c>
      <c r="G40" s="9" t="s">
        <v>162</v>
      </c>
      <c r="H40" s="7" t="s">
        <v>163</v>
      </c>
    </row>
    <row r="41" spans="1:8" ht="14">
      <c r="A41" s="5" t="s">
        <v>164</v>
      </c>
      <c r="B41" s="5" t="s">
        <v>165</v>
      </c>
      <c r="C41" s="5" t="s">
        <v>10</v>
      </c>
      <c r="D41" s="5" t="s">
        <v>11</v>
      </c>
      <c r="E41" s="8" t="s">
        <v>166</v>
      </c>
      <c r="F41" s="9" t="s">
        <v>20</v>
      </c>
      <c r="G41" s="9" t="s">
        <v>20</v>
      </c>
      <c r="H41" s="7" t="s">
        <v>21</v>
      </c>
    </row>
    <row r="42" spans="1:8" ht="14">
      <c r="A42" s="5" t="s">
        <v>167</v>
      </c>
      <c r="B42" s="5" t="s">
        <v>168</v>
      </c>
      <c r="C42" s="5" t="s">
        <v>10</v>
      </c>
      <c r="D42" s="5" t="s">
        <v>11</v>
      </c>
      <c r="E42" s="8" t="s">
        <v>169</v>
      </c>
      <c r="F42" s="9" t="s">
        <v>170</v>
      </c>
      <c r="G42" s="9" t="s">
        <v>171</v>
      </c>
      <c r="H42" s="7" t="s">
        <v>172</v>
      </c>
    </row>
    <row r="43" spans="1:8" ht="14">
      <c r="A43" s="5" t="s">
        <v>173</v>
      </c>
      <c r="B43" s="5" t="s">
        <v>174</v>
      </c>
      <c r="C43" s="5" t="s">
        <v>10</v>
      </c>
      <c r="D43" s="5" t="s">
        <v>11</v>
      </c>
      <c r="E43" s="8" t="s">
        <v>175</v>
      </c>
      <c r="F43" s="9" t="s">
        <v>176</v>
      </c>
      <c r="G43" s="9" t="s">
        <v>177</v>
      </c>
      <c r="H43" s="7" t="s">
        <v>178</v>
      </c>
    </row>
    <row r="44" spans="1:8">
      <c r="A44" s="5" t="s">
        <v>179</v>
      </c>
      <c r="B44" s="14" t="s">
        <v>180</v>
      </c>
      <c r="C44" s="5" t="s">
        <v>10</v>
      </c>
      <c r="D44" s="5" t="s">
        <v>11</v>
      </c>
      <c r="E44" s="8" t="s">
        <v>181</v>
      </c>
      <c r="F44" s="16"/>
      <c r="G44" s="16"/>
      <c r="H44" s="7"/>
    </row>
    <row r="45" spans="1:8">
      <c r="A45" s="5" t="s">
        <v>182</v>
      </c>
      <c r="B45" s="14" t="s">
        <v>183</v>
      </c>
      <c r="C45" s="5" t="s">
        <v>10</v>
      </c>
      <c r="D45" s="5" t="s">
        <v>11</v>
      </c>
      <c r="E45" s="8" t="s">
        <v>184</v>
      </c>
      <c r="F45" s="6"/>
      <c r="G45" s="6"/>
      <c r="H45" s="7"/>
    </row>
    <row r="46" spans="1:8">
      <c r="A46" s="5" t="s">
        <v>185</v>
      </c>
      <c r="B46" s="14" t="s">
        <v>186</v>
      </c>
      <c r="C46" s="5" t="s">
        <v>10</v>
      </c>
      <c r="D46" s="5" t="s">
        <v>11</v>
      </c>
      <c r="E46" s="8" t="s">
        <v>187</v>
      </c>
      <c r="F46" s="6"/>
      <c r="G46" s="6"/>
      <c r="H46" s="7"/>
    </row>
    <row r="47" spans="1:8">
      <c r="A47" s="5" t="s">
        <v>188</v>
      </c>
      <c r="B47" s="14" t="s">
        <v>189</v>
      </c>
      <c r="C47" s="5" t="s">
        <v>10</v>
      </c>
      <c r="D47" s="5" t="s">
        <v>11</v>
      </c>
      <c r="E47" s="8" t="s">
        <v>187</v>
      </c>
      <c r="F47" s="6"/>
      <c r="G47" s="6"/>
      <c r="H47" s="7"/>
    </row>
    <row r="48" spans="1:8">
      <c r="A48" s="5" t="s">
        <v>190</v>
      </c>
      <c r="B48" s="5" t="s">
        <v>191</v>
      </c>
      <c r="C48" s="5" t="s">
        <v>10</v>
      </c>
      <c r="D48" s="5" t="s">
        <v>11</v>
      </c>
      <c r="E48" s="8" t="s">
        <v>192</v>
      </c>
      <c r="F48" s="6"/>
      <c r="G48" s="6"/>
      <c r="H48" s="7"/>
    </row>
    <row r="49" spans="1:8">
      <c r="A49" s="5" t="s">
        <v>193</v>
      </c>
      <c r="B49" s="10" t="s">
        <v>194</v>
      </c>
      <c r="C49" s="5" t="s">
        <v>10</v>
      </c>
      <c r="D49" s="5" t="s">
        <v>11</v>
      </c>
      <c r="E49" s="8" t="s">
        <v>195</v>
      </c>
      <c r="F49" s="6"/>
      <c r="G49" s="6"/>
      <c r="H49" s="7"/>
    </row>
    <row r="50" spans="1:8">
      <c r="A50" s="5" t="s">
        <v>196</v>
      </c>
      <c r="B50" s="5" t="s">
        <v>197</v>
      </c>
      <c r="C50" s="5" t="s">
        <v>10</v>
      </c>
      <c r="D50" s="5" t="s">
        <v>11</v>
      </c>
      <c r="E50" s="20" t="s">
        <v>198</v>
      </c>
      <c r="F50" s="13"/>
      <c r="G50" s="13"/>
      <c r="H50" s="7"/>
    </row>
    <row r="51" spans="1:8">
      <c r="A51" s="5" t="s">
        <v>199</v>
      </c>
      <c r="B51" s="5" t="s">
        <v>200</v>
      </c>
      <c r="C51" s="5" t="s">
        <v>10</v>
      </c>
      <c r="D51" s="5" t="s">
        <v>11</v>
      </c>
      <c r="E51" s="8" t="s">
        <v>201</v>
      </c>
      <c r="F51" s="13"/>
      <c r="G51" s="13"/>
      <c r="H51" s="7"/>
    </row>
    <row r="52" spans="1:8">
      <c r="A52" s="5" t="s">
        <v>202</v>
      </c>
      <c r="B52" s="5" t="s">
        <v>203</v>
      </c>
      <c r="C52" s="5" t="s">
        <v>10</v>
      </c>
      <c r="D52" s="5" t="s">
        <v>11</v>
      </c>
      <c r="E52" s="20" t="s">
        <v>204</v>
      </c>
      <c r="F52" s="13"/>
      <c r="G52" s="13"/>
      <c r="H52" s="7"/>
    </row>
    <row r="53" spans="1:8">
      <c r="A53" s="5" t="s">
        <v>8</v>
      </c>
      <c r="B53" s="5" t="s">
        <v>9</v>
      </c>
      <c r="C53" s="5" t="s">
        <v>10</v>
      </c>
      <c r="D53" s="5" t="s">
        <v>11</v>
      </c>
      <c r="E53" s="20" t="s">
        <v>12</v>
      </c>
      <c r="F53" s="13"/>
      <c r="G53" s="13"/>
      <c r="H53" s="7"/>
    </row>
    <row r="54" spans="1:8">
      <c r="A54" s="5" t="s">
        <v>205</v>
      </c>
      <c r="B54" s="5" t="s">
        <v>206</v>
      </c>
      <c r="C54" s="5" t="s">
        <v>10</v>
      </c>
      <c r="D54" s="5" t="s">
        <v>11</v>
      </c>
      <c r="E54" s="8" t="s">
        <v>207</v>
      </c>
      <c r="F54" s="13"/>
      <c r="G54" s="13"/>
      <c r="H54" s="7"/>
    </row>
    <row r="55" spans="1:8">
      <c r="A55" s="5" t="s">
        <v>208</v>
      </c>
      <c r="B55" s="5" t="s">
        <v>209</v>
      </c>
      <c r="C55" s="5" t="s">
        <v>10</v>
      </c>
      <c r="D55" s="5" t="s">
        <v>11</v>
      </c>
      <c r="E55" s="8" t="s">
        <v>210</v>
      </c>
      <c r="F55" s="13"/>
      <c r="G55" s="13"/>
      <c r="H55" s="7"/>
    </row>
    <row r="56" spans="1:8">
      <c r="A56" s="5" t="s">
        <v>211</v>
      </c>
      <c r="B56" s="5" t="s">
        <v>212</v>
      </c>
      <c r="C56" s="5" t="s">
        <v>10</v>
      </c>
      <c r="D56" s="5" t="s">
        <v>11</v>
      </c>
      <c r="E56" s="8" t="s">
        <v>213</v>
      </c>
      <c r="F56" s="13"/>
      <c r="G56" s="13"/>
      <c r="H56" s="7"/>
    </row>
    <row r="57" spans="1:8">
      <c r="A57" s="5" t="s">
        <v>214</v>
      </c>
      <c r="B57" s="5" t="s">
        <v>215</v>
      </c>
      <c r="C57" s="5" t="s">
        <v>10</v>
      </c>
      <c r="D57" s="5" t="s">
        <v>11</v>
      </c>
      <c r="E57" s="8" t="s">
        <v>216</v>
      </c>
      <c r="F57" s="6"/>
      <c r="G57" s="6"/>
      <c r="H57" s="7"/>
    </row>
    <row r="58" spans="1:8">
      <c r="A58" s="5" t="s">
        <v>217</v>
      </c>
      <c r="B58" s="5" t="s">
        <v>218</v>
      </c>
      <c r="C58" s="5" t="s">
        <v>10</v>
      </c>
      <c r="D58" s="5" t="s">
        <v>11</v>
      </c>
      <c r="E58" s="8" t="s">
        <v>216</v>
      </c>
      <c r="F58" s="6"/>
      <c r="G58" s="6"/>
      <c r="H58" s="7"/>
    </row>
    <row r="59" spans="1:8">
      <c r="A59" s="5" t="s">
        <v>219</v>
      </c>
      <c r="B59" s="5" t="s">
        <v>220</v>
      </c>
      <c r="C59" s="5" t="s">
        <v>10</v>
      </c>
      <c r="D59" s="5" t="s">
        <v>11</v>
      </c>
      <c r="E59" s="8" t="s">
        <v>221</v>
      </c>
      <c r="F59" s="6"/>
      <c r="G59" s="6"/>
      <c r="H59" s="7"/>
    </row>
    <row r="60" spans="1:8">
      <c r="A60" s="5" t="s">
        <v>222</v>
      </c>
      <c r="B60" s="5" t="s">
        <v>223</v>
      </c>
      <c r="C60" s="5" t="s">
        <v>10</v>
      </c>
      <c r="D60" s="5" t="s">
        <v>11</v>
      </c>
      <c r="E60" s="8" t="s">
        <v>224</v>
      </c>
      <c r="F60" s="6"/>
      <c r="G60" s="6"/>
      <c r="H60" s="7"/>
    </row>
    <row r="61" spans="1:8">
      <c r="A61" s="5" t="s">
        <v>225</v>
      </c>
      <c r="B61" s="5" t="s">
        <v>226</v>
      </c>
      <c r="C61" s="5" t="s">
        <v>10</v>
      </c>
      <c r="D61" s="5" t="s">
        <v>11</v>
      </c>
      <c r="E61" s="8" t="s">
        <v>227</v>
      </c>
      <c r="F61" s="6"/>
      <c r="G61" s="6"/>
      <c r="H61" s="7"/>
    </row>
    <row r="62" spans="1:8">
      <c r="A62" s="5" t="s">
        <v>228</v>
      </c>
      <c r="B62" s="5" t="s">
        <v>229</v>
      </c>
      <c r="C62" s="5" t="s">
        <v>10</v>
      </c>
      <c r="D62" s="5" t="s">
        <v>11</v>
      </c>
      <c r="E62" s="8" t="s">
        <v>230</v>
      </c>
      <c r="F62" s="11">
        <v>42984</v>
      </c>
      <c r="G62" s="11">
        <v>42772</v>
      </c>
      <c r="H62" s="15">
        <v>43137</v>
      </c>
    </row>
    <row r="63" spans="1:8">
      <c r="A63" s="5" t="s">
        <v>231</v>
      </c>
      <c r="B63" s="5" t="s">
        <v>232</v>
      </c>
      <c r="C63" s="5" t="s">
        <v>10</v>
      </c>
      <c r="D63" s="5" t="s">
        <v>11</v>
      </c>
      <c r="E63" s="20" t="s">
        <v>233</v>
      </c>
      <c r="F63" s="16"/>
      <c r="G63" s="16"/>
      <c r="H63" s="12"/>
    </row>
    <row r="64" spans="1:8">
      <c r="A64" s="5" t="s">
        <v>234</v>
      </c>
      <c r="B64" s="5" t="s">
        <v>235</v>
      </c>
      <c r="C64" s="5" t="s">
        <v>10</v>
      </c>
      <c r="D64" s="5" t="s">
        <v>11</v>
      </c>
      <c r="E64" s="8" t="s">
        <v>236</v>
      </c>
      <c r="F64" s="6"/>
      <c r="G64" s="6"/>
      <c r="H64" s="12"/>
    </row>
    <row r="65" spans="1:8">
      <c r="A65" s="5" t="s">
        <v>13</v>
      </c>
      <c r="B65" s="5" t="s">
        <v>14</v>
      </c>
      <c r="C65" s="5" t="s">
        <v>10</v>
      </c>
      <c r="D65" s="5" t="s">
        <v>11</v>
      </c>
      <c r="E65" s="8" t="s">
        <v>15</v>
      </c>
      <c r="F65" s="11">
        <v>42984</v>
      </c>
      <c r="G65" s="11">
        <v>42861</v>
      </c>
      <c r="H65" s="12">
        <v>43226</v>
      </c>
    </row>
    <row r="66" spans="1:8">
      <c r="A66" s="5" t="s">
        <v>237</v>
      </c>
      <c r="B66" s="5" t="s">
        <v>238</v>
      </c>
      <c r="C66" s="5" t="s">
        <v>10</v>
      </c>
      <c r="D66" s="5" t="s">
        <v>11</v>
      </c>
      <c r="E66" s="20" t="s">
        <v>153</v>
      </c>
      <c r="F66" s="16"/>
      <c r="G66" s="16"/>
      <c r="H66" s="12"/>
    </row>
    <row r="67" spans="1:8" ht="14">
      <c r="A67" s="5" t="s">
        <v>22</v>
      </c>
      <c r="B67" s="5" t="s">
        <v>23</v>
      </c>
      <c r="C67" s="5" t="s">
        <v>10</v>
      </c>
      <c r="D67" s="5" t="s">
        <v>11</v>
      </c>
      <c r="E67" s="8" t="s">
        <v>24</v>
      </c>
      <c r="F67" s="11">
        <v>43009</v>
      </c>
      <c r="G67" s="9" t="s">
        <v>25</v>
      </c>
      <c r="H67" s="12" t="s">
        <v>26</v>
      </c>
    </row>
    <row r="68" spans="1:8">
      <c r="A68" s="5" t="s">
        <v>239</v>
      </c>
      <c r="B68" s="5" t="s">
        <v>240</v>
      </c>
      <c r="C68" s="5" t="s">
        <v>10</v>
      </c>
      <c r="D68" s="5" t="s">
        <v>11</v>
      </c>
      <c r="E68" s="8" t="s">
        <v>241</v>
      </c>
      <c r="F68" s="16"/>
      <c r="G68" s="16"/>
      <c r="H68" s="12"/>
    </row>
    <row r="69" spans="1:8">
      <c r="A69" s="5" t="s">
        <v>242</v>
      </c>
      <c r="B69" s="5" t="s">
        <v>243</v>
      </c>
      <c r="C69" s="5" t="s">
        <v>10</v>
      </c>
      <c r="D69" s="5" t="s">
        <v>11</v>
      </c>
      <c r="E69" s="8" t="s">
        <v>241</v>
      </c>
      <c r="F69" s="6"/>
      <c r="G69" s="6"/>
      <c r="H69" s="12"/>
    </row>
    <row r="70" spans="1:8">
      <c r="A70" s="5" t="s">
        <v>244</v>
      </c>
      <c r="B70" s="14" t="s">
        <v>245</v>
      </c>
      <c r="C70" s="5" t="s">
        <v>10</v>
      </c>
      <c r="D70" s="5" t="s">
        <v>11</v>
      </c>
      <c r="E70" s="8" t="s">
        <v>246</v>
      </c>
      <c r="F70" s="6"/>
      <c r="G70" s="6"/>
      <c r="H70" s="12"/>
    </row>
    <row r="71" spans="1:8">
      <c r="A71" s="5" t="s">
        <v>247</v>
      </c>
      <c r="B71" s="5" t="s">
        <v>248</v>
      </c>
      <c r="C71" s="5" t="s">
        <v>10</v>
      </c>
      <c r="D71" s="5" t="s">
        <v>11</v>
      </c>
      <c r="E71" s="8" t="s">
        <v>249</v>
      </c>
      <c r="F71" s="6"/>
      <c r="G71" s="6"/>
      <c r="H71" s="12"/>
    </row>
    <row r="72" spans="1:8">
      <c r="A72" s="5" t="s">
        <v>250</v>
      </c>
      <c r="B72" s="5" t="s">
        <v>251</v>
      </c>
      <c r="C72" s="5" t="s">
        <v>10</v>
      </c>
      <c r="D72" s="5" t="s">
        <v>11</v>
      </c>
      <c r="E72" s="8" t="s">
        <v>252</v>
      </c>
      <c r="F72" s="6"/>
      <c r="G72" s="6"/>
      <c r="H72" s="12"/>
    </row>
    <row r="73" spans="1:8">
      <c r="A73" s="5" t="s">
        <v>253</v>
      </c>
      <c r="B73" s="14" t="s">
        <v>254</v>
      </c>
      <c r="C73" s="5" t="s">
        <v>10</v>
      </c>
      <c r="D73" s="5" t="s">
        <v>11</v>
      </c>
      <c r="E73" s="8" t="s">
        <v>255</v>
      </c>
      <c r="F73" s="11">
        <v>42804</v>
      </c>
      <c r="G73" s="11">
        <v>42804</v>
      </c>
      <c r="H73" s="15">
        <v>43169</v>
      </c>
    </row>
    <row r="74" spans="1:8">
      <c r="A74" s="5" t="s">
        <v>256</v>
      </c>
      <c r="B74" s="5" t="s">
        <v>257</v>
      </c>
      <c r="C74" s="5" t="s">
        <v>10</v>
      </c>
      <c r="D74" s="5" t="s">
        <v>11</v>
      </c>
      <c r="E74" s="8" t="s">
        <v>258</v>
      </c>
      <c r="F74" s="16"/>
      <c r="G74" s="16"/>
      <c r="H74" s="7"/>
    </row>
    <row r="75" spans="1:8" ht="14">
      <c r="A75" s="5" t="s">
        <v>16</v>
      </c>
      <c r="B75" s="5" t="s">
        <v>17</v>
      </c>
      <c r="C75" s="5" t="s">
        <v>10</v>
      </c>
      <c r="D75" s="5" t="s">
        <v>11</v>
      </c>
      <c r="E75" s="8" t="s">
        <v>18</v>
      </c>
      <c r="F75" s="9" t="s">
        <v>19</v>
      </c>
      <c r="G75" s="9" t="s">
        <v>20</v>
      </c>
      <c r="H75" s="7" t="s">
        <v>21</v>
      </c>
    </row>
    <row r="76" spans="1:8">
      <c r="A76" s="5" t="s">
        <v>259</v>
      </c>
      <c r="B76" s="5" t="s">
        <v>260</v>
      </c>
      <c r="C76" s="5" t="s">
        <v>10</v>
      </c>
      <c r="D76" s="5" t="s">
        <v>11</v>
      </c>
      <c r="E76" s="20" t="s">
        <v>261</v>
      </c>
      <c r="F76" s="16"/>
      <c r="G76" s="16"/>
      <c r="H76" s="7"/>
    </row>
    <row r="77" spans="1:8">
      <c r="A77" s="5" t="s">
        <v>262</v>
      </c>
      <c r="B77" s="5" t="s">
        <v>263</v>
      </c>
      <c r="C77" s="5" t="s">
        <v>10</v>
      </c>
      <c r="D77" s="5" t="s">
        <v>11</v>
      </c>
      <c r="E77" s="8" t="s">
        <v>95</v>
      </c>
      <c r="F77" s="6"/>
      <c r="G77" s="6"/>
      <c r="H77" s="7"/>
    </row>
    <row r="78" spans="1:8">
      <c r="A78" s="5" t="s">
        <v>264</v>
      </c>
      <c r="B78" s="5" t="s">
        <v>265</v>
      </c>
      <c r="C78" s="5" t="s">
        <v>10</v>
      </c>
      <c r="D78" s="5" t="s">
        <v>11</v>
      </c>
      <c r="E78" s="20" t="s">
        <v>266</v>
      </c>
      <c r="F78" s="13"/>
      <c r="G78" s="13"/>
      <c r="H78" s="7"/>
    </row>
    <row r="79" spans="1:8">
      <c r="A79" s="5" t="s">
        <v>267</v>
      </c>
      <c r="B79" s="5" t="s">
        <v>268</v>
      </c>
      <c r="C79" s="5" t="s">
        <v>10</v>
      </c>
      <c r="D79" s="5" t="s">
        <v>11</v>
      </c>
      <c r="E79" s="8" t="s">
        <v>269</v>
      </c>
      <c r="F79" s="6"/>
      <c r="G79" s="6"/>
      <c r="H79" s="7"/>
    </row>
    <row r="80" spans="1:8">
      <c r="A80" s="5" t="s">
        <v>247</v>
      </c>
      <c r="B80" s="5" t="s">
        <v>248</v>
      </c>
      <c r="C80" s="5" t="s">
        <v>10</v>
      </c>
      <c r="D80" s="5" t="s">
        <v>11</v>
      </c>
      <c r="E80" s="5" t="s">
        <v>249</v>
      </c>
      <c r="F80" s="10"/>
      <c r="G80" s="10"/>
      <c r="H80" s="7"/>
    </row>
    <row r="81" spans="1:8">
      <c r="A81" s="5" t="s">
        <v>193</v>
      </c>
      <c r="B81" s="5" t="s">
        <v>194</v>
      </c>
      <c r="C81" s="5" t="s">
        <v>10</v>
      </c>
      <c r="D81" s="5" t="s">
        <v>11</v>
      </c>
      <c r="E81" s="5" t="s">
        <v>195</v>
      </c>
      <c r="F81" s="10"/>
      <c r="G81" s="10"/>
      <c r="H81" s="7"/>
    </row>
    <row r="82" spans="1:8">
      <c r="A82" s="5" t="s">
        <v>199</v>
      </c>
      <c r="B82" s="5" t="s">
        <v>200</v>
      </c>
      <c r="C82" s="5" t="s">
        <v>10</v>
      </c>
      <c r="D82" s="5" t="s">
        <v>11</v>
      </c>
      <c r="E82" s="5" t="s">
        <v>201</v>
      </c>
      <c r="F82" s="10"/>
      <c r="G82" s="10"/>
      <c r="H82" s="7"/>
    </row>
    <row r="83" spans="1:8">
      <c r="A83" s="5" t="s">
        <v>234</v>
      </c>
      <c r="B83" s="5" t="s">
        <v>235</v>
      </c>
      <c r="C83" s="5" t="s">
        <v>10</v>
      </c>
      <c r="D83" s="5" t="s">
        <v>11</v>
      </c>
      <c r="E83" s="5" t="s">
        <v>236</v>
      </c>
      <c r="F83" s="10"/>
      <c r="G83" s="10"/>
      <c r="H83" s="7"/>
    </row>
    <row r="84" spans="1:8">
      <c r="A84" s="5" t="s">
        <v>219</v>
      </c>
      <c r="B84" s="5" t="s">
        <v>220</v>
      </c>
      <c r="C84" s="5" t="s">
        <v>10</v>
      </c>
      <c r="D84" s="5" t="s">
        <v>11</v>
      </c>
      <c r="E84" s="5" t="s">
        <v>221</v>
      </c>
      <c r="F84" s="10"/>
      <c r="G84" s="10"/>
      <c r="H84" s="7"/>
    </row>
    <row r="85" spans="1:8">
      <c r="A85" s="5" t="s">
        <v>202</v>
      </c>
      <c r="B85" s="5" t="s">
        <v>203</v>
      </c>
      <c r="C85" s="5" t="s">
        <v>10</v>
      </c>
      <c r="D85" s="5" t="s">
        <v>11</v>
      </c>
      <c r="E85" s="5" t="s">
        <v>204</v>
      </c>
      <c r="F85" s="10"/>
      <c r="G85" s="10"/>
      <c r="H85" s="7"/>
    </row>
    <row r="86" spans="1:8">
      <c r="A86" s="5" t="s">
        <v>222</v>
      </c>
      <c r="B86" s="5" t="s">
        <v>223</v>
      </c>
      <c r="C86" s="5" t="s">
        <v>10</v>
      </c>
      <c r="D86" s="5" t="s">
        <v>11</v>
      </c>
      <c r="E86" s="5" t="s">
        <v>224</v>
      </c>
      <c r="F86" s="10"/>
      <c r="G86" s="10"/>
      <c r="H86" s="7"/>
    </row>
    <row r="87" spans="1:8">
      <c r="A87" s="5" t="s">
        <v>239</v>
      </c>
      <c r="B87" s="5" t="s">
        <v>240</v>
      </c>
      <c r="C87" s="5" t="s">
        <v>10</v>
      </c>
      <c r="D87" s="5" t="s">
        <v>11</v>
      </c>
      <c r="E87" s="5" t="s">
        <v>241</v>
      </c>
      <c r="F87" s="10"/>
      <c r="G87" s="10"/>
      <c r="H87" s="7"/>
    </row>
    <row r="88" spans="1:8">
      <c r="A88" s="5" t="s">
        <v>242</v>
      </c>
      <c r="B88" s="5" t="s">
        <v>243</v>
      </c>
      <c r="C88" s="5" t="s">
        <v>10</v>
      </c>
      <c r="D88" s="5" t="s">
        <v>11</v>
      </c>
      <c r="E88" s="5" t="s">
        <v>241</v>
      </c>
      <c r="F88" s="10"/>
      <c r="G88" s="10"/>
      <c r="H88" s="7"/>
    </row>
    <row r="89" spans="1:8">
      <c r="A89" s="5" t="s">
        <v>256</v>
      </c>
      <c r="B89" s="5" t="s">
        <v>257</v>
      </c>
      <c r="C89" s="5" t="s">
        <v>10</v>
      </c>
      <c r="D89" s="5" t="s">
        <v>11</v>
      </c>
      <c r="E89" s="5" t="s">
        <v>258</v>
      </c>
      <c r="F89" s="10"/>
      <c r="G89" s="10"/>
      <c r="H89" s="7"/>
    </row>
    <row r="90" spans="1:8">
      <c r="A90" s="5" t="s">
        <v>270</v>
      </c>
      <c r="B90" s="5" t="s">
        <v>271</v>
      </c>
      <c r="C90" s="5" t="s">
        <v>10</v>
      </c>
      <c r="D90" s="5" t="s">
        <v>11</v>
      </c>
      <c r="E90" s="5" t="s">
        <v>272</v>
      </c>
      <c r="F90" s="10"/>
      <c r="G90" s="10"/>
      <c r="H90" s="7"/>
    </row>
    <row r="91" spans="1:8">
      <c r="A91" s="5" t="s">
        <v>262</v>
      </c>
      <c r="B91" s="5" t="s">
        <v>263</v>
      </c>
      <c r="C91" s="5" t="s">
        <v>10</v>
      </c>
      <c r="D91" s="5" t="s">
        <v>11</v>
      </c>
      <c r="E91" s="5" t="s">
        <v>95</v>
      </c>
      <c r="F91" s="10"/>
      <c r="G91" s="10"/>
      <c r="H91" s="7"/>
    </row>
    <row r="92" spans="1:8">
      <c r="A92" s="5" t="s">
        <v>273</v>
      </c>
      <c r="B92" s="5" t="s">
        <v>274</v>
      </c>
      <c r="C92" s="5" t="s">
        <v>10</v>
      </c>
      <c r="D92" s="5" t="s">
        <v>11</v>
      </c>
      <c r="E92" s="5" t="s">
        <v>275</v>
      </c>
      <c r="F92" s="10"/>
      <c r="G92" s="10"/>
      <c r="H92" s="7"/>
    </row>
    <row r="93" spans="1:8">
      <c r="A93" s="5" t="s">
        <v>264</v>
      </c>
      <c r="B93" s="5" t="s">
        <v>265</v>
      </c>
      <c r="C93" s="5" t="s">
        <v>10</v>
      </c>
      <c r="D93" s="5" t="s">
        <v>11</v>
      </c>
      <c r="E93" s="5" t="s">
        <v>266</v>
      </c>
      <c r="F93" s="10"/>
      <c r="G93" s="10"/>
      <c r="H93" s="7"/>
    </row>
    <row r="94" spans="1:8">
      <c r="A94" s="5" t="s">
        <v>259</v>
      </c>
      <c r="B94" s="5" t="s">
        <v>260</v>
      </c>
      <c r="C94" s="5" t="s">
        <v>10</v>
      </c>
      <c r="D94" s="5" t="s">
        <v>11</v>
      </c>
      <c r="E94" s="5" t="s">
        <v>261</v>
      </c>
      <c r="F94" s="10"/>
      <c r="G94" s="10"/>
      <c r="H94" s="7"/>
    </row>
    <row r="95" spans="1:8">
      <c r="A95" s="5" t="s">
        <v>237</v>
      </c>
      <c r="B95" s="5" t="s">
        <v>238</v>
      </c>
      <c r="C95" s="5" t="s">
        <v>10</v>
      </c>
      <c r="D95" s="5" t="s">
        <v>11</v>
      </c>
      <c r="E95" s="5" t="s">
        <v>153</v>
      </c>
      <c r="F95" s="10"/>
      <c r="G95" s="10"/>
      <c r="H95" s="7"/>
    </row>
    <row r="96" spans="1:8">
      <c r="A96" s="5" t="s">
        <v>276</v>
      </c>
      <c r="B96" s="5" t="s">
        <v>277</v>
      </c>
      <c r="C96" s="5" t="s">
        <v>10</v>
      </c>
      <c r="D96" s="5" t="s">
        <v>11</v>
      </c>
      <c r="E96" s="5" t="s">
        <v>278</v>
      </c>
      <c r="F96" s="10"/>
      <c r="G96" s="10"/>
      <c r="H96" s="7"/>
    </row>
    <row r="97" spans="1:8">
      <c r="A97" s="5" t="s">
        <v>196</v>
      </c>
      <c r="B97" s="5" t="s">
        <v>197</v>
      </c>
      <c r="C97" s="5" t="s">
        <v>10</v>
      </c>
      <c r="D97" s="5" t="s">
        <v>11</v>
      </c>
      <c r="E97" s="5" t="s">
        <v>198</v>
      </c>
      <c r="F97" s="10"/>
      <c r="G97" s="10"/>
      <c r="H97" s="7"/>
    </row>
    <row r="98" spans="1:8">
      <c r="A98" s="5" t="s">
        <v>231</v>
      </c>
      <c r="B98" s="5" t="s">
        <v>232</v>
      </c>
      <c r="C98" s="5" t="s">
        <v>10</v>
      </c>
      <c r="D98" s="5" t="s">
        <v>11</v>
      </c>
      <c r="E98" s="5" t="s">
        <v>233</v>
      </c>
      <c r="F98" s="10"/>
      <c r="G98" s="10"/>
      <c r="H98" s="7"/>
    </row>
    <row r="99" spans="1:8">
      <c r="A99" s="5" t="s">
        <v>279</v>
      </c>
      <c r="B99" s="5" t="s">
        <v>280</v>
      </c>
      <c r="C99" s="5" t="s">
        <v>10</v>
      </c>
      <c r="D99" s="5" t="s">
        <v>11</v>
      </c>
      <c r="E99" s="5" t="s">
        <v>281</v>
      </c>
      <c r="F99" s="10"/>
      <c r="G99" s="10"/>
      <c r="H99" s="7"/>
    </row>
    <row r="100" spans="1:8">
      <c r="A100" s="5" t="s">
        <v>282</v>
      </c>
      <c r="B100" s="5" t="s">
        <v>283</v>
      </c>
      <c r="C100" s="5" t="s">
        <v>10</v>
      </c>
      <c r="D100" s="5" t="s">
        <v>11</v>
      </c>
      <c r="E100" s="5" t="s">
        <v>284</v>
      </c>
      <c r="F100" s="10"/>
      <c r="G100" s="10"/>
      <c r="H100" s="7"/>
    </row>
    <row r="101" spans="1:8">
      <c r="A101" s="5" t="s">
        <v>285</v>
      </c>
      <c r="B101" s="5" t="s">
        <v>286</v>
      </c>
      <c r="C101" s="5" t="s">
        <v>10</v>
      </c>
      <c r="D101" s="5" t="s">
        <v>11</v>
      </c>
      <c r="E101" s="5" t="s">
        <v>112</v>
      </c>
      <c r="F101" s="10"/>
      <c r="G101" s="10"/>
      <c r="H101" s="7"/>
    </row>
  </sheetData>
  <autoFilter ref="B2:B101" xr:uid="{00000000-0009-0000-0000-000000000000}"/>
  <phoneticPr fontId="3" type="noConversion"/>
  <conditionalFormatting sqref="I77:IV77">
    <cfRule type="duplicateValues" dxfId="1" priority="2"/>
  </conditionalFormatting>
  <conditionalFormatting sqref="B102:B65536">
    <cfRule type="duplicateValues" dxfId="0" priority="3"/>
  </conditionalFormatting>
  <pageMargins left="0.75" right="0.75" top="1" bottom="1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V93"/>
  <sheetViews>
    <sheetView zoomScale="90" zoomScaleNormal="100" workbookViewId="0">
      <pane xSplit="2" ySplit="1" topLeftCell="I2" activePane="bottomRight" state="frozen"/>
      <selection pane="topRight" activeCell="C1" sqref="C1"/>
      <selection pane="bottomLeft" activeCell="A2" sqref="A2"/>
      <selection pane="bottomRight" activeCell="B31" sqref="B31"/>
    </sheetView>
  </sheetViews>
  <sheetFormatPr baseColWidth="10" defaultColWidth="8.83203125" defaultRowHeight="13"/>
  <cols>
    <col min="1" max="1" width="15.6640625" customWidth="1"/>
    <col min="2" max="2" width="57.33203125" style="19" customWidth="1"/>
    <col min="3" max="3" width="12.5" customWidth="1"/>
    <col min="4" max="4" width="10.6640625" customWidth="1"/>
    <col min="5" max="5" width="50.1640625" style="19" customWidth="1"/>
    <col min="6" max="6" width="59.6640625" style="19" customWidth="1"/>
    <col min="7" max="7" width="12.6640625" style="19" bestFit="1" customWidth="1"/>
    <col min="8" max="8" width="18.5" customWidth="1"/>
    <col min="9" max="9" width="37.6640625" customWidth="1"/>
    <col min="10" max="10" width="12.6640625" style="19" customWidth="1"/>
    <col min="11" max="11" width="12.6640625" customWidth="1"/>
    <col min="12" max="12" width="20.83203125" style="23" customWidth="1"/>
    <col min="13" max="13" width="24.5" style="23" customWidth="1"/>
    <col min="14" max="14" width="21" style="25" customWidth="1"/>
    <col min="15" max="15" width="21.6640625" style="23" customWidth="1"/>
    <col min="16" max="17" width="21.6640625" customWidth="1"/>
    <col min="18" max="18" width="18.5" customWidth="1"/>
    <col min="19" max="19" width="36.1640625" customWidth="1"/>
    <col min="21" max="21" width="73" customWidth="1"/>
    <col min="22" max="22" width="16.1640625" customWidth="1"/>
  </cols>
  <sheetData>
    <row r="1" spans="1:22" ht="14">
      <c r="A1" t="s">
        <v>287</v>
      </c>
      <c r="B1" s="22" t="s">
        <v>288</v>
      </c>
      <c r="C1" s="21" t="s">
        <v>289</v>
      </c>
      <c r="D1" s="21" t="s">
        <v>290</v>
      </c>
      <c r="E1" s="22" t="s">
        <v>291</v>
      </c>
      <c r="F1" s="22" t="s">
        <v>292</v>
      </c>
      <c r="G1" s="22" t="s">
        <v>293</v>
      </c>
      <c r="H1" s="21" t="s">
        <v>294</v>
      </c>
      <c r="I1" s="21" t="s">
        <v>295</v>
      </c>
      <c r="J1" s="22" t="s">
        <v>296</v>
      </c>
      <c r="K1" s="21" t="s">
        <v>297</v>
      </c>
      <c r="L1" s="24" t="s">
        <v>298</v>
      </c>
      <c r="M1" s="24" t="s">
        <v>299</v>
      </c>
      <c r="N1" s="26" t="s">
        <v>300</v>
      </c>
      <c r="O1" s="24" t="s">
        <v>301</v>
      </c>
      <c r="P1" s="21" t="s">
        <v>302</v>
      </c>
      <c r="Q1" s="21" t="s">
        <v>303</v>
      </c>
      <c r="R1" s="21" t="s">
        <v>304</v>
      </c>
      <c r="S1" s="21" t="s">
        <v>305</v>
      </c>
      <c r="T1" s="21" t="s">
        <v>306</v>
      </c>
      <c r="U1" s="22" t="s">
        <v>307</v>
      </c>
      <c r="V1" s="21" t="s">
        <v>308</v>
      </c>
    </row>
    <row r="2" spans="1:22" ht="14">
      <c r="A2" t="s">
        <v>309</v>
      </c>
      <c r="B2" s="27" t="s">
        <v>310</v>
      </c>
      <c r="C2" s="30"/>
      <c r="D2" s="30"/>
      <c r="E2" s="27" t="s">
        <v>311</v>
      </c>
      <c r="F2" s="27" t="s">
        <v>312</v>
      </c>
      <c r="G2" s="27" t="s">
        <v>313</v>
      </c>
      <c r="H2" s="27"/>
      <c r="I2" s="34"/>
      <c r="J2" s="27">
        <v>100000</v>
      </c>
      <c r="K2" s="30"/>
      <c r="L2" s="31">
        <v>43104</v>
      </c>
      <c r="M2" s="31">
        <v>36526</v>
      </c>
      <c r="N2" s="31">
        <v>36526</v>
      </c>
      <c r="O2" s="31">
        <v>42710</v>
      </c>
      <c r="P2" s="30"/>
      <c r="Q2" s="30"/>
      <c r="R2" s="30"/>
      <c r="S2" s="30"/>
      <c r="T2" s="30"/>
      <c r="U2" s="30" t="s">
        <v>314</v>
      </c>
    </row>
    <row r="3" spans="1:22" ht="14">
      <c r="A3" s="38" t="s">
        <v>315</v>
      </c>
      <c r="B3" s="37" t="s">
        <v>316</v>
      </c>
      <c r="C3" s="39"/>
      <c r="D3" s="39"/>
      <c r="E3" s="37" t="s">
        <v>317</v>
      </c>
      <c r="F3" s="37" t="s">
        <v>317</v>
      </c>
      <c r="G3" s="37" t="s">
        <v>318</v>
      </c>
      <c r="H3" s="39" t="s">
        <v>319</v>
      </c>
      <c r="I3" s="39" t="s">
        <v>320</v>
      </c>
      <c r="J3" s="37">
        <v>10000</v>
      </c>
      <c r="K3" s="39"/>
      <c r="L3" s="40">
        <v>42901</v>
      </c>
      <c r="M3" s="40">
        <v>43256</v>
      </c>
      <c r="N3" s="41">
        <v>42891</v>
      </c>
      <c r="O3" s="40">
        <v>42895</v>
      </c>
      <c r="P3" s="39"/>
      <c r="Q3" s="39"/>
      <c r="R3" s="39"/>
      <c r="S3" s="39"/>
      <c r="T3" s="39"/>
      <c r="U3" s="39" t="s">
        <v>321</v>
      </c>
      <c r="V3" s="38"/>
    </row>
    <row r="4" spans="1:22" ht="14">
      <c r="A4" t="s">
        <v>322</v>
      </c>
      <c r="B4" s="27" t="s">
        <v>323</v>
      </c>
      <c r="C4" s="30"/>
      <c r="D4" s="30"/>
      <c r="E4" s="27" t="s">
        <v>324</v>
      </c>
      <c r="F4" s="27" t="s">
        <v>325</v>
      </c>
      <c r="G4" s="27"/>
      <c r="H4" s="30" t="s">
        <v>326</v>
      </c>
      <c r="I4" s="30" t="s">
        <v>327</v>
      </c>
      <c r="J4" s="27">
        <v>1000000</v>
      </c>
      <c r="K4" s="30"/>
      <c r="L4" s="31">
        <v>42811</v>
      </c>
      <c r="M4" s="31">
        <v>43069</v>
      </c>
      <c r="N4" s="32">
        <v>42704</v>
      </c>
      <c r="O4" s="31">
        <v>43009</v>
      </c>
      <c r="P4" s="30"/>
      <c r="Q4" s="30"/>
      <c r="R4" s="30"/>
      <c r="S4" s="30"/>
      <c r="T4" s="30"/>
      <c r="U4" s="30"/>
    </row>
    <row r="5" spans="1:22" ht="14">
      <c r="A5" t="s">
        <v>328</v>
      </c>
      <c r="B5" s="27" t="s">
        <v>329</v>
      </c>
      <c r="C5" s="30"/>
      <c r="D5" s="30"/>
      <c r="E5" s="27" t="s">
        <v>330</v>
      </c>
      <c r="F5" s="27" t="s">
        <v>331</v>
      </c>
      <c r="G5" s="27" t="s">
        <v>332</v>
      </c>
      <c r="H5" s="30" t="s">
        <v>333</v>
      </c>
      <c r="I5" s="30" t="s">
        <v>334</v>
      </c>
      <c r="J5" s="27">
        <v>743968</v>
      </c>
      <c r="K5" s="30"/>
      <c r="L5" s="31">
        <v>42669</v>
      </c>
      <c r="M5" s="31">
        <v>42908</v>
      </c>
      <c r="N5" s="32">
        <v>42908</v>
      </c>
      <c r="O5" s="31">
        <v>42915</v>
      </c>
      <c r="P5" s="30"/>
      <c r="Q5" s="30"/>
      <c r="R5" s="30"/>
      <c r="S5" s="30"/>
      <c r="T5" s="30"/>
      <c r="U5" s="30" t="s">
        <v>335</v>
      </c>
    </row>
    <row r="6" spans="1:22" ht="14">
      <c r="A6" t="s">
        <v>336</v>
      </c>
      <c r="B6" s="27" t="s">
        <v>337</v>
      </c>
      <c r="C6" s="30"/>
      <c r="D6" s="30"/>
      <c r="E6" s="27"/>
      <c r="F6" s="27"/>
      <c r="G6" s="27"/>
      <c r="H6" s="30"/>
      <c r="I6" s="30"/>
      <c r="J6" s="27"/>
      <c r="K6" s="30"/>
      <c r="L6" s="31">
        <v>42243</v>
      </c>
      <c r="M6" s="31">
        <v>43381</v>
      </c>
      <c r="N6" s="32">
        <v>43016</v>
      </c>
      <c r="O6" s="31">
        <v>43254</v>
      </c>
      <c r="P6" s="30"/>
      <c r="Q6" s="30"/>
      <c r="R6" s="30"/>
      <c r="S6" s="30"/>
      <c r="T6" s="30"/>
      <c r="U6" s="30"/>
    </row>
    <row r="7" spans="1:22" ht="14">
      <c r="A7" t="s">
        <v>338</v>
      </c>
      <c r="B7" s="27" t="s">
        <v>339</v>
      </c>
      <c r="C7" s="30"/>
      <c r="D7" s="30"/>
      <c r="E7" s="27" t="s">
        <v>340</v>
      </c>
      <c r="F7" s="27" t="s">
        <v>340</v>
      </c>
      <c r="G7" s="27" t="s">
        <v>332</v>
      </c>
      <c r="H7" s="30" t="s">
        <v>341</v>
      </c>
      <c r="I7" s="30" t="s">
        <v>342</v>
      </c>
      <c r="J7" s="27">
        <v>10000</v>
      </c>
      <c r="K7" s="30"/>
      <c r="L7" s="31">
        <v>42210</v>
      </c>
      <c r="M7" s="31">
        <v>43144</v>
      </c>
      <c r="N7" s="32">
        <v>42779</v>
      </c>
      <c r="O7" s="31">
        <v>42793</v>
      </c>
      <c r="P7" s="30"/>
      <c r="Q7" s="30"/>
      <c r="R7" s="30"/>
      <c r="S7" s="30"/>
      <c r="T7" s="30"/>
      <c r="U7" s="30" t="s">
        <v>343</v>
      </c>
    </row>
    <row r="8" spans="1:22" ht="28">
      <c r="A8" t="s">
        <v>344</v>
      </c>
      <c r="B8" s="27" t="s">
        <v>345</v>
      </c>
      <c r="C8" s="30"/>
      <c r="D8" s="30"/>
      <c r="E8" s="27" t="s">
        <v>346</v>
      </c>
      <c r="F8" s="27" t="s">
        <v>347</v>
      </c>
      <c r="G8" s="27"/>
      <c r="H8" s="30" t="s">
        <v>348</v>
      </c>
      <c r="I8" s="35" t="s">
        <v>349</v>
      </c>
      <c r="J8" s="27">
        <v>1000000</v>
      </c>
      <c r="K8" s="30"/>
      <c r="L8" s="31">
        <v>42215</v>
      </c>
      <c r="M8" s="31">
        <v>43377</v>
      </c>
      <c r="N8" s="32">
        <v>43012</v>
      </c>
      <c r="O8" s="31">
        <v>42846</v>
      </c>
      <c r="P8" s="30"/>
      <c r="Q8" s="30"/>
      <c r="R8" s="30"/>
      <c r="S8" s="30"/>
      <c r="T8" s="30"/>
      <c r="U8" s="30" t="s">
        <v>350</v>
      </c>
    </row>
    <row r="9" spans="1:22" ht="28">
      <c r="A9" t="s">
        <v>351</v>
      </c>
      <c r="B9" s="27" t="s">
        <v>352</v>
      </c>
      <c r="C9" s="30"/>
      <c r="D9" s="30"/>
      <c r="E9" s="27" t="s">
        <v>346</v>
      </c>
      <c r="F9" s="27" t="s">
        <v>353</v>
      </c>
      <c r="G9" s="27"/>
      <c r="H9" s="30" t="s">
        <v>354</v>
      </c>
      <c r="I9" s="30" t="s">
        <v>349</v>
      </c>
      <c r="J9" s="27">
        <v>100000</v>
      </c>
      <c r="K9" s="30"/>
      <c r="L9" s="31">
        <v>42215</v>
      </c>
      <c r="M9" s="31">
        <v>43465</v>
      </c>
      <c r="N9" s="32">
        <v>43100</v>
      </c>
      <c r="O9" s="31">
        <v>43130</v>
      </c>
      <c r="P9" s="30"/>
      <c r="Q9" s="30"/>
      <c r="R9" s="30"/>
      <c r="S9" s="30"/>
      <c r="T9" s="30"/>
      <c r="U9" s="30" t="s">
        <v>355</v>
      </c>
    </row>
    <row r="10" spans="1:22" ht="14">
      <c r="A10" t="s">
        <v>356</v>
      </c>
      <c r="B10" s="37" t="s">
        <v>357</v>
      </c>
      <c r="C10" s="30"/>
      <c r="D10" s="30"/>
      <c r="E10" s="27" t="s">
        <v>358</v>
      </c>
      <c r="F10" s="27" t="s">
        <v>358</v>
      </c>
      <c r="G10" s="27" t="s">
        <v>332</v>
      </c>
      <c r="H10" s="30"/>
      <c r="I10" s="30"/>
      <c r="J10" s="27">
        <v>50000</v>
      </c>
      <c r="K10" s="30"/>
      <c r="L10" s="31">
        <v>42287</v>
      </c>
      <c r="M10" s="31">
        <v>43214</v>
      </c>
      <c r="N10" s="32">
        <v>42849</v>
      </c>
      <c r="O10" s="31">
        <v>42850</v>
      </c>
      <c r="P10" s="30"/>
      <c r="Q10" s="30"/>
      <c r="R10" s="30"/>
      <c r="S10" s="30"/>
      <c r="T10" s="30"/>
      <c r="U10" s="30" t="s">
        <v>359</v>
      </c>
    </row>
    <row r="11" spans="1:22" ht="14">
      <c r="A11" t="s">
        <v>360</v>
      </c>
      <c r="B11" s="27" t="s">
        <v>361</v>
      </c>
      <c r="C11" s="30"/>
      <c r="D11" s="30"/>
      <c r="E11" s="27" t="s">
        <v>362</v>
      </c>
      <c r="F11" s="27" t="s">
        <v>363</v>
      </c>
      <c r="G11" s="27"/>
      <c r="H11" s="30" t="s">
        <v>364</v>
      </c>
      <c r="I11" s="30" t="s">
        <v>365</v>
      </c>
      <c r="J11" s="27">
        <v>3000</v>
      </c>
      <c r="K11" s="30"/>
      <c r="L11" s="31">
        <v>42317</v>
      </c>
      <c r="M11" s="31">
        <v>43465</v>
      </c>
      <c r="N11" s="32">
        <v>43100</v>
      </c>
      <c r="O11" s="31">
        <v>43315</v>
      </c>
      <c r="P11" s="30"/>
      <c r="Q11" s="30"/>
      <c r="R11" s="30"/>
      <c r="S11" s="30"/>
      <c r="T11" s="30"/>
      <c r="U11" s="30" t="s">
        <v>366</v>
      </c>
    </row>
    <row r="12" spans="1:22" ht="14">
      <c r="A12" t="s">
        <v>367</v>
      </c>
      <c r="B12" s="27" t="s">
        <v>368</v>
      </c>
      <c r="C12" s="30"/>
      <c r="D12" s="30"/>
      <c r="E12" s="27" t="s">
        <v>369</v>
      </c>
      <c r="F12" s="27" t="s">
        <v>370</v>
      </c>
      <c r="G12" s="27"/>
      <c r="H12" s="30" t="s">
        <v>371</v>
      </c>
      <c r="I12" s="30" t="s">
        <v>372</v>
      </c>
      <c r="J12" s="27">
        <v>3000</v>
      </c>
      <c r="K12" s="30"/>
      <c r="L12" s="31">
        <v>42340</v>
      </c>
      <c r="M12" s="31">
        <v>43284</v>
      </c>
      <c r="N12" s="32">
        <v>42919</v>
      </c>
      <c r="O12" s="31">
        <v>42809</v>
      </c>
      <c r="P12" s="30"/>
      <c r="Q12" s="30"/>
      <c r="R12" s="30"/>
      <c r="S12" s="30"/>
      <c r="T12" s="30"/>
      <c r="U12" s="30" t="s">
        <v>373</v>
      </c>
    </row>
    <row r="13" spans="1:22" ht="14">
      <c r="A13" t="s">
        <v>374</v>
      </c>
      <c r="B13" s="27" t="s">
        <v>375</v>
      </c>
      <c r="C13" s="30"/>
      <c r="D13" s="30"/>
      <c r="E13" s="27"/>
      <c r="F13" s="27" t="s">
        <v>376</v>
      </c>
      <c r="G13" s="27"/>
      <c r="H13" s="30" t="s">
        <v>377</v>
      </c>
      <c r="I13" s="30" t="s">
        <v>378</v>
      </c>
      <c r="J13" s="27"/>
      <c r="K13" s="30"/>
      <c r="L13" s="31">
        <v>42725</v>
      </c>
      <c r="M13" s="31">
        <v>43349</v>
      </c>
      <c r="N13" s="32">
        <v>42984</v>
      </c>
      <c r="O13" s="31">
        <v>43054</v>
      </c>
      <c r="P13" s="30"/>
      <c r="Q13" s="30"/>
      <c r="R13" s="30"/>
      <c r="S13" s="30"/>
      <c r="T13" s="30"/>
      <c r="U13" s="30" t="s">
        <v>379</v>
      </c>
    </row>
    <row r="14" spans="1:22" ht="14">
      <c r="A14" t="s">
        <v>380</v>
      </c>
      <c r="B14" s="27" t="s">
        <v>381</v>
      </c>
      <c r="C14" s="30"/>
      <c r="D14" s="30"/>
      <c r="E14" s="27" t="s">
        <v>353</v>
      </c>
      <c r="F14" s="27" t="s">
        <v>382</v>
      </c>
      <c r="G14" s="27" t="s">
        <v>332</v>
      </c>
      <c r="H14" s="30"/>
      <c r="I14" s="30"/>
      <c r="J14" s="27">
        <v>1000000</v>
      </c>
      <c r="K14" s="30"/>
      <c r="L14" s="31">
        <v>42347</v>
      </c>
      <c r="M14" s="31">
        <v>43299</v>
      </c>
      <c r="N14" s="32">
        <v>42934</v>
      </c>
      <c r="O14" s="31">
        <v>42743</v>
      </c>
      <c r="P14" s="30"/>
      <c r="Q14" s="30"/>
      <c r="R14" s="30"/>
      <c r="S14" s="30"/>
      <c r="T14" s="30"/>
      <c r="U14" s="30" t="s">
        <v>383</v>
      </c>
    </row>
    <row r="15" spans="1:22" ht="14">
      <c r="A15" t="s">
        <v>384</v>
      </c>
      <c r="B15" s="27" t="s">
        <v>385</v>
      </c>
      <c r="C15" s="30"/>
      <c r="D15" s="30"/>
      <c r="E15" s="27" t="s">
        <v>386</v>
      </c>
      <c r="F15" s="27" t="s">
        <v>387</v>
      </c>
      <c r="G15" s="27" t="s">
        <v>332</v>
      </c>
      <c r="H15" s="30" t="s">
        <v>388</v>
      </c>
      <c r="I15" s="30" t="s">
        <v>389</v>
      </c>
      <c r="J15" s="27">
        <v>500000</v>
      </c>
      <c r="K15" s="30"/>
      <c r="L15" s="31">
        <v>42356</v>
      </c>
      <c r="M15" s="31">
        <v>43296</v>
      </c>
      <c r="N15" s="32">
        <v>42931</v>
      </c>
      <c r="O15" s="31">
        <v>42945</v>
      </c>
      <c r="P15" s="30"/>
      <c r="Q15" s="30"/>
      <c r="R15" s="30"/>
      <c r="S15" s="30"/>
      <c r="T15" s="30"/>
      <c r="U15" s="30" t="s">
        <v>359</v>
      </c>
    </row>
    <row r="16" spans="1:22" ht="14">
      <c r="A16" t="s">
        <v>390</v>
      </c>
      <c r="B16" s="37" t="s">
        <v>391</v>
      </c>
      <c r="C16" s="30"/>
      <c r="D16" s="30"/>
      <c r="E16" s="27" t="s">
        <v>392</v>
      </c>
      <c r="F16" s="27" t="s">
        <v>392</v>
      </c>
      <c r="G16" s="27" t="s">
        <v>332</v>
      </c>
      <c r="H16" s="30" t="s">
        <v>393</v>
      </c>
      <c r="I16" s="30" t="s">
        <v>394</v>
      </c>
      <c r="J16" s="27">
        <v>5000</v>
      </c>
      <c r="K16" s="30"/>
      <c r="L16" s="31">
        <v>42359</v>
      </c>
      <c r="M16" s="31">
        <v>43246</v>
      </c>
      <c r="N16" s="32">
        <v>42881</v>
      </c>
      <c r="O16" s="31">
        <v>42884</v>
      </c>
      <c r="P16" s="30"/>
      <c r="Q16" s="30"/>
      <c r="R16" s="30"/>
      <c r="S16" s="30"/>
      <c r="T16" s="30"/>
      <c r="U16" s="30" t="s">
        <v>395</v>
      </c>
    </row>
    <row r="17" spans="1:22" ht="14">
      <c r="A17" t="s">
        <v>396</v>
      </c>
      <c r="B17" s="27" t="s">
        <v>397</v>
      </c>
      <c r="C17" s="30"/>
      <c r="D17" s="30"/>
      <c r="E17" s="27" t="s">
        <v>386</v>
      </c>
      <c r="F17" s="27" t="s">
        <v>398</v>
      </c>
      <c r="G17" s="27"/>
      <c r="H17" s="30" t="s">
        <v>399</v>
      </c>
      <c r="I17" s="30" t="s">
        <v>400</v>
      </c>
      <c r="J17" s="27">
        <v>6820</v>
      </c>
      <c r="K17" s="30"/>
      <c r="L17" s="31">
        <v>42396</v>
      </c>
      <c r="M17" s="31">
        <v>43281</v>
      </c>
      <c r="N17" s="32">
        <v>42916</v>
      </c>
      <c r="O17" s="31">
        <v>42916</v>
      </c>
      <c r="P17" s="30"/>
      <c r="Q17" s="30"/>
      <c r="R17" s="30"/>
      <c r="S17" s="30"/>
      <c r="T17" s="30"/>
      <c r="U17" s="30" t="s">
        <v>401</v>
      </c>
    </row>
    <row r="18" spans="1:22" ht="14">
      <c r="A18" t="s">
        <v>402</v>
      </c>
      <c r="B18" s="27" t="s">
        <v>403</v>
      </c>
      <c r="C18" s="30"/>
      <c r="D18" s="30"/>
      <c r="E18" s="27"/>
      <c r="F18" s="27"/>
      <c r="G18" s="27"/>
      <c r="H18" s="30" t="s">
        <v>404</v>
      </c>
      <c r="I18" s="30" t="s">
        <v>405</v>
      </c>
      <c r="J18" s="36"/>
      <c r="K18" s="30"/>
      <c r="L18" s="31">
        <v>42400</v>
      </c>
      <c r="M18" s="31">
        <v>36526</v>
      </c>
      <c r="N18" s="31">
        <v>36526</v>
      </c>
      <c r="O18" s="31">
        <v>36526</v>
      </c>
      <c r="P18" s="30"/>
      <c r="Q18" s="30"/>
      <c r="R18" s="30"/>
      <c r="S18" s="30"/>
      <c r="T18" s="30"/>
      <c r="U18" s="30"/>
    </row>
    <row r="19" spans="1:22" ht="28">
      <c r="A19" t="s">
        <v>406</v>
      </c>
      <c r="B19" s="37" t="s">
        <v>407</v>
      </c>
      <c r="C19" s="30"/>
      <c r="D19" s="30"/>
      <c r="E19" s="27"/>
      <c r="F19" s="27"/>
      <c r="G19" s="27"/>
      <c r="H19" s="30" t="s">
        <v>408</v>
      </c>
      <c r="I19" s="30" t="s">
        <v>409</v>
      </c>
      <c r="J19" s="27"/>
      <c r="K19" s="30"/>
      <c r="L19" s="31">
        <v>42403</v>
      </c>
      <c r="M19" s="31">
        <v>43174</v>
      </c>
      <c r="N19" s="32">
        <v>42809</v>
      </c>
      <c r="O19" s="31">
        <v>42810</v>
      </c>
      <c r="P19" s="30"/>
      <c r="Q19" s="30"/>
      <c r="R19" s="30"/>
      <c r="S19" s="30"/>
      <c r="T19" s="30"/>
      <c r="U19" s="30"/>
    </row>
    <row r="20" spans="1:22" ht="14">
      <c r="A20" t="s">
        <v>410</v>
      </c>
      <c r="B20" s="27" t="s">
        <v>411</v>
      </c>
      <c r="C20" s="30"/>
      <c r="D20" s="30"/>
      <c r="E20" s="27" t="s">
        <v>412</v>
      </c>
      <c r="F20" s="27" t="s">
        <v>412</v>
      </c>
      <c r="G20" s="27"/>
      <c r="H20" s="30"/>
      <c r="I20" s="30"/>
      <c r="J20" s="27">
        <v>100000</v>
      </c>
      <c r="K20" s="30"/>
      <c r="L20" s="31">
        <v>42442</v>
      </c>
      <c r="M20" s="31">
        <v>43272</v>
      </c>
      <c r="N20" s="32">
        <v>42907</v>
      </c>
      <c r="O20" s="31">
        <v>42915</v>
      </c>
      <c r="P20" s="30"/>
      <c r="Q20" s="30"/>
      <c r="R20" s="30"/>
      <c r="S20" s="30"/>
      <c r="T20" s="30"/>
      <c r="U20" s="30"/>
    </row>
    <row r="21" spans="1:22" ht="14">
      <c r="A21" t="s">
        <v>413</v>
      </c>
      <c r="B21" s="27" t="s">
        <v>414</v>
      </c>
      <c r="C21" s="30"/>
      <c r="D21" s="30"/>
      <c r="E21" s="27" t="s">
        <v>415</v>
      </c>
      <c r="F21" s="27" t="s">
        <v>415</v>
      </c>
      <c r="G21" s="27"/>
      <c r="H21" s="30" t="s">
        <v>416</v>
      </c>
      <c r="I21" s="30" t="s">
        <v>417</v>
      </c>
      <c r="J21" s="27"/>
      <c r="K21" s="30"/>
      <c r="L21" s="31">
        <v>42671</v>
      </c>
      <c r="M21" s="31">
        <v>43361</v>
      </c>
      <c r="N21" s="32">
        <v>42996</v>
      </c>
      <c r="O21" s="31">
        <v>43004</v>
      </c>
      <c r="P21" s="30"/>
      <c r="Q21" s="30"/>
      <c r="R21" s="30"/>
      <c r="S21" s="30"/>
      <c r="T21" s="30"/>
      <c r="U21" s="30"/>
    </row>
    <row r="22" spans="1:22" ht="14">
      <c r="A22" t="s">
        <v>418</v>
      </c>
      <c r="B22" s="27" t="s">
        <v>419</v>
      </c>
      <c r="C22" s="30"/>
      <c r="D22" s="30"/>
      <c r="E22" s="27" t="s">
        <v>420</v>
      </c>
      <c r="F22" s="27" t="s">
        <v>420</v>
      </c>
      <c r="G22" s="27" t="s">
        <v>332</v>
      </c>
      <c r="H22" s="30" t="s">
        <v>421</v>
      </c>
      <c r="I22" s="30" t="s">
        <v>422</v>
      </c>
      <c r="J22" s="27">
        <v>1</v>
      </c>
      <c r="K22" s="30"/>
      <c r="L22" s="31">
        <v>42467</v>
      </c>
      <c r="M22" s="31">
        <v>43379</v>
      </c>
      <c r="N22" s="32">
        <v>43014</v>
      </c>
      <c r="O22" s="31">
        <v>43270</v>
      </c>
      <c r="P22" s="30"/>
      <c r="Q22" s="30"/>
      <c r="R22" s="30"/>
      <c r="S22" s="30"/>
      <c r="T22" s="30"/>
      <c r="U22" s="30" t="s">
        <v>359</v>
      </c>
    </row>
    <row r="23" spans="1:22" ht="28">
      <c r="A23" t="s">
        <v>423</v>
      </c>
      <c r="B23" s="27" t="s">
        <v>424</v>
      </c>
      <c r="C23" s="30"/>
      <c r="D23" s="30"/>
      <c r="E23" s="27" t="s">
        <v>425</v>
      </c>
      <c r="F23" s="27" t="s">
        <v>426</v>
      </c>
      <c r="G23" s="27"/>
      <c r="H23" s="30" t="s">
        <v>348</v>
      </c>
      <c r="I23" s="30" t="s">
        <v>349</v>
      </c>
      <c r="J23" s="27">
        <v>200000</v>
      </c>
      <c r="K23" s="30"/>
      <c r="L23" s="31">
        <v>42741</v>
      </c>
      <c r="M23" s="31">
        <v>43330</v>
      </c>
      <c r="N23" s="32">
        <v>42965</v>
      </c>
      <c r="O23" s="31">
        <v>42976</v>
      </c>
      <c r="P23" s="30"/>
      <c r="Q23" s="30"/>
      <c r="R23" s="30"/>
      <c r="S23" s="30"/>
      <c r="T23" s="30"/>
      <c r="U23" s="30" t="s">
        <v>401</v>
      </c>
    </row>
    <row r="24" spans="1:22" ht="14">
      <c r="A24" t="s">
        <v>427</v>
      </c>
      <c r="B24" s="37" t="s">
        <v>428</v>
      </c>
      <c r="C24" s="30"/>
      <c r="D24" s="30"/>
      <c r="E24" s="27" t="s">
        <v>429</v>
      </c>
      <c r="F24" s="27" t="s">
        <v>429</v>
      </c>
      <c r="G24" s="27"/>
      <c r="H24" s="30" t="s">
        <v>430</v>
      </c>
      <c r="I24" s="30" t="s">
        <v>431</v>
      </c>
      <c r="J24" s="27">
        <v>13000</v>
      </c>
      <c r="K24" s="30"/>
      <c r="L24" s="31">
        <v>42760</v>
      </c>
      <c r="M24" s="31">
        <v>43169</v>
      </c>
      <c r="N24" s="32">
        <v>42804</v>
      </c>
      <c r="O24" s="31">
        <v>42804</v>
      </c>
      <c r="P24" s="30"/>
      <c r="Q24" s="30"/>
      <c r="R24" s="30"/>
      <c r="S24" s="30"/>
      <c r="T24" s="30"/>
      <c r="U24" s="30" t="s">
        <v>432</v>
      </c>
    </row>
    <row r="25" spans="1:22" ht="14">
      <c r="A25" s="38" t="s">
        <v>433</v>
      </c>
      <c r="B25" s="37" t="s">
        <v>434</v>
      </c>
      <c r="C25" s="39"/>
      <c r="D25" s="39"/>
      <c r="E25" s="37" t="s">
        <v>386</v>
      </c>
      <c r="F25" s="37" t="s">
        <v>435</v>
      </c>
      <c r="G25" s="37"/>
      <c r="H25" s="39"/>
      <c r="I25" s="39"/>
      <c r="J25" s="37">
        <v>30000</v>
      </c>
      <c r="K25" s="39"/>
      <c r="L25" s="40">
        <v>42536</v>
      </c>
      <c r="M25" s="40">
        <v>43291</v>
      </c>
      <c r="N25" s="41">
        <v>42926</v>
      </c>
      <c r="O25" s="40">
        <v>42926</v>
      </c>
      <c r="P25" s="39"/>
      <c r="Q25" s="39"/>
      <c r="R25" s="39"/>
      <c r="S25" s="39"/>
      <c r="T25" s="39"/>
      <c r="U25" s="39" t="s">
        <v>401</v>
      </c>
      <c r="V25" s="38"/>
    </row>
    <row r="26" spans="1:22" ht="14">
      <c r="A26" t="s">
        <v>436</v>
      </c>
      <c r="B26" s="27" t="s">
        <v>437</v>
      </c>
      <c r="C26" s="30"/>
      <c r="D26" s="30"/>
      <c r="E26" s="27" t="s">
        <v>438</v>
      </c>
      <c r="F26" s="27" t="s">
        <v>438</v>
      </c>
      <c r="G26" s="27"/>
      <c r="H26" s="30" t="s">
        <v>439</v>
      </c>
      <c r="I26" s="30">
        <v>96382145</v>
      </c>
      <c r="J26" s="27">
        <v>20000</v>
      </c>
      <c r="K26" s="30"/>
      <c r="L26" s="31">
        <v>42718</v>
      </c>
      <c r="M26" s="31">
        <v>43333</v>
      </c>
      <c r="N26" s="32">
        <v>42968</v>
      </c>
      <c r="O26" s="31">
        <v>42976</v>
      </c>
      <c r="P26" s="30"/>
      <c r="Q26" s="30"/>
      <c r="R26" s="30"/>
      <c r="S26" s="30"/>
      <c r="T26" s="30"/>
      <c r="U26" s="30" t="s">
        <v>440</v>
      </c>
    </row>
    <row r="27" spans="1:22" ht="14">
      <c r="A27" t="s">
        <v>441</v>
      </c>
      <c r="B27" s="27" t="s">
        <v>442</v>
      </c>
      <c r="C27" s="30"/>
      <c r="D27" s="30"/>
      <c r="E27" s="27" t="s">
        <v>443</v>
      </c>
      <c r="F27" s="27" t="s">
        <v>443</v>
      </c>
      <c r="G27" s="27" t="s">
        <v>332</v>
      </c>
      <c r="H27" s="30" t="s">
        <v>444</v>
      </c>
      <c r="I27" s="30" t="s">
        <v>445</v>
      </c>
      <c r="J27" s="27">
        <v>50000</v>
      </c>
      <c r="K27" s="30"/>
      <c r="L27" s="31">
        <v>43186</v>
      </c>
      <c r="M27" s="31">
        <v>43465</v>
      </c>
      <c r="N27" s="32">
        <v>43100</v>
      </c>
      <c r="O27" s="31">
        <v>43185</v>
      </c>
      <c r="P27" s="30"/>
      <c r="Q27" s="30"/>
      <c r="R27" s="30"/>
      <c r="S27" s="30"/>
      <c r="T27" s="30"/>
      <c r="U27" s="30"/>
    </row>
    <row r="28" spans="1:22" ht="14">
      <c r="A28" t="s">
        <v>446</v>
      </c>
      <c r="B28" s="27" t="s">
        <v>447</v>
      </c>
      <c r="C28" s="30"/>
      <c r="D28" s="30"/>
      <c r="E28" s="27" t="s">
        <v>448</v>
      </c>
      <c r="F28" s="27" t="s">
        <v>449</v>
      </c>
      <c r="G28" s="27"/>
      <c r="H28" s="30"/>
      <c r="I28" s="30" t="s">
        <v>450</v>
      </c>
      <c r="J28" s="27">
        <v>200000</v>
      </c>
      <c r="K28" s="30"/>
      <c r="L28" s="31">
        <v>43467</v>
      </c>
      <c r="M28" s="31">
        <v>43637</v>
      </c>
      <c r="N28" s="32">
        <v>43272</v>
      </c>
      <c r="O28" s="31">
        <v>43272</v>
      </c>
      <c r="P28" s="30"/>
      <c r="Q28" s="30"/>
      <c r="R28" s="30"/>
      <c r="S28" s="30"/>
      <c r="T28" s="30"/>
      <c r="U28" s="30" t="s">
        <v>451</v>
      </c>
    </row>
    <row r="29" spans="1:22" ht="14">
      <c r="A29" t="s">
        <v>452</v>
      </c>
      <c r="B29" s="27" t="s">
        <v>453</v>
      </c>
      <c r="C29" s="30"/>
      <c r="D29" s="30"/>
      <c r="E29" s="27" t="s">
        <v>454</v>
      </c>
      <c r="F29" s="27" t="s">
        <v>455</v>
      </c>
      <c r="G29" s="27" t="s">
        <v>332</v>
      </c>
      <c r="H29" s="30" t="s">
        <v>456</v>
      </c>
      <c r="I29" s="30" t="s">
        <v>457</v>
      </c>
      <c r="J29" s="27">
        <v>100000</v>
      </c>
      <c r="K29" s="30"/>
      <c r="L29" s="31">
        <v>42584</v>
      </c>
      <c r="M29" s="31">
        <v>43464</v>
      </c>
      <c r="N29" s="32">
        <v>43099</v>
      </c>
      <c r="O29" s="31">
        <v>42948</v>
      </c>
      <c r="P29" s="30"/>
      <c r="Q29" s="30"/>
      <c r="R29" s="30"/>
      <c r="S29" s="30"/>
      <c r="T29" s="30"/>
      <c r="U29" s="30" t="s">
        <v>458</v>
      </c>
    </row>
    <row r="30" spans="1:22" ht="14">
      <c r="A30" t="s">
        <v>459</v>
      </c>
      <c r="B30" s="27" t="s">
        <v>460</v>
      </c>
      <c r="C30" s="30"/>
      <c r="D30" s="30"/>
      <c r="E30" s="27" t="s">
        <v>461</v>
      </c>
      <c r="F30" s="27" t="s">
        <v>461</v>
      </c>
      <c r="G30" s="27" t="s">
        <v>332</v>
      </c>
      <c r="H30" s="30" t="s">
        <v>462</v>
      </c>
      <c r="I30" s="30" t="s">
        <v>463</v>
      </c>
      <c r="J30" s="27">
        <v>10000</v>
      </c>
      <c r="K30" s="30"/>
      <c r="L30" s="31">
        <v>43187</v>
      </c>
      <c r="M30" s="31">
        <v>43496</v>
      </c>
      <c r="N30" s="32">
        <v>43131</v>
      </c>
      <c r="O30" s="31">
        <v>43186</v>
      </c>
      <c r="P30" s="30"/>
      <c r="Q30" s="30"/>
      <c r="R30" s="30"/>
      <c r="S30" s="30"/>
      <c r="T30" s="30"/>
      <c r="U30" s="30" t="s">
        <v>464</v>
      </c>
    </row>
    <row r="31" spans="1:22" ht="14">
      <c r="A31" t="s">
        <v>465</v>
      </c>
      <c r="B31" s="27" t="s">
        <v>466</v>
      </c>
      <c r="C31" s="30"/>
      <c r="D31" s="30"/>
      <c r="E31" s="27" t="s">
        <v>467</v>
      </c>
      <c r="F31" s="27" t="s">
        <v>468</v>
      </c>
      <c r="G31" s="27"/>
      <c r="H31" s="30" t="s">
        <v>469</v>
      </c>
      <c r="I31" s="30">
        <v>90195431</v>
      </c>
      <c r="J31" s="27">
        <v>50000</v>
      </c>
      <c r="K31" s="30"/>
      <c r="L31" s="31">
        <v>42598</v>
      </c>
      <c r="M31" s="31">
        <v>43496</v>
      </c>
      <c r="N31" s="32">
        <v>43131</v>
      </c>
      <c r="O31" s="31">
        <v>43188</v>
      </c>
      <c r="P31" s="30"/>
      <c r="Q31" s="30"/>
      <c r="R31" s="30"/>
      <c r="S31" s="30"/>
      <c r="T31" s="30"/>
      <c r="U31" s="30" t="s">
        <v>470</v>
      </c>
    </row>
    <row r="32" spans="1:22" ht="42">
      <c r="A32" t="s">
        <v>471</v>
      </c>
      <c r="B32" s="27" t="s">
        <v>472</v>
      </c>
      <c r="C32" s="30"/>
      <c r="D32" s="30" t="s">
        <v>473</v>
      </c>
      <c r="E32" s="27" t="s">
        <v>474</v>
      </c>
      <c r="F32" s="27" t="s">
        <v>474</v>
      </c>
      <c r="G32" s="27" t="s">
        <v>332</v>
      </c>
      <c r="H32" s="30"/>
      <c r="I32" s="30"/>
      <c r="J32" s="27">
        <v>100</v>
      </c>
      <c r="K32" s="30"/>
      <c r="L32" s="31">
        <v>42594</v>
      </c>
      <c r="M32" s="31">
        <v>43312</v>
      </c>
      <c r="N32" s="32">
        <v>43371</v>
      </c>
      <c r="O32" s="31">
        <v>43190</v>
      </c>
      <c r="P32" s="30"/>
      <c r="Q32" s="30"/>
      <c r="R32" s="30"/>
      <c r="S32" s="30"/>
      <c r="T32" s="30"/>
      <c r="U32" s="30" t="s">
        <v>475</v>
      </c>
    </row>
    <row r="33" spans="1:22" ht="28">
      <c r="A33" t="s">
        <v>476</v>
      </c>
      <c r="B33" s="27" t="s">
        <v>477</v>
      </c>
      <c r="C33" s="30"/>
      <c r="D33" s="30"/>
      <c r="E33" s="27" t="s">
        <v>478</v>
      </c>
      <c r="F33" s="27" t="s">
        <v>426</v>
      </c>
      <c r="G33" s="27"/>
      <c r="H33" s="30" t="s">
        <v>348</v>
      </c>
      <c r="I33" s="35" t="s">
        <v>349</v>
      </c>
      <c r="J33" s="27">
        <v>200000</v>
      </c>
      <c r="K33" s="30"/>
      <c r="L33" s="31">
        <v>43123</v>
      </c>
      <c r="M33" s="31">
        <v>43488</v>
      </c>
      <c r="N33" s="32">
        <v>43123</v>
      </c>
      <c r="O33" s="31">
        <v>43123</v>
      </c>
      <c r="P33" s="30"/>
      <c r="Q33" s="30"/>
      <c r="R33" s="30"/>
      <c r="S33" s="30"/>
      <c r="T33" s="30"/>
      <c r="U33" s="30" t="s">
        <v>401</v>
      </c>
    </row>
    <row r="34" spans="1:22" ht="14">
      <c r="A34" t="s">
        <v>479</v>
      </c>
      <c r="B34" s="27" t="s">
        <v>480</v>
      </c>
      <c r="C34" s="30"/>
      <c r="D34" s="30"/>
      <c r="E34" s="27" t="s">
        <v>481</v>
      </c>
      <c r="F34" s="27" t="s">
        <v>482</v>
      </c>
      <c r="G34" s="27"/>
      <c r="H34" s="27" t="s">
        <v>483</v>
      </c>
      <c r="I34" s="35" t="s">
        <v>484</v>
      </c>
      <c r="J34" s="27">
        <v>10000</v>
      </c>
      <c r="K34" s="30"/>
      <c r="L34" s="31">
        <v>42613</v>
      </c>
      <c r="M34" s="31">
        <v>36526</v>
      </c>
      <c r="N34" s="31">
        <v>36526</v>
      </c>
      <c r="O34" s="31">
        <v>36526</v>
      </c>
      <c r="P34" s="30"/>
      <c r="Q34" s="30"/>
      <c r="R34" s="30"/>
      <c r="S34" s="30"/>
      <c r="T34" s="30"/>
      <c r="U34" s="30" t="s">
        <v>401</v>
      </c>
    </row>
    <row r="35" spans="1:22" ht="14">
      <c r="A35" t="s">
        <v>485</v>
      </c>
      <c r="B35" s="27" t="s">
        <v>486</v>
      </c>
      <c r="C35" s="30"/>
      <c r="D35" s="30"/>
      <c r="E35" s="27" t="s">
        <v>487</v>
      </c>
      <c r="F35" s="27" t="s">
        <v>488</v>
      </c>
      <c r="G35" s="27"/>
      <c r="H35" s="30" t="s">
        <v>489</v>
      </c>
      <c r="I35" s="30" t="s">
        <v>490</v>
      </c>
      <c r="J35" s="27">
        <v>1000</v>
      </c>
      <c r="K35" s="30"/>
      <c r="L35" s="31">
        <v>42613</v>
      </c>
      <c r="M35" s="31">
        <v>36526</v>
      </c>
      <c r="N35" s="31">
        <v>36526</v>
      </c>
      <c r="O35" s="31">
        <v>36526</v>
      </c>
      <c r="P35" s="30"/>
      <c r="Q35" s="30"/>
      <c r="R35" s="30"/>
      <c r="S35" s="30"/>
      <c r="T35" s="30"/>
      <c r="U35" s="30" t="s">
        <v>491</v>
      </c>
    </row>
    <row r="36" spans="1:22" ht="14">
      <c r="A36" t="s">
        <v>492</v>
      </c>
      <c r="B36" s="27" t="s">
        <v>493</v>
      </c>
      <c r="C36" s="30"/>
      <c r="D36" s="30"/>
      <c r="E36" s="27" t="s">
        <v>494</v>
      </c>
      <c r="F36" s="27" t="s">
        <v>494</v>
      </c>
      <c r="G36" s="27" t="s">
        <v>332</v>
      </c>
      <c r="H36" s="30" t="s">
        <v>495</v>
      </c>
      <c r="I36" s="30" t="s">
        <v>496</v>
      </c>
      <c r="J36" s="27">
        <v>50000</v>
      </c>
      <c r="K36" s="30"/>
      <c r="L36" s="31">
        <v>43251</v>
      </c>
      <c r="M36" s="31">
        <v>43524</v>
      </c>
      <c r="N36" s="32">
        <v>43159</v>
      </c>
      <c r="O36" s="31">
        <v>43250</v>
      </c>
      <c r="P36" s="30"/>
      <c r="Q36" s="30"/>
      <c r="R36" s="30"/>
      <c r="S36" s="30"/>
      <c r="T36" s="30"/>
      <c r="U36" s="30" t="s">
        <v>497</v>
      </c>
    </row>
    <row r="37" spans="1:22" ht="14">
      <c r="A37" t="s">
        <v>498</v>
      </c>
      <c r="B37" s="27" t="s">
        <v>499</v>
      </c>
      <c r="C37" s="30"/>
      <c r="D37" s="30"/>
      <c r="E37" s="27" t="s">
        <v>500</v>
      </c>
      <c r="F37" s="27" t="s">
        <v>501</v>
      </c>
      <c r="G37" s="27"/>
      <c r="H37" s="30"/>
      <c r="I37" s="30"/>
      <c r="J37" s="27">
        <v>20000</v>
      </c>
      <c r="K37" s="30"/>
      <c r="L37" s="31">
        <v>43718</v>
      </c>
      <c r="M37" s="31">
        <v>43524</v>
      </c>
      <c r="N37" s="32">
        <v>43159</v>
      </c>
      <c r="O37" s="31">
        <v>43159</v>
      </c>
      <c r="P37" s="30"/>
      <c r="Q37" s="30"/>
      <c r="R37" s="30"/>
      <c r="S37" s="30"/>
      <c r="T37" s="30"/>
      <c r="U37" s="30"/>
    </row>
    <row r="38" spans="1:22" ht="28">
      <c r="A38" t="s">
        <v>502</v>
      </c>
      <c r="B38" s="27" t="s">
        <v>503</v>
      </c>
      <c r="C38" s="30"/>
      <c r="D38" s="30" t="s">
        <v>504</v>
      </c>
      <c r="E38" s="27" t="s">
        <v>505</v>
      </c>
      <c r="F38" s="27" t="s">
        <v>506</v>
      </c>
      <c r="G38" s="27"/>
      <c r="H38" s="30" t="s">
        <v>507</v>
      </c>
      <c r="I38" s="30" t="s">
        <v>508</v>
      </c>
      <c r="J38" s="27">
        <v>100000</v>
      </c>
      <c r="K38" s="30"/>
      <c r="L38" s="31">
        <v>42746</v>
      </c>
      <c r="M38" s="31">
        <v>43645</v>
      </c>
      <c r="N38" s="32">
        <v>43280</v>
      </c>
      <c r="O38" s="31">
        <v>43280</v>
      </c>
      <c r="P38" s="30"/>
      <c r="Q38" s="30"/>
      <c r="R38" s="30"/>
      <c r="S38" s="30"/>
      <c r="T38" s="30"/>
      <c r="U38" s="30"/>
    </row>
    <row r="39" spans="1:22" ht="14">
      <c r="A39" t="s">
        <v>509</v>
      </c>
      <c r="B39" s="37" t="s">
        <v>510</v>
      </c>
      <c r="C39" s="30"/>
      <c r="D39" s="30"/>
      <c r="E39" s="27" t="s">
        <v>511</v>
      </c>
      <c r="F39" s="27" t="s">
        <v>511</v>
      </c>
      <c r="G39" s="27"/>
      <c r="H39" s="30"/>
      <c r="I39" s="30"/>
      <c r="J39" s="27">
        <v>5000</v>
      </c>
      <c r="K39" s="30"/>
      <c r="L39" s="31">
        <v>42746</v>
      </c>
      <c r="M39" s="31">
        <v>36526</v>
      </c>
      <c r="N39" s="31">
        <v>36526</v>
      </c>
      <c r="O39" s="31">
        <v>36526</v>
      </c>
      <c r="P39" s="30"/>
      <c r="Q39" s="30"/>
      <c r="R39" s="30"/>
      <c r="S39" s="30"/>
      <c r="T39" s="30"/>
      <c r="U39" s="30" t="s">
        <v>359</v>
      </c>
    </row>
    <row r="40" spans="1:22" ht="14">
      <c r="A40" s="38" t="s">
        <v>512</v>
      </c>
      <c r="B40" s="37" t="s">
        <v>513</v>
      </c>
      <c r="C40" s="39"/>
      <c r="D40" s="39"/>
      <c r="E40" s="37" t="s">
        <v>514</v>
      </c>
      <c r="F40" s="37" t="s">
        <v>514</v>
      </c>
      <c r="G40" s="37"/>
      <c r="H40" s="39" t="s">
        <v>515</v>
      </c>
      <c r="I40" s="39" t="s">
        <v>516</v>
      </c>
      <c r="J40" s="37">
        <v>20000</v>
      </c>
      <c r="K40" s="39"/>
      <c r="L40" s="40">
        <v>43221</v>
      </c>
      <c r="M40" s="40">
        <v>43585</v>
      </c>
      <c r="N40" s="41">
        <v>43220</v>
      </c>
      <c r="O40" s="40">
        <v>43220</v>
      </c>
      <c r="P40" s="39"/>
      <c r="Q40" s="39"/>
      <c r="R40" s="39"/>
      <c r="S40" s="39"/>
      <c r="T40" s="39"/>
      <c r="U40" s="39"/>
      <c r="V40" s="38"/>
    </row>
    <row r="41" spans="1:22" ht="14">
      <c r="A41" t="s">
        <v>517</v>
      </c>
      <c r="B41" s="27" t="s">
        <v>518</v>
      </c>
      <c r="C41" s="30"/>
      <c r="D41" s="30" t="s">
        <v>473</v>
      </c>
      <c r="E41" s="27" t="s">
        <v>519</v>
      </c>
      <c r="F41" s="27" t="s">
        <v>520</v>
      </c>
      <c r="G41" s="27" t="s">
        <v>332</v>
      </c>
      <c r="H41" s="30"/>
      <c r="I41" s="30"/>
      <c r="J41" s="27">
        <v>257000</v>
      </c>
      <c r="K41" s="30"/>
      <c r="L41" s="31">
        <v>43335</v>
      </c>
      <c r="M41" s="31">
        <v>43645</v>
      </c>
      <c r="N41" s="32">
        <v>43280</v>
      </c>
      <c r="O41" s="31">
        <v>43280</v>
      </c>
      <c r="P41" s="30"/>
      <c r="Q41" s="30"/>
      <c r="R41" s="30"/>
      <c r="S41" s="30"/>
      <c r="T41" s="30"/>
      <c r="U41" s="30" t="s">
        <v>521</v>
      </c>
    </row>
    <row r="42" spans="1:22" ht="14">
      <c r="A42" t="s">
        <v>522</v>
      </c>
      <c r="B42" s="27" t="s">
        <v>523</v>
      </c>
      <c r="C42" s="30"/>
      <c r="D42" s="30"/>
      <c r="E42" s="27" t="s">
        <v>524</v>
      </c>
      <c r="F42" s="27" t="s">
        <v>524</v>
      </c>
      <c r="G42" s="27"/>
      <c r="H42" s="30" t="s">
        <v>525</v>
      </c>
      <c r="I42" s="30" t="s">
        <v>526</v>
      </c>
      <c r="J42" s="27">
        <v>50000</v>
      </c>
      <c r="K42" s="30"/>
      <c r="L42" s="31">
        <v>42774</v>
      </c>
      <c r="M42" s="31">
        <v>43561</v>
      </c>
      <c r="N42" s="32">
        <v>43196</v>
      </c>
      <c r="O42" s="31">
        <v>43196</v>
      </c>
      <c r="P42" s="30"/>
      <c r="Q42" s="30"/>
      <c r="R42" s="30"/>
      <c r="S42" s="30"/>
      <c r="T42" s="30"/>
      <c r="U42" s="30"/>
    </row>
    <row r="43" spans="1:22" ht="14">
      <c r="A43" t="s">
        <v>527</v>
      </c>
      <c r="B43" s="27" t="s">
        <v>528</v>
      </c>
      <c r="C43" s="30"/>
      <c r="D43" s="30"/>
      <c r="E43" s="27" t="s">
        <v>529</v>
      </c>
      <c r="F43" s="27" t="s">
        <v>530</v>
      </c>
      <c r="G43" s="27"/>
      <c r="H43" s="30" t="s">
        <v>531</v>
      </c>
      <c r="I43" s="30" t="s">
        <v>532</v>
      </c>
      <c r="J43" s="27">
        <v>5000</v>
      </c>
      <c r="K43" s="30"/>
      <c r="L43" s="31">
        <v>42776</v>
      </c>
      <c r="M43" s="31">
        <v>36526</v>
      </c>
      <c r="N43" s="31">
        <v>36526</v>
      </c>
      <c r="O43" s="31">
        <v>36526</v>
      </c>
      <c r="P43" s="30"/>
      <c r="Q43" s="30"/>
      <c r="R43" s="30"/>
      <c r="S43" s="30"/>
      <c r="T43" s="30"/>
      <c r="U43" s="30" t="s">
        <v>533</v>
      </c>
    </row>
    <row r="44" spans="1:22" ht="14">
      <c r="A44" t="s">
        <v>534</v>
      </c>
      <c r="B44" s="37" t="s">
        <v>535</v>
      </c>
      <c r="C44" s="30"/>
      <c r="D44" s="30"/>
      <c r="E44" s="27" t="s">
        <v>536</v>
      </c>
      <c r="F44" s="27" t="s">
        <v>537</v>
      </c>
      <c r="G44" s="27"/>
      <c r="H44" s="30" t="s">
        <v>538</v>
      </c>
      <c r="I44" s="30" t="s">
        <v>539</v>
      </c>
      <c r="J44" s="27">
        <v>50000</v>
      </c>
      <c r="K44" s="30"/>
      <c r="L44" s="31">
        <v>42780</v>
      </c>
      <c r="M44" s="31">
        <v>36526</v>
      </c>
      <c r="N44" s="31">
        <v>36526</v>
      </c>
      <c r="O44" s="31">
        <v>36526</v>
      </c>
      <c r="P44" s="30"/>
      <c r="Q44" s="30"/>
      <c r="R44" s="30"/>
      <c r="S44" s="30"/>
      <c r="T44" s="30"/>
      <c r="U44" s="30" t="s">
        <v>540</v>
      </c>
    </row>
    <row r="45" spans="1:22" ht="14">
      <c r="A45" t="s">
        <v>541</v>
      </c>
      <c r="B45" s="27" t="s">
        <v>542</v>
      </c>
      <c r="C45" s="30"/>
      <c r="D45" s="30"/>
      <c r="E45" s="27" t="s">
        <v>543</v>
      </c>
      <c r="F45" s="27" t="s">
        <v>543</v>
      </c>
      <c r="G45" s="27"/>
      <c r="H45" s="30"/>
      <c r="I45" s="30"/>
      <c r="J45" s="27">
        <v>100</v>
      </c>
      <c r="K45" s="30"/>
      <c r="L45" s="31">
        <v>42978</v>
      </c>
      <c r="M45" s="31">
        <v>36526</v>
      </c>
      <c r="N45" s="31">
        <v>36526</v>
      </c>
      <c r="O45" s="31">
        <v>36526</v>
      </c>
      <c r="P45" s="30"/>
      <c r="Q45" s="30"/>
      <c r="R45" s="30"/>
      <c r="S45" s="30"/>
      <c r="T45" s="30"/>
      <c r="U45" s="30" t="s">
        <v>544</v>
      </c>
    </row>
    <row r="46" spans="1:22" ht="14">
      <c r="A46" t="s">
        <v>545</v>
      </c>
      <c r="B46" s="27" t="s">
        <v>546</v>
      </c>
      <c r="C46" s="30"/>
      <c r="D46" s="30"/>
      <c r="E46" s="27" t="s">
        <v>547</v>
      </c>
      <c r="F46" s="27" t="s">
        <v>548</v>
      </c>
      <c r="G46" s="27"/>
      <c r="H46" s="30" t="s">
        <v>549</v>
      </c>
      <c r="I46" s="30" t="s">
        <v>550</v>
      </c>
      <c r="J46" s="27">
        <v>1000</v>
      </c>
      <c r="K46" s="30"/>
      <c r="L46" s="31">
        <v>42814</v>
      </c>
      <c r="M46" s="31">
        <v>36526</v>
      </c>
      <c r="N46" s="31">
        <v>36526</v>
      </c>
      <c r="O46" s="31">
        <v>36526</v>
      </c>
      <c r="P46" s="30"/>
      <c r="Q46" s="30"/>
      <c r="R46" s="30"/>
      <c r="S46" s="30"/>
      <c r="T46" s="30"/>
      <c r="U46" s="30" t="s">
        <v>359</v>
      </c>
    </row>
    <row r="47" spans="1:22" ht="14">
      <c r="A47" t="s">
        <v>551</v>
      </c>
      <c r="B47" s="37" t="s">
        <v>552</v>
      </c>
      <c r="C47" s="30"/>
      <c r="D47" s="30"/>
      <c r="E47" s="27" t="s">
        <v>553</v>
      </c>
      <c r="F47" s="27" t="s">
        <v>553</v>
      </c>
      <c r="G47" s="27"/>
      <c r="H47" s="30"/>
      <c r="I47" s="30"/>
      <c r="J47" s="27">
        <v>20000</v>
      </c>
      <c r="K47" s="30"/>
      <c r="L47" s="31">
        <v>43012</v>
      </c>
      <c r="M47" s="31">
        <v>36526</v>
      </c>
      <c r="N47" s="31">
        <v>36526</v>
      </c>
      <c r="O47" s="31">
        <v>36526</v>
      </c>
      <c r="P47" s="30"/>
      <c r="Q47" s="30"/>
      <c r="R47" s="30"/>
      <c r="S47" s="30"/>
      <c r="T47" s="30"/>
      <c r="U47" s="30" t="s">
        <v>554</v>
      </c>
    </row>
    <row r="48" spans="1:22" ht="14">
      <c r="A48" t="s">
        <v>555</v>
      </c>
      <c r="B48" s="37" t="s">
        <v>556</v>
      </c>
      <c r="C48" s="30"/>
      <c r="D48" s="30"/>
      <c r="E48" s="27" t="s">
        <v>386</v>
      </c>
      <c r="F48" s="27" t="s">
        <v>557</v>
      </c>
      <c r="G48" s="27"/>
      <c r="H48" s="30"/>
      <c r="I48" s="30"/>
      <c r="J48" s="27">
        <v>5000</v>
      </c>
      <c r="K48" s="30"/>
      <c r="L48" s="31">
        <v>42935</v>
      </c>
      <c r="M48" s="31">
        <v>36526</v>
      </c>
      <c r="N48" s="31">
        <v>36526</v>
      </c>
      <c r="O48" s="31">
        <v>36526</v>
      </c>
      <c r="P48" s="30"/>
      <c r="Q48" s="30"/>
      <c r="R48" s="30"/>
      <c r="S48" s="30"/>
      <c r="T48" s="30"/>
      <c r="U48" s="30" t="s">
        <v>359</v>
      </c>
    </row>
    <row r="49" spans="1:21" ht="14">
      <c r="A49" t="s">
        <v>558</v>
      </c>
      <c r="B49" s="37" t="s">
        <v>559</v>
      </c>
      <c r="C49" s="30"/>
      <c r="D49" s="30"/>
      <c r="E49" s="27" t="s">
        <v>386</v>
      </c>
      <c r="F49" s="27" t="s">
        <v>560</v>
      </c>
      <c r="G49" s="27"/>
      <c r="H49" s="30"/>
      <c r="I49" s="30"/>
      <c r="J49" s="27">
        <v>10000</v>
      </c>
      <c r="K49" s="30"/>
      <c r="L49" s="31">
        <v>42935</v>
      </c>
      <c r="M49" s="31">
        <v>36526</v>
      </c>
      <c r="N49" s="31">
        <v>36526</v>
      </c>
      <c r="O49" s="31">
        <v>36526</v>
      </c>
      <c r="P49" s="30"/>
      <c r="Q49" s="30"/>
      <c r="R49" s="30"/>
      <c r="S49" s="30"/>
      <c r="T49" s="30"/>
      <c r="U49" s="30" t="s">
        <v>359</v>
      </c>
    </row>
    <row r="50" spans="1:21" ht="14">
      <c r="A50" t="s">
        <v>561</v>
      </c>
      <c r="B50" s="27" t="s">
        <v>562</v>
      </c>
      <c r="C50" s="30"/>
      <c r="D50" s="30"/>
      <c r="E50" s="27" t="s">
        <v>563</v>
      </c>
      <c r="F50" s="27" t="s">
        <v>563</v>
      </c>
      <c r="G50" s="27"/>
      <c r="H50" s="30" t="s">
        <v>564</v>
      </c>
      <c r="I50" s="30" t="s">
        <v>565</v>
      </c>
      <c r="J50" s="27">
        <v>100000</v>
      </c>
      <c r="K50" s="30"/>
      <c r="L50" s="31">
        <v>42942</v>
      </c>
      <c r="M50" s="31">
        <v>36526</v>
      </c>
      <c r="N50" s="31">
        <v>36526</v>
      </c>
      <c r="O50" s="31">
        <v>36526</v>
      </c>
      <c r="P50" s="30"/>
      <c r="Q50" s="30"/>
      <c r="R50" s="30"/>
      <c r="S50" s="30"/>
      <c r="T50" s="30"/>
      <c r="U50" s="30" t="s">
        <v>359</v>
      </c>
    </row>
    <row r="51" spans="1:21" ht="14">
      <c r="A51" t="s">
        <v>566</v>
      </c>
      <c r="B51" s="27" t="s">
        <v>567</v>
      </c>
      <c r="C51" s="30"/>
      <c r="D51" s="30"/>
      <c r="E51" s="27" t="s">
        <v>568</v>
      </c>
      <c r="F51" s="27" t="s">
        <v>568</v>
      </c>
      <c r="G51" s="27"/>
      <c r="H51" s="30"/>
      <c r="I51" s="30"/>
      <c r="J51" s="27">
        <v>10000</v>
      </c>
      <c r="K51" s="30"/>
      <c r="L51" s="31">
        <v>43131</v>
      </c>
      <c r="M51" s="31">
        <v>36526</v>
      </c>
      <c r="N51" s="31">
        <v>36526</v>
      </c>
      <c r="O51" s="31">
        <v>36526</v>
      </c>
      <c r="P51" s="30"/>
      <c r="Q51" s="30"/>
      <c r="R51" s="30"/>
      <c r="S51" s="30"/>
      <c r="T51" s="30"/>
      <c r="U51" s="30" t="s">
        <v>569</v>
      </c>
    </row>
    <row r="52" spans="1:21" ht="14">
      <c r="A52" t="s">
        <v>570</v>
      </c>
      <c r="B52" s="27" t="s">
        <v>571</v>
      </c>
      <c r="C52" s="30"/>
      <c r="D52" s="30"/>
      <c r="E52" s="27" t="s">
        <v>572</v>
      </c>
      <c r="F52" s="27" t="s">
        <v>573</v>
      </c>
      <c r="G52" s="27"/>
      <c r="H52" s="30"/>
      <c r="I52" s="30"/>
      <c r="J52" s="27">
        <v>10000</v>
      </c>
      <c r="K52" s="30"/>
      <c r="L52" s="31">
        <v>42976</v>
      </c>
      <c r="M52" s="31">
        <v>36526</v>
      </c>
      <c r="N52" s="31">
        <v>36526</v>
      </c>
      <c r="O52" s="31">
        <v>36526</v>
      </c>
      <c r="P52" s="30"/>
      <c r="Q52" s="30"/>
      <c r="R52" s="30"/>
      <c r="S52" s="30"/>
      <c r="T52" s="30"/>
      <c r="U52" s="30" t="s">
        <v>574</v>
      </c>
    </row>
    <row r="53" spans="1:21" ht="14">
      <c r="A53" t="s">
        <v>575</v>
      </c>
      <c r="B53" s="27" t="s">
        <v>576</v>
      </c>
      <c r="C53" s="30"/>
      <c r="D53" s="30"/>
      <c r="E53" s="27" t="s">
        <v>577</v>
      </c>
      <c r="F53" s="27" t="s">
        <v>577</v>
      </c>
      <c r="G53" s="27"/>
      <c r="H53" s="30"/>
      <c r="I53" s="30"/>
      <c r="J53" s="27">
        <v>200000</v>
      </c>
      <c r="K53" s="30"/>
      <c r="L53" s="31">
        <v>43153</v>
      </c>
      <c r="M53" s="31">
        <v>36526</v>
      </c>
      <c r="N53" s="31">
        <v>36526</v>
      </c>
      <c r="O53" s="31">
        <v>36526</v>
      </c>
      <c r="P53" s="30"/>
      <c r="Q53" s="30"/>
      <c r="R53" s="30"/>
      <c r="S53" s="30"/>
      <c r="T53" s="30"/>
      <c r="U53" s="30" t="s">
        <v>578</v>
      </c>
    </row>
    <row r="54" spans="1:21" ht="28">
      <c r="A54" t="s">
        <v>579</v>
      </c>
      <c r="B54" s="27" t="s">
        <v>580</v>
      </c>
      <c r="C54" s="30"/>
      <c r="D54" s="30"/>
      <c r="E54" s="27" t="s">
        <v>581</v>
      </c>
      <c r="F54" s="27" t="s">
        <v>582</v>
      </c>
      <c r="G54" s="27"/>
      <c r="H54" s="30" t="s">
        <v>583</v>
      </c>
      <c r="I54" s="30" t="s">
        <v>584</v>
      </c>
      <c r="J54" s="27">
        <v>1000000</v>
      </c>
      <c r="K54" s="30"/>
      <c r="L54" s="31">
        <v>43108</v>
      </c>
      <c r="M54" s="31">
        <v>36526</v>
      </c>
      <c r="N54" s="31">
        <v>36526</v>
      </c>
      <c r="O54" s="31">
        <v>36526</v>
      </c>
      <c r="P54" s="30"/>
      <c r="Q54" s="30"/>
      <c r="R54" s="30"/>
      <c r="S54" s="30"/>
      <c r="T54" s="30"/>
      <c r="U54" s="30" t="s">
        <v>585</v>
      </c>
    </row>
    <row r="55" spans="1:21" ht="14">
      <c r="A55" t="s">
        <v>586</v>
      </c>
      <c r="B55" s="27" t="s">
        <v>587</v>
      </c>
      <c r="C55" s="30"/>
      <c r="D55" s="30"/>
      <c r="E55" s="27" t="s">
        <v>588</v>
      </c>
      <c r="F55" s="27" t="s">
        <v>589</v>
      </c>
      <c r="G55" s="27"/>
      <c r="H55" s="30"/>
      <c r="I55" s="30"/>
      <c r="J55" s="27">
        <v>5000</v>
      </c>
      <c r="K55" s="30"/>
      <c r="L55" s="31">
        <v>43067</v>
      </c>
      <c r="M55" s="31">
        <v>36526</v>
      </c>
      <c r="N55" s="31">
        <v>36526</v>
      </c>
      <c r="O55" s="31">
        <v>36526</v>
      </c>
      <c r="P55" s="30"/>
      <c r="Q55" s="30"/>
      <c r="R55" s="30"/>
      <c r="S55" s="30"/>
      <c r="T55" s="30"/>
      <c r="U55" s="30" t="s">
        <v>590</v>
      </c>
    </row>
    <row r="56" spans="1:21" ht="14">
      <c r="A56" t="s">
        <v>591</v>
      </c>
      <c r="B56" s="27" t="s">
        <v>592</v>
      </c>
      <c r="C56" s="30"/>
      <c r="D56" s="30" t="s">
        <v>593</v>
      </c>
      <c r="E56" s="27" t="s">
        <v>594</v>
      </c>
      <c r="F56" s="27" t="s">
        <v>594</v>
      </c>
      <c r="G56" s="27"/>
      <c r="H56" s="30"/>
      <c r="I56" s="30"/>
      <c r="J56" s="27">
        <v>10000</v>
      </c>
      <c r="K56" s="30"/>
      <c r="L56" s="31">
        <v>43054</v>
      </c>
      <c r="M56" s="31">
        <v>36526</v>
      </c>
      <c r="N56" s="31">
        <v>36526</v>
      </c>
      <c r="O56" s="31">
        <v>36526</v>
      </c>
      <c r="P56" s="30"/>
      <c r="Q56" s="30"/>
      <c r="R56" s="30"/>
      <c r="S56" s="30"/>
      <c r="T56" s="30"/>
      <c r="U56" s="30" t="s">
        <v>359</v>
      </c>
    </row>
    <row r="57" spans="1:21" ht="14">
      <c r="A57" t="s">
        <v>595</v>
      </c>
      <c r="B57" s="27" t="s">
        <v>596</v>
      </c>
      <c r="C57" s="30"/>
      <c r="D57" s="30"/>
      <c r="E57" s="27" t="s">
        <v>597</v>
      </c>
      <c r="F57" s="27" t="s">
        <v>597</v>
      </c>
      <c r="G57" s="27"/>
      <c r="H57" s="30"/>
      <c r="I57" s="30"/>
      <c r="J57" s="27">
        <v>1</v>
      </c>
      <c r="K57" s="30"/>
      <c r="L57" s="31">
        <v>43073</v>
      </c>
      <c r="M57" s="31">
        <v>36526</v>
      </c>
      <c r="N57" s="31">
        <v>36526</v>
      </c>
      <c r="O57" s="31">
        <v>36526</v>
      </c>
      <c r="P57" s="30"/>
      <c r="Q57" s="30"/>
      <c r="R57" s="30"/>
      <c r="S57" s="30"/>
      <c r="T57" s="30"/>
      <c r="U57" s="30" t="s">
        <v>598</v>
      </c>
    </row>
    <row r="58" spans="1:21" ht="14">
      <c r="A58" t="s">
        <v>599</v>
      </c>
      <c r="B58" s="27" t="s">
        <v>600</v>
      </c>
      <c r="C58" s="30"/>
      <c r="D58" s="30"/>
      <c r="E58" s="27" t="s">
        <v>478</v>
      </c>
      <c r="F58" s="27" t="s">
        <v>601</v>
      </c>
      <c r="G58" s="27"/>
      <c r="H58" s="30"/>
      <c r="I58" s="30"/>
      <c r="J58" s="27">
        <v>1000000</v>
      </c>
      <c r="K58" s="30"/>
      <c r="L58" s="31">
        <v>43070</v>
      </c>
      <c r="M58" s="31">
        <v>36526</v>
      </c>
      <c r="N58" s="31">
        <v>36526</v>
      </c>
      <c r="O58" s="31">
        <v>36526</v>
      </c>
      <c r="P58" s="30"/>
      <c r="Q58" s="30"/>
      <c r="R58" s="30"/>
      <c r="S58" s="30"/>
      <c r="T58" s="30"/>
      <c r="U58" s="30" t="s">
        <v>359</v>
      </c>
    </row>
    <row r="59" spans="1:21" ht="14">
      <c r="A59" t="s">
        <v>602</v>
      </c>
      <c r="B59" s="37" t="s">
        <v>603</v>
      </c>
      <c r="C59" s="30"/>
      <c r="D59" s="30"/>
      <c r="E59" s="27" t="s">
        <v>604</v>
      </c>
      <c r="F59" s="27" t="s">
        <v>605</v>
      </c>
      <c r="G59" s="27"/>
      <c r="H59" s="30"/>
      <c r="I59" s="30"/>
      <c r="J59" s="27">
        <v>10000000</v>
      </c>
      <c r="K59" s="30"/>
      <c r="L59" s="31">
        <v>43083</v>
      </c>
      <c r="M59" s="31">
        <v>36526</v>
      </c>
      <c r="N59" s="31">
        <v>36526</v>
      </c>
      <c r="O59" s="31">
        <v>36526</v>
      </c>
      <c r="P59" s="30"/>
      <c r="Q59" s="30"/>
      <c r="R59" s="30"/>
      <c r="S59" s="30"/>
      <c r="T59" s="30"/>
      <c r="U59" s="30" t="s">
        <v>606</v>
      </c>
    </row>
    <row r="60" spans="1:21" ht="42">
      <c r="A60" t="s">
        <v>607</v>
      </c>
      <c r="B60" s="27" t="s">
        <v>608</v>
      </c>
      <c r="C60" s="27"/>
      <c r="D60" s="28" t="s">
        <v>504</v>
      </c>
      <c r="E60" s="27" t="s">
        <v>609</v>
      </c>
      <c r="F60" s="27" t="s">
        <v>610</v>
      </c>
      <c r="G60" s="27" t="s">
        <v>332</v>
      </c>
      <c r="H60" s="33"/>
      <c r="I60" s="33"/>
      <c r="J60" s="27" t="s">
        <v>611</v>
      </c>
      <c r="K60" s="33"/>
      <c r="L60" s="31">
        <v>43151</v>
      </c>
      <c r="M60" s="31">
        <v>36526</v>
      </c>
      <c r="N60" s="31">
        <v>36526</v>
      </c>
      <c r="O60" s="31">
        <v>36526</v>
      </c>
      <c r="P60" s="30"/>
      <c r="Q60" s="30"/>
      <c r="R60" s="30"/>
      <c r="S60" s="30"/>
      <c r="T60" s="30"/>
      <c r="U60" s="30" t="s">
        <v>612</v>
      </c>
    </row>
    <row r="61" spans="1:21" ht="14">
      <c r="A61" t="s">
        <v>613</v>
      </c>
      <c r="B61" s="27" t="s">
        <v>614</v>
      </c>
      <c r="C61" s="30"/>
      <c r="D61" s="30"/>
      <c r="E61" s="27" t="s">
        <v>615</v>
      </c>
      <c r="F61" s="27" t="s">
        <v>616</v>
      </c>
      <c r="G61" s="27"/>
      <c r="H61" s="30"/>
      <c r="I61" s="30"/>
      <c r="J61" s="27">
        <v>200000</v>
      </c>
      <c r="K61" s="30"/>
      <c r="L61" s="31">
        <v>43159</v>
      </c>
      <c r="M61" s="31">
        <v>36526</v>
      </c>
      <c r="N61" s="31">
        <v>36526</v>
      </c>
      <c r="O61" s="31">
        <v>36526</v>
      </c>
      <c r="P61" s="30"/>
      <c r="Q61" s="30"/>
      <c r="R61" s="30"/>
      <c r="S61" s="30"/>
      <c r="T61" s="30"/>
      <c r="U61" s="30" t="s">
        <v>359</v>
      </c>
    </row>
    <row r="62" spans="1:21" ht="14">
      <c r="A62" t="s">
        <v>617</v>
      </c>
      <c r="B62" s="37" t="s">
        <v>618</v>
      </c>
      <c r="C62" s="27"/>
      <c r="D62" s="27" t="s">
        <v>504</v>
      </c>
      <c r="E62" s="27" t="s">
        <v>619</v>
      </c>
      <c r="F62" s="27" t="s">
        <v>620</v>
      </c>
      <c r="G62" s="27" t="s">
        <v>332</v>
      </c>
      <c r="H62" s="33"/>
      <c r="I62" s="33"/>
      <c r="J62" s="27">
        <v>10000</v>
      </c>
      <c r="K62" s="33"/>
      <c r="L62" s="31">
        <v>43166</v>
      </c>
      <c r="M62" s="31">
        <v>36526</v>
      </c>
      <c r="N62" s="31">
        <v>36526</v>
      </c>
      <c r="O62" s="31">
        <v>36526</v>
      </c>
      <c r="P62" s="30"/>
      <c r="Q62" s="30"/>
      <c r="R62" s="30"/>
      <c r="S62" s="30"/>
      <c r="T62" s="30"/>
      <c r="U62" s="39" t="s">
        <v>621</v>
      </c>
    </row>
    <row r="63" spans="1:21" ht="30">
      <c r="A63" t="s">
        <v>622</v>
      </c>
      <c r="B63" s="27" t="s">
        <v>623</v>
      </c>
      <c r="C63" s="27"/>
      <c r="D63" s="70" t="s">
        <v>624</v>
      </c>
      <c r="E63" s="27" t="s">
        <v>625</v>
      </c>
      <c r="F63" s="27" t="s">
        <v>626</v>
      </c>
      <c r="G63" s="27" t="s">
        <v>627</v>
      </c>
      <c r="H63" s="33" t="s">
        <v>628</v>
      </c>
      <c r="I63" s="33" t="s">
        <v>629</v>
      </c>
      <c r="J63" s="27">
        <v>250000</v>
      </c>
      <c r="K63" s="33"/>
      <c r="L63" s="31">
        <v>43202</v>
      </c>
      <c r="M63" s="31">
        <v>44147</v>
      </c>
      <c r="N63" s="31">
        <v>43657</v>
      </c>
      <c r="O63" s="31">
        <v>43933</v>
      </c>
      <c r="P63" s="30"/>
      <c r="Q63" s="30"/>
      <c r="R63" s="30"/>
      <c r="S63" s="30"/>
      <c r="T63" s="30"/>
      <c r="U63" s="30" t="s">
        <v>630</v>
      </c>
    </row>
    <row r="64" spans="1:21" ht="30">
      <c r="A64" t="s">
        <v>631</v>
      </c>
      <c r="B64" s="27" t="s">
        <v>632</v>
      </c>
      <c r="C64" s="27"/>
      <c r="D64" s="70" t="s">
        <v>624</v>
      </c>
      <c r="E64" s="27" t="s">
        <v>633</v>
      </c>
      <c r="F64" s="27" t="s">
        <v>634</v>
      </c>
      <c r="G64" s="27" t="s">
        <v>627</v>
      </c>
      <c r="H64" s="30"/>
      <c r="I64" s="30"/>
      <c r="J64" s="27">
        <v>500000</v>
      </c>
      <c r="K64" s="30"/>
      <c r="L64" s="31">
        <v>43207</v>
      </c>
      <c r="M64" s="31">
        <v>44152</v>
      </c>
      <c r="N64" s="31">
        <v>43657</v>
      </c>
      <c r="O64" s="31">
        <v>43938</v>
      </c>
      <c r="P64" s="30"/>
      <c r="Q64" s="30"/>
      <c r="R64" s="30"/>
      <c r="S64" s="30"/>
      <c r="T64" s="30"/>
      <c r="U64" s="30" t="s">
        <v>630</v>
      </c>
    </row>
    <row r="65" spans="1:22" ht="15">
      <c r="A65" t="s">
        <v>635</v>
      </c>
      <c r="B65" s="27" t="s">
        <v>636</v>
      </c>
      <c r="C65" s="27"/>
      <c r="D65" s="28" t="s">
        <v>473</v>
      </c>
      <c r="E65" s="27" t="s">
        <v>637</v>
      </c>
      <c r="F65" s="27" t="s">
        <v>638</v>
      </c>
      <c r="G65" s="27" t="s">
        <v>332</v>
      </c>
      <c r="H65" s="33" t="s">
        <v>639</v>
      </c>
      <c r="I65" s="33" t="s">
        <v>640</v>
      </c>
      <c r="J65" s="27">
        <v>20000</v>
      </c>
      <c r="K65" s="33"/>
      <c r="L65" s="31">
        <v>43224</v>
      </c>
      <c r="M65" s="31">
        <v>36526</v>
      </c>
      <c r="N65" s="31">
        <v>36526</v>
      </c>
      <c r="O65" s="31">
        <v>36526</v>
      </c>
      <c r="P65" s="30"/>
      <c r="Q65" s="30"/>
      <c r="R65" s="30"/>
      <c r="S65" s="30"/>
      <c r="T65" s="30"/>
      <c r="U65" s="30"/>
    </row>
    <row r="66" spans="1:22" ht="56">
      <c r="A66" t="s">
        <v>641</v>
      </c>
      <c r="B66" s="27" t="s">
        <v>642</v>
      </c>
      <c r="C66" s="27"/>
      <c r="D66" s="27" t="s">
        <v>643</v>
      </c>
      <c r="E66" s="27"/>
      <c r="F66" s="27" t="s">
        <v>643</v>
      </c>
      <c r="G66" s="27" t="s">
        <v>332</v>
      </c>
      <c r="H66" s="33" t="s">
        <v>644</v>
      </c>
      <c r="I66" s="33" t="s">
        <v>645</v>
      </c>
      <c r="J66" s="27">
        <v>10000</v>
      </c>
      <c r="K66" s="33"/>
      <c r="L66" s="31">
        <v>43242</v>
      </c>
      <c r="M66" s="31">
        <v>36526</v>
      </c>
      <c r="N66" s="31">
        <v>36526</v>
      </c>
      <c r="O66" s="31">
        <v>36526</v>
      </c>
      <c r="P66" s="30"/>
      <c r="Q66" s="30"/>
      <c r="R66" s="30"/>
      <c r="S66" s="30"/>
      <c r="T66" s="42" t="s">
        <v>646</v>
      </c>
      <c r="U66" s="30" t="s">
        <v>475</v>
      </c>
      <c r="V66" t="s">
        <v>647</v>
      </c>
    </row>
    <row r="67" spans="1:22" ht="28">
      <c r="A67" s="38" t="s">
        <v>648</v>
      </c>
      <c r="B67" s="37" t="s">
        <v>649</v>
      </c>
      <c r="C67" s="37"/>
      <c r="D67" s="43"/>
      <c r="E67" s="37" t="s">
        <v>650</v>
      </c>
      <c r="F67" s="37" t="s">
        <v>651</v>
      </c>
      <c r="G67" s="37" t="s">
        <v>332</v>
      </c>
      <c r="H67" s="44" t="s">
        <v>652</v>
      </c>
      <c r="I67" s="44" t="s">
        <v>653</v>
      </c>
      <c r="J67" s="37" t="s">
        <v>654</v>
      </c>
      <c r="K67" s="44"/>
      <c r="L67" s="40">
        <v>43242</v>
      </c>
      <c r="M67" s="40">
        <v>43220</v>
      </c>
      <c r="N67" s="40">
        <v>36526</v>
      </c>
      <c r="O67" s="40">
        <v>36526</v>
      </c>
      <c r="P67" s="39"/>
      <c r="Q67" s="39"/>
      <c r="R67" s="39"/>
      <c r="S67" s="45" t="s">
        <v>655</v>
      </c>
      <c r="T67" s="39"/>
      <c r="U67" s="39"/>
      <c r="V67" s="38"/>
    </row>
    <row r="68" spans="1:22" ht="42">
      <c r="A68" t="s">
        <v>656</v>
      </c>
      <c r="B68" s="27" t="s">
        <v>657</v>
      </c>
      <c r="C68" s="27"/>
      <c r="D68" s="28"/>
      <c r="E68" s="27" t="s">
        <v>658</v>
      </c>
      <c r="F68" s="27"/>
      <c r="G68" s="27" t="s">
        <v>332</v>
      </c>
      <c r="H68" s="33"/>
      <c r="I68" s="33"/>
      <c r="J68" s="27"/>
      <c r="K68" s="33"/>
      <c r="L68" s="31">
        <v>43260</v>
      </c>
      <c r="M68" s="31">
        <v>43616</v>
      </c>
      <c r="N68" s="31">
        <v>36526</v>
      </c>
      <c r="O68" s="31">
        <v>36526</v>
      </c>
      <c r="P68" s="30"/>
      <c r="Q68" s="30"/>
      <c r="R68" s="30"/>
      <c r="S68" s="30"/>
      <c r="T68" s="30"/>
      <c r="U68" s="30" t="s">
        <v>475</v>
      </c>
    </row>
    <row r="69" spans="1:22" ht="42">
      <c r="A69" t="s">
        <v>659</v>
      </c>
      <c r="B69" s="27" t="s">
        <v>660</v>
      </c>
      <c r="C69" s="27"/>
      <c r="D69" s="28" t="s">
        <v>473</v>
      </c>
      <c r="E69" s="27" t="s">
        <v>661</v>
      </c>
      <c r="F69" s="27" t="s">
        <v>661</v>
      </c>
      <c r="G69" s="27" t="s">
        <v>332</v>
      </c>
      <c r="H69" s="30"/>
      <c r="I69" s="30"/>
      <c r="J69" s="27">
        <v>10000</v>
      </c>
      <c r="K69" s="30"/>
      <c r="L69" s="31">
        <v>43263</v>
      </c>
      <c r="M69" s="31">
        <v>43616</v>
      </c>
      <c r="N69" s="31">
        <v>36526</v>
      </c>
      <c r="O69" s="31">
        <v>43616</v>
      </c>
      <c r="P69" s="30"/>
      <c r="Q69" s="30"/>
      <c r="R69" s="30"/>
      <c r="S69" s="30"/>
      <c r="T69" s="30"/>
      <c r="U69" s="30" t="s">
        <v>475</v>
      </c>
    </row>
    <row r="70" spans="1:22" ht="42">
      <c r="A70" t="s">
        <v>662</v>
      </c>
      <c r="B70" s="27" t="s">
        <v>663</v>
      </c>
      <c r="C70" s="30"/>
      <c r="D70" s="30"/>
      <c r="E70" s="27" t="s">
        <v>664</v>
      </c>
      <c r="F70" s="27" t="s">
        <v>665</v>
      </c>
      <c r="G70" s="27" t="s">
        <v>332</v>
      </c>
      <c r="H70" s="30" t="s">
        <v>666</v>
      </c>
      <c r="I70" s="30" t="s">
        <v>667</v>
      </c>
      <c r="J70" s="27">
        <v>5000</v>
      </c>
      <c r="K70" s="30"/>
      <c r="L70" s="31">
        <v>43299</v>
      </c>
      <c r="M70" s="31">
        <v>36526</v>
      </c>
      <c r="N70" s="31">
        <v>36526</v>
      </c>
      <c r="O70" s="31">
        <v>36526</v>
      </c>
      <c r="P70" s="30"/>
      <c r="Q70" s="30"/>
      <c r="R70" s="30"/>
      <c r="S70" s="30"/>
      <c r="T70" s="30"/>
      <c r="U70" s="30" t="s">
        <v>475</v>
      </c>
    </row>
    <row r="71" spans="1:22" ht="14">
      <c r="A71" t="s">
        <v>668</v>
      </c>
      <c r="B71" s="27" t="s">
        <v>669</v>
      </c>
      <c r="C71" s="27"/>
      <c r="D71" s="28"/>
      <c r="E71" s="27" t="s">
        <v>670</v>
      </c>
      <c r="F71" s="27" t="s">
        <v>671</v>
      </c>
      <c r="G71" s="27" t="s">
        <v>332</v>
      </c>
      <c r="H71" s="30"/>
      <c r="I71" s="30"/>
      <c r="J71" s="27">
        <v>10000</v>
      </c>
      <c r="K71" s="30"/>
      <c r="L71" s="31">
        <v>43328</v>
      </c>
      <c r="M71" s="31">
        <v>36526</v>
      </c>
      <c r="N71" s="31">
        <v>36526</v>
      </c>
      <c r="O71" s="31">
        <v>36526</v>
      </c>
      <c r="P71" s="30"/>
      <c r="Q71" s="30"/>
      <c r="R71" s="30"/>
      <c r="S71" s="30"/>
      <c r="T71" s="30"/>
      <c r="U71" s="30" t="s">
        <v>672</v>
      </c>
    </row>
    <row r="72" spans="1:22" ht="28">
      <c r="A72" t="s">
        <v>673</v>
      </c>
      <c r="B72" s="27" t="s">
        <v>674</v>
      </c>
      <c r="C72" s="27"/>
      <c r="D72" s="27"/>
      <c r="E72" s="27" t="s">
        <v>675</v>
      </c>
      <c r="F72" s="27" t="s">
        <v>676</v>
      </c>
      <c r="G72" s="27" t="s">
        <v>332</v>
      </c>
      <c r="H72" s="33"/>
      <c r="I72" s="33"/>
      <c r="J72" s="27">
        <v>100000</v>
      </c>
      <c r="K72" s="33"/>
      <c r="L72" s="31">
        <v>43371</v>
      </c>
      <c r="M72" s="31">
        <v>43708</v>
      </c>
      <c r="N72" s="31">
        <v>36526</v>
      </c>
      <c r="O72" s="31">
        <v>43708</v>
      </c>
      <c r="P72" s="30"/>
      <c r="Q72" s="30"/>
      <c r="R72" s="30"/>
      <c r="S72" s="30"/>
      <c r="T72" s="30"/>
      <c r="U72" s="30" t="s">
        <v>677</v>
      </c>
    </row>
    <row r="73" spans="1:22" ht="42">
      <c r="A73" t="s">
        <v>678</v>
      </c>
      <c r="B73" s="27" t="s">
        <v>679</v>
      </c>
      <c r="C73" s="27"/>
      <c r="D73" s="28"/>
      <c r="E73" s="27" t="s">
        <v>680</v>
      </c>
      <c r="F73" s="27" t="s">
        <v>681</v>
      </c>
      <c r="G73" s="27" t="s">
        <v>682</v>
      </c>
      <c r="H73" s="33"/>
      <c r="I73" s="33"/>
      <c r="J73" s="27">
        <v>300000</v>
      </c>
      <c r="K73" s="33"/>
      <c r="L73" s="31">
        <v>43375</v>
      </c>
      <c r="M73" s="31">
        <v>36526</v>
      </c>
      <c r="N73" s="31">
        <v>36526</v>
      </c>
      <c r="O73" s="31">
        <v>36526</v>
      </c>
      <c r="P73" s="30"/>
      <c r="Q73" s="30"/>
      <c r="R73" s="30"/>
      <c r="S73" s="30"/>
      <c r="T73" s="30"/>
      <c r="U73" s="30" t="s">
        <v>475</v>
      </c>
    </row>
    <row r="74" spans="1:22" ht="14">
      <c r="A74" t="s">
        <v>683</v>
      </c>
      <c r="B74" s="27" t="s">
        <v>684</v>
      </c>
      <c r="C74" s="27"/>
      <c r="D74" s="28"/>
      <c r="E74" s="27" t="s">
        <v>685</v>
      </c>
      <c r="F74" s="27" t="s">
        <v>686</v>
      </c>
      <c r="G74" s="27"/>
      <c r="H74" s="30"/>
      <c r="I74" s="30"/>
      <c r="J74" s="27">
        <v>200000</v>
      </c>
      <c r="K74" s="30"/>
      <c r="L74" s="31">
        <v>43383</v>
      </c>
      <c r="M74" s="31">
        <v>36526</v>
      </c>
      <c r="N74" s="31">
        <v>36526</v>
      </c>
      <c r="O74" s="31">
        <v>36526</v>
      </c>
      <c r="P74" s="30"/>
      <c r="Q74" s="30"/>
      <c r="R74" s="30"/>
      <c r="S74" s="30"/>
      <c r="T74" s="30"/>
      <c r="U74" s="30" t="s">
        <v>687</v>
      </c>
    </row>
    <row r="75" spans="1:22" ht="14">
      <c r="A75" t="s">
        <v>688</v>
      </c>
      <c r="B75" s="27" t="s">
        <v>689</v>
      </c>
      <c r="C75" s="27"/>
      <c r="D75" s="28"/>
      <c r="E75" s="27" t="s">
        <v>690</v>
      </c>
      <c r="F75" s="27" t="s">
        <v>691</v>
      </c>
      <c r="G75" s="27" t="s">
        <v>682</v>
      </c>
      <c r="H75" s="33"/>
      <c r="I75" s="33"/>
      <c r="J75" s="27">
        <v>20000</v>
      </c>
      <c r="K75" s="33"/>
      <c r="L75" s="31">
        <v>43391</v>
      </c>
      <c r="M75" s="31">
        <v>36526</v>
      </c>
      <c r="N75" s="31">
        <v>36526</v>
      </c>
      <c r="O75" s="31">
        <v>36526</v>
      </c>
      <c r="P75" s="30"/>
      <c r="Q75" s="30"/>
      <c r="R75" s="30"/>
      <c r="S75" s="30"/>
      <c r="T75" s="30"/>
      <c r="U75" s="30" t="s">
        <v>692</v>
      </c>
    </row>
    <row r="76" spans="1:22" ht="14">
      <c r="A76" t="s">
        <v>693</v>
      </c>
      <c r="B76" s="27" t="s">
        <v>694</v>
      </c>
      <c r="C76" s="30"/>
      <c r="D76" s="30"/>
      <c r="E76" s="27" t="s">
        <v>695</v>
      </c>
      <c r="F76" s="27" t="s">
        <v>695</v>
      </c>
      <c r="G76" s="27" t="s">
        <v>682</v>
      </c>
      <c r="H76" s="30"/>
      <c r="I76" s="30" t="s">
        <v>696</v>
      </c>
      <c r="J76" s="27">
        <v>50000</v>
      </c>
      <c r="K76" s="30"/>
      <c r="L76" s="31">
        <v>43405</v>
      </c>
      <c r="M76" s="31">
        <v>36526</v>
      </c>
      <c r="N76" s="31">
        <v>36526</v>
      </c>
      <c r="O76" s="31">
        <v>36526</v>
      </c>
      <c r="P76" s="30"/>
      <c r="Q76" s="30"/>
      <c r="R76" s="30"/>
      <c r="S76" s="30"/>
      <c r="T76" s="30"/>
      <c r="U76" s="30" t="s">
        <v>697</v>
      </c>
    </row>
    <row r="77" spans="1:22" ht="42">
      <c r="A77" t="s">
        <v>698</v>
      </c>
      <c r="B77" s="27" t="s">
        <v>699</v>
      </c>
      <c r="C77" s="27"/>
      <c r="D77" s="28"/>
      <c r="E77" s="27" t="s">
        <v>700</v>
      </c>
      <c r="F77" s="27" t="s">
        <v>701</v>
      </c>
      <c r="G77" s="27" t="s">
        <v>682</v>
      </c>
      <c r="H77" s="30"/>
      <c r="I77" s="30"/>
      <c r="J77" s="27">
        <v>100000</v>
      </c>
      <c r="K77" s="30"/>
      <c r="L77" s="31">
        <v>43396</v>
      </c>
      <c r="M77" s="31">
        <v>36526</v>
      </c>
      <c r="N77" s="31">
        <v>36526</v>
      </c>
      <c r="O77" s="31">
        <v>36526</v>
      </c>
      <c r="P77" s="30"/>
      <c r="Q77" s="30"/>
      <c r="R77" s="30"/>
      <c r="S77" s="30"/>
      <c r="T77" s="30" t="s">
        <v>702</v>
      </c>
      <c r="U77" s="30" t="s">
        <v>475</v>
      </c>
    </row>
    <row r="78" spans="1:22" ht="15">
      <c r="A78" t="s">
        <v>703</v>
      </c>
      <c r="B78" s="27" t="s">
        <v>704</v>
      </c>
      <c r="C78" s="27"/>
      <c r="D78" s="28" t="s">
        <v>473</v>
      </c>
      <c r="E78" s="27"/>
      <c r="F78" s="27" t="s">
        <v>705</v>
      </c>
      <c r="G78" s="27" t="s">
        <v>682</v>
      </c>
      <c r="H78" s="33"/>
      <c r="I78" s="33"/>
      <c r="J78" s="27">
        <v>5000</v>
      </c>
      <c r="K78" s="33"/>
      <c r="L78" s="31">
        <v>43425</v>
      </c>
      <c r="M78" s="31">
        <v>36526</v>
      </c>
      <c r="N78" s="31">
        <v>36526</v>
      </c>
      <c r="O78" s="31">
        <v>36526</v>
      </c>
      <c r="P78" s="30"/>
      <c r="Q78" s="30"/>
      <c r="R78" s="30"/>
      <c r="S78" s="30"/>
      <c r="T78" s="30"/>
      <c r="U78" s="30" t="s">
        <v>687</v>
      </c>
    </row>
    <row r="79" spans="1:22" ht="15">
      <c r="A79" t="s">
        <v>706</v>
      </c>
      <c r="B79" s="27" t="s">
        <v>707</v>
      </c>
      <c r="C79" s="27"/>
      <c r="D79" s="28" t="s">
        <v>473</v>
      </c>
      <c r="E79" s="29" t="s">
        <v>708</v>
      </c>
      <c r="F79" s="27" t="s">
        <v>709</v>
      </c>
      <c r="G79" s="27" t="s">
        <v>682</v>
      </c>
      <c r="H79" s="30"/>
      <c r="I79" s="30"/>
      <c r="J79" s="27">
        <v>10000</v>
      </c>
      <c r="K79" s="30"/>
      <c r="L79" s="31">
        <v>43427</v>
      </c>
      <c r="M79" s="31">
        <v>43769</v>
      </c>
      <c r="N79" s="31">
        <v>36526</v>
      </c>
      <c r="O79" s="31">
        <v>43769</v>
      </c>
      <c r="P79" s="30"/>
      <c r="Q79" s="30"/>
      <c r="R79" s="30"/>
      <c r="S79" s="30"/>
      <c r="T79" s="30"/>
      <c r="U79" s="30"/>
    </row>
    <row r="80" spans="1:22" ht="14">
      <c r="A80" t="s">
        <v>710</v>
      </c>
      <c r="B80" s="27" t="s">
        <v>711</v>
      </c>
      <c r="C80" s="27"/>
      <c r="D80" s="28"/>
      <c r="E80" s="27" t="s">
        <v>712</v>
      </c>
      <c r="F80" s="27" t="s">
        <v>713</v>
      </c>
      <c r="G80" s="27" t="s">
        <v>682</v>
      </c>
      <c r="H80" s="30"/>
      <c r="I80" s="30"/>
      <c r="J80" s="27">
        <v>10000</v>
      </c>
      <c r="K80" s="30"/>
      <c r="L80" s="31">
        <v>43436</v>
      </c>
      <c r="M80" s="31">
        <v>36526</v>
      </c>
      <c r="N80" s="31">
        <v>36526</v>
      </c>
      <c r="O80" s="31">
        <v>36526</v>
      </c>
      <c r="P80" s="30"/>
      <c r="Q80" s="30"/>
      <c r="R80" s="30"/>
      <c r="S80" s="30"/>
      <c r="T80" s="30"/>
      <c r="U80" s="30" t="s">
        <v>697</v>
      </c>
    </row>
    <row r="81" spans="1:21" ht="14">
      <c r="A81" t="s">
        <v>714</v>
      </c>
      <c r="B81" s="19" t="s">
        <v>715</v>
      </c>
      <c r="D81" t="s">
        <v>716</v>
      </c>
      <c r="E81" s="19" t="s">
        <v>717</v>
      </c>
      <c r="F81" s="19" t="s">
        <v>717</v>
      </c>
      <c r="G81" s="19" t="s">
        <v>627</v>
      </c>
      <c r="I81" t="s">
        <v>718</v>
      </c>
      <c r="J81" s="46">
        <v>20000</v>
      </c>
      <c r="L81" s="23">
        <v>43569</v>
      </c>
      <c r="M81" s="23" t="s">
        <v>719</v>
      </c>
      <c r="N81" s="31">
        <v>36526</v>
      </c>
      <c r="O81" s="23">
        <v>43830</v>
      </c>
      <c r="U81" s="30" t="s">
        <v>697</v>
      </c>
    </row>
    <row r="82" spans="1:21" ht="15">
      <c r="A82" t="s">
        <v>720</v>
      </c>
      <c r="B82" s="19" t="s">
        <v>721</v>
      </c>
      <c r="D82" s="28" t="s">
        <v>716</v>
      </c>
      <c r="E82" s="19" t="s">
        <v>722</v>
      </c>
      <c r="F82" s="19" t="s">
        <v>723</v>
      </c>
      <c r="G82" s="19" t="s">
        <v>627</v>
      </c>
      <c r="H82" t="s">
        <v>716</v>
      </c>
      <c r="J82" s="46">
        <v>50000</v>
      </c>
      <c r="L82" s="23" t="s">
        <v>724</v>
      </c>
      <c r="M82" s="23" t="s">
        <v>719</v>
      </c>
      <c r="N82" s="31">
        <v>36526</v>
      </c>
      <c r="O82" s="23" t="s">
        <v>719</v>
      </c>
      <c r="U82" t="s">
        <v>725</v>
      </c>
    </row>
    <row r="83" spans="1:21" ht="15">
      <c r="A83" t="s">
        <v>726</v>
      </c>
      <c r="B83" s="19" t="s">
        <v>727</v>
      </c>
      <c r="D83" s="28" t="s">
        <v>716</v>
      </c>
      <c r="E83" s="19" t="s">
        <v>728</v>
      </c>
      <c r="F83" s="19" t="s">
        <v>728</v>
      </c>
      <c r="G83" s="19" t="s">
        <v>627</v>
      </c>
      <c r="H83" s="47" t="s">
        <v>729</v>
      </c>
      <c r="J83" s="19">
        <v>1000</v>
      </c>
      <c r="L83" s="23">
        <v>43493</v>
      </c>
      <c r="M83" s="23">
        <v>43830</v>
      </c>
      <c r="N83" s="31">
        <v>36526</v>
      </c>
      <c r="O83" s="23">
        <v>43830</v>
      </c>
      <c r="U83" s="30" t="s">
        <v>730</v>
      </c>
    </row>
    <row r="84" spans="1:21">
      <c r="B84" s="19" t="s">
        <v>731</v>
      </c>
      <c r="G84" s="19" t="s">
        <v>627</v>
      </c>
    </row>
    <row r="85" spans="1:21" ht="30">
      <c r="A85" t="s">
        <v>732</v>
      </c>
      <c r="B85" s="19" t="s">
        <v>733</v>
      </c>
      <c r="D85" s="28" t="s">
        <v>624</v>
      </c>
      <c r="E85" s="19" t="s">
        <v>734</v>
      </c>
      <c r="F85" s="19" t="s">
        <v>734</v>
      </c>
      <c r="G85" s="19" t="s">
        <v>627</v>
      </c>
      <c r="J85" s="19">
        <v>400000</v>
      </c>
      <c r="L85" s="23">
        <v>43580</v>
      </c>
      <c r="O85" s="23">
        <v>43555</v>
      </c>
      <c r="U85" s="30" t="s">
        <v>730</v>
      </c>
    </row>
    <row r="86" spans="1:21" ht="14">
      <c r="A86" t="s">
        <v>735</v>
      </c>
      <c r="B86" s="27" t="s">
        <v>736</v>
      </c>
      <c r="C86" s="30"/>
      <c r="D86" s="30" t="s">
        <v>737</v>
      </c>
      <c r="E86" s="27" t="s">
        <v>738</v>
      </c>
      <c r="F86" s="27" t="s">
        <v>738</v>
      </c>
      <c r="G86" s="27" t="s">
        <v>627</v>
      </c>
      <c r="H86" s="47" t="s">
        <v>729</v>
      </c>
      <c r="I86" s="30"/>
      <c r="J86" s="27">
        <v>1000</v>
      </c>
      <c r="K86" s="30"/>
      <c r="L86" s="31">
        <v>43440</v>
      </c>
      <c r="M86" s="31">
        <v>43830</v>
      </c>
      <c r="N86" s="32"/>
      <c r="O86" s="31"/>
      <c r="P86" s="30"/>
      <c r="Q86" s="30"/>
      <c r="R86" s="30"/>
      <c r="S86" s="30"/>
      <c r="T86" s="30"/>
      <c r="U86" s="30"/>
    </row>
    <row r="87" spans="1:21" ht="14">
      <c r="A87" t="s">
        <v>739</v>
      </c>
      <c r="B87" s="27" t="s">
        <v>740</v>
      </c>
      <c r="C87" s="30"/>
      <c r="D87" s="30" t="s">
        <v>741</v>
      </c>
      <c r="E87" s="27" t="s">
        <v>742</v>
      </c>
      <c r="F87" s="27" t="s">
        <v>742</v>
      </c>
      <c r="G87" s="27" t="s">
        <v>627</v>
      </c>
      <c r="H87" s="30" t="s">
        <v>729</v>
      </c>
      <c r="I87" s="35"/>
      <c r="J87" s="27">
        <v>1000</v>
      </c>
      <c r="K87" s="30"/>
      <c r="L87" s="31">
        <v>43444</v>
      </c>
      <c r="M87" s="31">
        <v>43830</v>
      </c>
      <c r="N87" s="32"/>
      <c r="O87" s="31"/>
      <c r="P87" s="30"/>
      <c r="Q87" s="30"/>
      <c r="R87" s="30"/>
      <c r="S87" s="30"/>
      <c r="T87" s="30"/>
      <c r="U87" s="30"/>
    </row>
    <row r="88" spans="1:21" ht="14">
      <c r="A88" t="s">
        <v>743</v>
      </c>
      <c r="B88" s="27" t="s">
        <v>744</v>
      </c>
      <c r="C88" s="30"/>
      <c r="D88" s="30" t="s">
        <v>716</v>
      </c>
      <c r="E88" s="27" t="s">
        <v>745</v>
      </c>
      <c r="F88" s="27" t="s">
        <v>745</v>
      </c>
      <c r="G88" s="27" t="s">
        <v>627</v>
      </c>
      <c r="H88" s="30" t="s">
        <v>729</v>
      </c>
      <c r="I88" s="30"/>
      <c r="J88" s="27">
        <v>10000</v>
      </c>
      <c r="K88" s="30"/>
      <c r="L88" s="31">
        <v>43465</v>
      </c>
      <c r="M88" s="31">
        <v>43830</v>
      </c>
      <c r="N88" s="32"/>
      <c r="O88" s="31"/>
      <c r="P88" s="30"/>
      <c r="Q88" s="30"/>
      <c r="R88" s="30"/>
      <c r="S88" s="30"/>
      <c r="T88" s="30"/>
      <c r="U88" s="30"/>
    </row>
    <row r="89" spans="1:21" ht="14">
      <c r="A89" s="48" t="s">
        <v>746</v>
      </c>
      <c r="B89" s="27" t="s">
        <v>747</v>
      </c>
      <c r="C89" s="30"/>
      <c r="D89" s="30"/>
      <c r="E89" s="27" t="s">
        <v>748</v>
      </c>
      <c r="F89" s="27" t="s">
        <v>749</v>
      </c>
      <c r="G89" s="27" t="s">
        <v>627</v>
      </c>
      <c r="H89" s="30" t="s">
        <v>729</v>
      </c>
      <c r="I89" s="30"/>
      <c r="J89" s="27">
        <v>1000</v>
      </c>
      <c r="K89" s="30"/>
      <c r="L89" s="31">
        <v>43561</v>
      </c>
      <c r="M89" s="31">
        <v>43921</v>
      </c>
      <c r="N89" s="32"/>
      <c r="O89" s="31"/>
      <c r="P89" s="30"/>
      <c r="Q89" s="30"/>
      <c r="R89" s="30"/>
      <c r="S89" s="30"/>
      <c r="T89" s="30"/>
      <c r="U89" s="30"/>
    </row>
    <row r="90" spans="1:21" ht="14">
      <c r="A90" t="s">
        <v>750</v>
      </c>
      <c r="B90" s="27" t="s">
        <v>751</v>
      </c>
      <c r="C90" s="30"/>
      <c r="D90" s="30"/>
      <c r="E90" s="27"/>
      <c r="F90" s="27"/>
      <c r="G90" s="27" t="s">
        <v>752</v>
      </c>
      <c r="H90" s="30" t="s">
        <v>729</v>
      </c>
      <c r="I90" s="30"/>
      <c r="J90" s="27" t="s">
        <v>753</v>
      </c>
      <c r="K90" s="30"/>
      <c r="L90" s="31">
        <v>43432</v>
      </c>
      <c r="M90" s="31">
        <v>43830</v>
      </c>
      <c r="N90" s="32"/>
      <c r="O90" s="31"/>
      <c r="P90" s="30"/>
      <c r="Q90" s="30"/>
      <c r="R90" s="30"/>
      <c r="S90" s="30"/>
      <c r="T90" s="30"/>
      <c r="U90" s="30"/>
    </row>
    <row r="91" spans="1:21" ht="14">
      <c r="A91" s="48" t="s">
        <v>754</v>
      </c>
      <c r="B91" s="27" t="s">
        <v>755</v>
      </c>
      <c r="C91" s="30"/>
      <c r="D91" s="30"/>
      <c r="E91" s="27"/>
      <c r="F91" s="27"/>
      <c r="G91" s="27" t="s">
        <v>752</v>
      </c>
      <c r="H91" s="30" t="s">
        <v>729</v>
      </c>
      <c r="I91" s="30"/>
      <c r="J91" s="27" t="s">
        <v>753</v>
      </c>
      <c r="K91" s="30"/>
      <c r="L91" s="31">
        <v>43432</v>
      </c>
      <c r="M91" s="31">
        <v>43830</v>
      </c>
      <c r="N91" s="32"/>
      <c r="O91" s="31"/>
      <c r="P91" s="30"/>
      <c r="Q91" s="30"/>
      <c r="R91" s="30"/>
      <c r="S91" s="30"/>
      <c r="T91" s="30"/>
      <c r="U91" s="30"/>
    </row>
    <row r="92" spans="1:21" ht="14">
      <c r="B92" s="27" t="s">
        <v>756</v>
      </c>
      <c r="C92" s="30"/>
      <c r="D92" s="30"/>
      <c r="E92" s="27"/>
      <c r="F92" s="27"/>
      <c r="G92" s="27"/>
      <c r="H92" s="30"/>
      <c r="I92" s="30"/>
      <c r="J92" s="27"/>
      <c r="K92" s="30"/>
      <c r="L92" s="31"/>
      <c r="M92" s="31"/>
      <c r="N92" s="32"/>
      <c r="O92" s="31"/>
      <c r="P92" s="30"/>
      <c r="Q92" s="30"/>
      <c r="R92" s="30"/>
      <c r="S92" s="30"/>
      <c r="T92" s="30"/>
      <c r="U92" s="30"/>
    </row>
    <row r="93" spans="1:21" ht="14">
      <c r="A93" s="48" t="s">
        <v>757</v>
      </c>
      <c r="B93" s="19" t="s">
        <v>758</v>
      </c>
      <c r="E93" s="19" t="s">
        <v>759</v>
      </c>
      <c r="F93" s="19" t="s">
        <v>759</v>
      </c>
      <c r="G93" s="19" t="s">
        <v>627</v>
      </c>
      <c r="H93" s="30" t="s">
        <v>759</v>
      </c>
      <c r="J93" s="19">
        <v>1</v>
      </c>
      <c r="L93" s="23">
        <v>43258</v>
      </c>
      <c r="M93" s="23">
        <v>44203</v>
      </c>
      <c r="N93" s="25">
        <v>43657</v>
      </c>
      <c r="O93" s="23">
        <v>43989</v>
      </c>
      <c r="U93" s="30" t="s">
        <v>730</v>
      </c>
    </row>
  </sheetData>
  <phoneticPr fontId="3" type="noConversion"/>
  <hyperlinks>
    <hyperlink ref="I33" r:id="rId1" display="84039085/27961799@QQ.COM" xr:uid="{00000000-0004-0000-0100-000000000000}"/>
    <hyperlink ref="I34" r:id="rId2" display="93698669/XUANYU116@GMAIL.COM" xr:uid="{00000000-0004-0000-0100-000001000000}"/>
    <hyperlink ref="I2" r:id="rId3" display="98926802/zhaoxin.zhang5555@gmail.com" xr:uid="{00000000-0004-0000-0100-000002000000}"/>
    <hyperlink ref="I8" r:id="rId4" display="98586652/236360897@QQ.COM" xr:uid="{00000000-0004-0000-0100-000003000000}"/>
  </hyperlinks>
  <pageMargins left="0.7" right="0.7" top="0.75" bottom="0.75" header="0.3" footer="0.3"/>
  <pageSetup paperSize="9"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93"/>
  <sheetViews>
    <sheetView workbookViewId="0">
      <selection activeCell="A72" sqref="A72"/>
    </sheetView>
  </sheetViews>
  <sheetFormatPr baseColWidth="10" defaultColWidth="8.83203125" defaultRowHeight="13"/>
  <sheetData>
    <row r="1" spans="1:1">
      <c r="A1" t="s">
        <v>760</v>
      </c>
    </row>
    <row r="2" spans="1:1">
      <c r="A2" t="s">
        <v>761</v>
      </c>
    </row>
    <row r="3" spans="1:1">
      <c r="A3" t="s">
        <v>762</v>
      </c>
    </row>
    <row r="4" spans="1:1">
      <c r="A4" t="s">
        <v>763</v>
      </c>
    </row>
    <row r="5" spans="1:1">
      <c r="A5" t="s">
        <v>764</v>
      </c>
    </row>
    <row r="6" spans="1:1">
      <c r="A6" t="s">
        <v>765</v>
      </c>
    </row>
    <row r="7" spans="1:1">
      <c r="A7" t="s">
        <v>766</v>
      </c>
    </row>
    <row r="8" spans="1:1">
      <c r="A8" t="s">
        <v>767</v>
      </c>
    </row>
    <row r="9" spans="1:1">
      <c r="A9" t="s">
        <v>768</v>
      </c>
    </row>
    <row r="10" spans="1:1">
      <c r="A10" t="s">
        <v>769</v>
      </c>
    </row>
    <row r="11" spans="1:1">
      <c r="A11" t="s">
        <v>770</v>
      </c>
    </row>
    <row r="12" spans="1:1">
      <c r="A12" t="s">
        <v>771</v>
      </c>
    </row>
    <row r="13" spans="1:1">
      <c r="A13" t="s">
        <v>772</v>
      </c>
    </row>
    <row r="14" spans="1:1">
      <c r="A14" t="s">
        <v>773</v>
      </c>
    </row>
    <row r="15" spans="1:1">
      <c r="A15" t="s">
        <v>774</v>
      </c>
    </row>
    <row r="16" spans="1:1">
      <c r="A16" t="s">
        <v>775</v>
      </c>
    </row>
    <row r="17" spans="1:1">
      <c r="A17" t="s">
        <v>776</v>
      </c>
    </row>
    <row r="18" spans="1:1">
      <c r="A18" t="s">
        <v>777</v>
      </c>
    </row>
    <row r="19" spans="1:1">
      <c r="A19" t="s">
        <v>778</v>
      </c>
    </row>
    <row r="20" spans="1:1">
      <c r="A20" t="s">
        <v>779</v>
      </c>
    </row>
    <row r="21" spans="1:1">
      <c r="A21" t="s">
        <v>780</v>
      </c>
    </row>
    <row r="22" spans="1:1">
      <c r="A22" t="s">
        <v>781</v>
      </c>
    </row>
    <row r="23" spans="1:1">
      <c r="A23" t="s">
        <v>782</v>
      </c>
    </row>
    <row r="24" spans="1:1">
      <c r="A24" t="s">
        <v>783</v>
      </c>
    </row>
    <row r="25" spans="1:1">
      <c r="A25" t="s">
        <v>784</v>
      </c>
    </row>
    <row r="26" spans="1:1">
      <c r="A26" t="s">
        <v>785</v>
      </c>
    </row>
    <row r="27" spans="1:1">
      <c r="A27" t="s">
        <v>786</v>
      </c>
    </row>
    <row r="28" spans="1:1">
      <c r="A28" t="s">
        <v>787</v>
      </c>
    </row>
    <row r="29" spans="1:1">
      <c r="A29" t="s">
        <v>788</v>
      </c>
    </row>
    <row r="30" spans="1:1">
      <c r="A30" t="s">
        <v>789</v>
      </c>
    </row>
    <row r="31" spans="1:1">
      <c r="A31" t="s">
        <v>790</v>
      </c>
    </row>
    <row r="32" spans="1:1">
      <c r="A32" t="s">
        <v>791</v>
      </c>
    </row>
    <row r="33" spans="1:1">
      <c r="A33" t="s">
        <v>792</v>
      </c>
    </row>
    <row r="34" spans="1:1">
      <c r="A34" t="s">
        <v>793</v>
      </c>
    </row>
    <row r="35" spans="1:1">
      <c r="A35" t="s">
        <v>794</v>
      </c>
    </row>
    <row r="36" spans="1:1">
      <c r="A36" t="s">
        <v>795</v>
      </c>
    </row>
    <row r="37" spans="1:1">
      <c r="A37" t="s">
        <v>796</v>
      </c>
    </row>
    <row r="38" spans="1:1">
      <c r="A38" t="s">
        <v>797</v>
      </c>
    </row>
    <row r="39" spans="1:1">
      <c r="A39" t="s">
        <v>798</v>
      </c>
    </row>
    <row r="40" spans="1:1">
      <c r="A40" t="s">
        <v>799</v>
      </c>
    </row>
    <row r="41" spans="1:1">
      <c r="A41" t="s">
        <v>800</v>
      </c>
    </row>
    <row r="42" spans="1:1">
      <c r="A42" t="s">
        <v>801</v>
      </c>
    </row>
    <row r="43" spans="1:1">
      <c r="A43" t="s">
        <v>802</v>
      </c>
    </row>
    <row r="44" spans="1:1">
      <c r="A44" t="s">
        <v>803</v>
      </c>
    </row>
    <row r="45" spans="1:1">
      <c r="A45" t="s">
        <v>804</v>
      </c>
    </row>
    <row r="46" spans="1:1">
      <c r="A46" t="s">
        <v>805</v>
      </c>
    </row>
    <row r="47" spans="1:1">
      <c r="A47" t="s">
        <v>806</v>
      </c>
    </row>
    <row r="48" spans="1:1">
      <c r="A48" t="s">
        <v>807</v>
      </c>
    </row>
    <row r="49" spans="1:1">
      <c r="A49" t="s">
        <v>808</v>
      </c>
    </row>
    <row r="50" spans="1:1">
      <c r="A50" t="s">
        <v>809</v>
      </c>
    </row>
    <row r="51" spans="1:1">
      <c r="A51" t="s">
        <v>810</v>
      </c>
    </row>
    <row r="52" spans="1:1">
      <c r="A52" t="s">
        <v>811</v>
      </c>
    </row>
    <row r="53" spans="1:1">
      <c r="A53" t="s">
        <v>812</v>
      </c>
    </row>
    <row r="54" spans="1:1">
      <c r="A54" t="s">
        <v>813</v>
      </c>
    </row>
    <row r="55" spans="1:1">
      <c r="A55" t="s">
        <v>814</v>
      </c>
    </row>
    <row r="56" spans="1:1">
      <c r="A56" t="s">
        <v>815</v>
      </c>
    </row>
    <row r="57" spans="1:1">
      <c r="A57" t="s">
        <v>816</v>
      </c>
    </row>
    <row r="58" spans="1:1">
      <c r="A58" t="s">
        <v>817</v>
      </c>
    </row>
    <row r="59" spans="1:1">
      <c r="A59" t="s">
        <v>818</v>
      </c>
    </row>
    <row r="60" spans="1:1">
      <c r="A60" t="s">
        <v>819</v>
      </c>
    </row>
    <row r="61" spans="1:1">
      <c r="A61" t="s">
        <v>820</v>
      </c>
    </row>
    <row r="62" spans="1:1">
      <c r="A62" t="s">
        <v>821</v>
      </c>
    </row>
    <row r="63" spans="1:1">
      <c r="A63" t="s">
        <v>822</v>
      </c>
    </row>
    <row r="64" spans="1:1">
      <c r="A64" t="s">
        <v>823</v>
      </c>
    </row>
    <row r="65" spans="1:1">
      <c r="A65" t="s">
        <v>824</v>
      </c>
    </row>
    <row r="66" spans="1:1">
      <c r="A66" t="s">
        <v>825</v>
      </c>
    </row>
    <row r="67" spans="1:1">
      <c r="A67" t="s">
        <v>826</v>
      </c>
    </row>
    <row r="68" spans="1:1">
      <c r="A68" t="s">
        <v>827</v>
      </c>
    </row>
    <row r="69" spans="1:1">
      <c r="A69" t="s">
        <v>828</v>
      </c>
    </row>
    <row r="70" spans="1:1">
      <c r="A70" t="s">
        <v>829</v>
      </c>
    </row>
    <row r="71" spans="1:1">
      <c r="A71" t="s">
        <v>830</v>
      </c>
    </row>
    <row r="72" spans="1:1">
      <c r="A72" t="s">
        <v>831</v>
      </c>
    </row>
    <row r="73" spans="1:1">
      <c r="A73" t="s">
        <v>832</v>
      </c>
    </row>
    <row r="74" spans="1:1">
      <c r="A74" t="s">
        <v>833</v>
      </c>
    </row>
    <row r="75" spans="1:1">
      <c r="A75" t="s">
        <v>834</v>
      </c>
    </row>
    <row r="76" spans="1:1">
      <c r="A76" t="s">
        <v>835</v>
      </c>
    </row>
    <row r="77" spans="1:1">
      <c r="A77" t="s">
        <v>836</v>
      </c>
    </row>
    <row r="78" spans="1:1">
      <c r="A78" t="s">
        <v>837</v>
      </c>
    </row>
    <row r="79" spans="1:1">
      <c r="A79" t="s">
        <v>838</v>
      </c>
    </row>
    <row r="80" spans="1:1">
      <c r="A80" t="s">
        <v>839</v>
      </c>
    </row>
    <row r="81" spans="1:1">
      <c r="A81" t="s">
        <v>840</v>
      </c>
    </row>
    <row r="82" spans="1:1">
      <c r="A82" t="s">
        <v>841</v>
      </c>
    </row>
    <row r="83" spans="1:1">
      <c r="A83" t="s">
        <v>842</v>
      </c>
    </row>
    <row r="84" spans="1:1">
      <c r="A84" t="s">
        <v>843</v>
      </c>
    </row>
    <row r="85" spans="1:1">
      <c r="A85" t="s">
        <v>844</v>
      </c>
    </row>
    <row r="86" spans="1:1">
      <c r="A86" t="s">
        <v>845</v>
      </c>
    </row>
    <row r="87" spans="1:1">
      <c r="A87" t="s">
        <v>846</v>
      </c>
    </row>
    <row r="88" spans="1:1">
      <c r="A88" t="s">
        <v>847</v>
      </c>
    </row>
    <row r="89" spans="1:1">
      <c r="A89" t="s">
        <v>848</v>
      </c>
    </row>
    <row r="90" spans="1:1">
      <c r="A90" t="s">
        <v>849</v>
      </c>
    </row>
    <row r="91" spans="1:1">
      <c r="A91" t="s">
        <v>850</v>
      </c>
    </row>
    <row r="92" spans="1:1">
      <c r="A92" t="s">
        <v>851</v>
      </c>
    </row>
    <row r="93" spans="1:1">
      <c r="A93" t="s">
        <v>852</v>
      </c>
    </row>
  </sheetData>
  <phoneticPr fontId="3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W6"/>
  <sheetViews>
    <sheetView workbookViewId="0">
      <selection activeCell="B4" sqref="B4"/>
    </sheetView>
  </sheetViews>
  <sheetFormatPr baseColWidth="10" defaultColWidth="11.5" defaultRowHeight="13"/>
  <cols>
    <col min="1" max="1" width="11.6640625" bestFit="1" customWidth="1"/>
    <col min="2" max="2" width="39" bestFit="1" customWidth="1"/>
    <col min="3" max="4" width="7.83203125" bestFit="1" customWidth="1"/>
    <col min="5" max="5" width="11.83203125" bestFit="1" customWidth="1"/>
    <col min="6" max="6" width="5.33203125" bestFit="1" customWidth="1"/>
    <col min="7" max="7" width="9.5" bestFit="1" customWidth="1"/>
    <col min="8" max="8" width="6.1640625" bestFit="1" customWidth="1"/>
    <col min="9" max="9" width="27" customWidth="1"/>
    <col min="10" max="11" width="7.83203125" bestFit="1" customWidth="1"/>
    <col min="12" max="12" width="10.1640625" bestFit="1" customWidth="1"/>
    <col min="13" max="15" width="11.1640625" bestFit="1" customWidth="1"/>
    <col min="16" max="17" width="9.5" bestFit="1" customWidth="1"/>
    <col min="18" max="19" width="7.83203125" bestFit="1" customWidth="1"/>
    <col min="20" max="20" width="4.5" bestFit="1" customWidth="1"/>
    <col min="21" max="21" width="62" bestFit="1" customWidth="1"/>
    <col min="22" max="22" width="6.1640625" bestFit="1" customWidth="1"/>
  </cols>
  <sheetData>
    <row r="1" spans="1:23" ht="14">
      <c r="A1" t="s">
        <v>287</v>
      </c>
      <c r="B1" s="22" t="s">
        <v>288</v>
      </c>
      <c r="C1" s="21" t="s">
        <v>289</v>
      </c>
      <c r="D1" s="21" t="s">
        <v>290</v>
      </c>
      <c r="E1" s="22" t="s">
        <v>291</v>
      </c>
      <c r="F1" s="22" t="s">
        <v>292</v>
      </c>
      <c r="G1" s="22" t="s">
        <v>293</v>
      </c>
      <c r="H1" s="21" t="s">
        <v>294</v>
      </c>
      <c r="I1" s="21" t="s">
        <v>295</v>
      </c>
      <c r="J1" s="22" t="s">
        <v>296</v>
      </c>
      <c r="K1" s="21" t="s">
        <v>297</v>
      </c>
      <c r="L1" s="24" t="s">
        <v>298</v>
      </c>
      <c r="M1" s="24" t="s">
        <v>299</v>
      </c>
      <c r="N1" s="26" t="s">
        <v>300</v>
      </c>
      <c r="O1" s="24" t="s">
        <v>301</v>
      </c>
      <c r="P1" s="21" t="s">
        <v>302</v>
      </c>
      <c r="Q1" s="21" t="s">
        <v>303</v>
      </c>
      <c r="R1" s="21" t="s">
        <v>304</v>
      </c>
      <c r="S1" s="21" t="s">
        <v>305</v>
      </c>
      <c r="T1" s="21" t="s">
        <v>306</v>
      </c>
      <c r="U1" s="22" t="s">
        <v>307</v>
      </c>
      <c r="V1" s="21" t="s">
        <v>308</v>
      </c>
      <c r="W1" s="21" t="s">
        <v>853</v>
      </c>
    </row>
    <row r="2" spans="1:23" ht="42">
      <c r="A2" t="s">
        <v>656</v>
      </c>
      <c r="B2" s="27" t="s">
        <v>657</v>
      </c>
      <c r="C2" s="27"/>
      <c r="D2" s="28"/>
      <c r="E2" s="27" t="s">
        <v>658</v>
      </c>
      <c r="F2" s="27"/>
      <c r="G2" s="27" t="s">
        <v>332</v>
      </c>
      <c r="H2" s="33"/>
      <c r="I2" s="33"/>
      <c r="J2" s="27"/>
      <c r="K2" s="33"/>
      <c r="L2" s="31">
        <v>43260</v>
      </c>
      <c r="M2" s="31">
        <v>43616</v>
      </c>
      <c r="N2" s="31">
        <v>36526</v>
      </c>
      <c r="O2" s="31">
        <v>36526</v>
      </c>
      <c r="P2" s="30"/>
      <c r="Q2" s="30"/>
      <c r="R2" s="30"/>
      <c r="S2" s="30"/>
      <c r="T2" s="30"/>
      <c r="U2" s="30" t="s">
        <v>854</v>
      </c>
    </row>
    <row r="3" spans="1:23" s="71" customFormat="1" ht="56">
      <c r="A3" s="71" t="s">
        <v>622</v>
      </c>
      <c r="B3" s="72" t="s">
        <v>623</v>
      </c>
      <c r="C3" s="72"/>
      <c r="D3" s="73" t="s">
        <v>504</v>
      </c>
      <c r="E3" s="72" t="s">
        <v>625</v>
      </c>
      <c r="F3" s="72" t="s">
        <v>626</v>
      </c>
      <c r="G3" s="72" t="s">
        <v>332</v>
      </c>
      <c r="H3" s="74" t="s">
        <v>628</v>
      </c>
      <c r="I3" s="74" t="s">
        <v>629</v>
      </c>
      <c r="J3" s="72">
        <v>250000</v>
      </c>
      <c r="K3" s="74"/>
      <c r="L3" s="75">
        <v>43202</v>
      </c>
      <c r="M3" s="75">
        <v>44147</v>
      </c>
      <c r="N3" s="75">
        <v>43657</v>
      </c>
      <c r="O3" s="75">
        <v>43567</v>
      </c>
      <c r="P3" s="76"/>
      <c r="Q3" s="76"/>
      <c r="R3" s="76"/>
      <c r="S3" s="76"/>
      <c r="T3" s="76"/>
      <c r="U3" s="76" t="s">
        <v>630</v>
      </c>
    </row>
    <row r="4" spans="1:23" s="71" customFormat="1" ht="28">
      <c r="A4" s="71" t="s">
        <v>631</v>
      </c>
      <c r="B4" s="72" t="s">
        <v>632</v>
      </c>
      <c r="C4" s="72"/>
      <c r="D4" s="73" t="s">
        <v>504</v>
      </c>
      <c r="E4" s="72" t="s">
        <v>633</v>
      </c>
      <c r="F4" s="72" t="s">
        <v>634</v>
      </c>
      <c r="G4" s="72" t="s">
        <v>332</v>
      </c>
      <c r="H4" s="76"/>
      <c r="I4" s="77" t="s">
        <v>855</v>
      </c>
      <c r="J4" s="72">
        <v>500000</v>
      </c>
      <c r="K4" s="76"/>
      <c r="L4" s="75">
        <v>43207</v>
      </c>
      <c r="M4" s="75">
        <v>44152</v>
      </c>
      <c r="N4" s="75">
        <v>43657</v>
      </c>
      <c r="O4" s="75">
        <v>43572</v>
      </c>
      <c r="P4" s="76"/>
      <c r="Q4" s="76"/>
      <c r="R4" s="76"/>
      <c r="S4" s="76"/>
      <c r="T4" s="76"/>
      <c r="U4" s="76" t="s">
        <v>630</v>
      </c>
    </row>
    <row r="5" spans="1:23" ht="28">
      <c r="A5" t="s">
        <v>856</v>
      </c>
      <c r="B5" s="27" t="s">
        <v>857</v>
      </c>
      <c r="I5" s="50" t="s">
        <v>858</v>
      </c>
      <c r="L5" s="31">
        <v>43299</v>
      </c>
      <c r="M5" s="31">
        <v>43646</v>
      </c>
      <c r="W5" s="51">
        <v>43636</v>
      </c>
    </row>
    <row r="6" spans="1:23" ht="14">
      <c r="A6" t="s">
        <v>859</v>
      </c>
      <c r="B6" s="27" t="s">
        <v>860</v>
      </c>
      <c r="I6" s="50" t="s">
        <v>858</v>
      </c>
      <c r="L6" s="49">
        <v>43263</v>
      </c>
      <c r="M6" s="49">
        <v>43615</v>
      </c>
      <c r="W6" s="51">
        <v>43636</v>
      </c>
    </row>
  </sheetData>
  <phoneticPr fontId="3" type="noConversion"/>
  <hyperlinks>
    <hyperlink ref="I4" r:id="rId1" xr:uid="{00000000-0004-0000-0300-000000000000}"/>
    <hyperlink ref="I5" r:id="rId2" xr:uid="{00000000-0004-0000-0300-000001000000}"/>
    <hyperlink ref="I6" r:id="rId3" xr:uid="{00000000-0004-0000-0300-000002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filterMode="1"/>
  <dimension ref="A1:XEZ74"/>
  <sheetViews>
    <sheetView zoomScaleNormal="100" workbookViewId="0">
      <pane xSplit="5" ySplit="1" topLeftCell="N9" activePane="bottomRight" state="frozen"/>
      <selection pane="topRight" activeCell="E1" sqref="E1"/>
      <selection pane="bottomLeft" activeCell="A2" sqref="A2"/>
      <selection pane="bottomRight" activeCell="A17" sqref="A17:XFD17"/>
    </sheetView>
  </sheetViews>
  <sheetFormatPr baseColWidth="10" defaultColWidth="8.83203125" defaultRowHeight="14"/>
  <cols>
    <col min="1" max="1" width="8.83203125" style="119"/>
    <col min="2" max="2" width="7" style="119" customWidth="1"/>
    <col min="3" max="3" width="9.6640625" style="119" customWidth="1"/>
    <col min="4" max="4" width="15.6640625" style="119" customWidth="1"/>
    <col min="5" max="5" width="50" style="119" customWidth="1"/>
    <col min="6" max="6" width="12.5" style="119" customWidth="1"/>
    <col min="7" max="7" width="37.33203125" style="119" customWidth="1"/>
    <col min="8" max="8" width="46.5" style="119" customWidth="1"/>
    <col min="9" max="9" width="39.1640625" style="119" bestFit="1" customWidth="1"/>
    <col min="10" max="10" width="12.6640625" style="119" bestFit="1" customWidth="1"/>
    <col min="11" max="11" width="18.5" style="119" customWidth="1"/>
    <col min="12" max="12" width="37.6640625" style="119" customWidth="1"/>
    <col min="13" max="13" width="12.6640625" style="126" customWidth="1"/>
    <col min="14" max="14" width="12.6640625" style="119" customWidth="1"/>
    <col min="15" max="15" width="20.83203125" style="127" customWidth="1"/>
    <col min="16" max="16" width="24.5" style="127" customWidth="1"/>
    <col min="17" max="17" width="21" style="127" customWidth="1"/>
    <col min="18" max="18" width="21.6640625" style="127" customWidth="1"/>
    <col min="19" max="19" width="21.6640625" style="119" customWidth="1"/>
    <col min="20" max="20" width="19.1640625" style="119" customWidth="1"/>
    <col min="21" max="21" width="19.1640625" style="119" hidden="1" customWidth="1"/>
    <col min="22" max="22" width="14.83203125" style="119" hidden="1" customWidth="1"/>
    <col min="23" max="23" width="21.33203125" style="119" hidden="1" customWidth="1"/>
    <col min="24" max="24" width="21.5" style="119" hidden="1" customWidth="1"/>
    <col min="25" max="25" width="42.5" style="119" customWidth="1"/>
    <col min="26" max="26" width="36.1640625" style="119" customWidth="1"/>
    <col min="27" max="27" width="11.5" style="119" customWidth="1"/>
    <col min="28" max="28" width="73" style="119" customWidth="1"/>
    <col min="29" max="29" width="16.1640625" style="120" customWidth="1"/>
    <col min="30" max="16384" width="8.83203125" style="119"/>
  </cols>
  <sheetData>
    <row r="1" spans="1:30" ht="30">
      <c r="A1" s="119" t="s">
        <v>861</v>
      </c>
      <c r="B1" s="119" t="s">
        <v>862</v>
      </c>
      <c r="C1" s="120" t="s">
        <v>863</v>
      </c>
      <c r="D1" s="119" t="s">
        <v>287</v>
      </c>
      <c r="E1" s="119" t="s">
        <v>288</v>
      </c>
      <c r="F1" s="119" t="s">
        <v>289</v>
      </c>
      <c r="G1" s="119" t="s">
        <v>290</v>
      </c>
      <c r="H1" s="119" t="s">
        <v>291</v>
      </c>
      <c r="I1" s="119" t="s">
        <v>292</v>
      </c>
      <c r="J1" s="119" t="s">
        <v>293</v>
      </c>
      <c r="K1" s="119" t="s">
        <v>294</v>
      </c>
      <c r="L1" s="119" t="s">
        <v>295</v>
      </c>
      <c r="M1" s="126" t="s">
        <v>296</v>
      </c>
      <c r="N1" s="119" t="s">
        <v>297</v>
      </c>
      <c r="O1" s="122" t="s">
        <v>864</v>
      </c>
      <c r="P1" s="122" t="s">
        <v>865</v>
      </c>
      <c r="Q1" s="122" t="s">
        <v>866</v>
      </c>
      <c r="R1" s="122" t="s">
        <v>867</v>
      </c>
      <c r="S1" s="119" t="s">
        <v>868</v>
      </c>
      <c r="T1" s="119" t="s">
        <v>869</v>
      </c>
      <c r="U1" s="119" t="s">
        <v>870</v>
      </c>
      <c r="V1" s="119" t="s">
        <v>871</v>
      </c>
      <c r="W1" s="119" t="s">
        <v>872</v>
      </c>
      <c r="X1" s="119" t="s">
        <v>873</v>
      </c>
      <c r="Y1" s="119" t="s">
        <v>304</v>
      </c>
      <c r="Z1" s="119" t="s">
        <v>305</v>
      </c>
      <c r="AA1" s="119" t="s">
        <v>308</v>
      </c>
      <c r="AB1" s="119" t="s">
        <v>307</v>
      </c>
      <c r="AC1" s="120" t="s">
        <v>306</v>
      </c>
    </row>
    <row r="2" spans="1:30" ht="30" hidden="1">
      <c r="C2" s="119" t="s">
        <v>716</v>
      </c>
      <c r="D2" s="119" t="s">
        <v>874</v>
      </c>
      <c r="E2" s="120" t="s">
        <v>875</v>
      </c>
      <c r="F2" s="119" t="s">
        <v>876</v>
      </c>
      <c r="P2" s="122">
        <v>36526</v>
      </c>
      <c r="Q2" s="127" t="s">
        <v>753</v>
      </c>
      <c r="R2" s="127" t="s">
        <v>753</v>
      </c>
      <c r="AB2" s="119" t="s">
        <v>877</v>
      </c>
    </row>
    <row r="3" spans="1:30" ht="30" hidden="1">
      <c r="A3" s="147"/>
      <c r="C3" s="119" t="s">
        <v>716</v>
      </c>
      <c r="D3" s="119" t="s">
        <v>878</v>
      </c>
      <c r="E3" s="120" t="s">
        <v>879</v>
      </c>
      <c r="F3" s="119" t="s">
        <v>876</v>
      </c>
      <c r="P3" s="122">
        <v>36526</v>
      </c>
      <c r="Q3" s="127" t="s">
        <v>753</v>
      </c>
      <c r="R3" s="127" t="s">
        <v>753</v>
      </c>
      <c r="AB3" s="119" t="s">
        <v>877</v>
      </c>
    </row>
    <row r="4" spans="1:30" ht="30" hidden="1">
      <c r="C4" s="119" t="s">
        <v>716</v>
      </c>
      <c r="D4" s="119" t="s">
        <v>880</v>
      </c>
      <c r="E4" s="120" t="s">
        <v>881</v>
      </c>
      <c r="F4" s="119" t="s">
        <v>876</v>
      </c>
      <c r="G4" s="119" t="s">
        <v>716</v>
      </c>
      <c r="H4" s="119" t="s">
        <v>473</v>
      </c>
      <c r="J4" s="119" t="s">
        <v>473</v>
      </c>
      <c r="M4" s="126">
        <v>1</v>
      </c>
      <c r="O4" s="127">
        <v>42913</v>
      </c>
      <c r="P4" s="127">
        <v>36526</v>
      </c>
      <c r="Q4" s="127">
        <v>43740</v>
      </c>
      <c r="R4" s="127">
        <v>43982</v>
      </c>
      <c r="Y4" s="147" t="s">
        <v>882</v>
      </c>
      <c r="Z4" s="119" t="s">
        <v>883</v>
      </c>
      <c r="AB4" s="120" t="s">
        <v>730</v>
      </c>
    </row>
    <row r="5" spans="1:30" s="165" customFormat="1" ht="30" hidden="1">
      <c r="A5" s="119"/>
      <c r="B5" s="119"/>
      <c r="C5" s="119" t="s">
        <v>898</v>
      </c>
      <c r="D5" s="119" t="s">
        <v>899</v>
      </c>
      <c r="E5" s="120" t="s">
        <v>900</v>
      </c>
      <c r="F5" s="119" t="s">
        <v>901</v>
      </c>
      <c r="G5" s="119"/>
      <c r="H5" s="119"/>
      <c r="I5" s="119"/>
      <c r="J5" s="119"/>
      <c r="K5" s="119"/>
      <c r="L5" s="119"/>
      <c r="M5" s="126"/>
      <c r="N5" s="119"/>
      <c r="O5" s="127"/>
      <c r="P5" s="122">
        <v>36526</v>
      </c>
      <c r="Q5" s="127" t="s">
        <v>753</v>
      </c>
      <c r="R5" s="127" t="s">
        <v>753</v>
      </c>
      <c r="S5" s="119"/>
      <c r="T5" s="119"/>
      <c r="U5" s="119"/>
      <c r="V5" s="119"/>
      <c r="W5" s="119"/>
      <c r="X5" s="119"/>
      <c r="Y5" s="147" t="s">
        <v>902</v>
      </c>
      <c r="Z5" s="119"/>
      <c r="AA5" s="119"/>
      <c r="AB5" s="119" t="s">
        <v>877</v>
      </c>
      <c r="AC5" s="120"/>
    </row>
    <row r="6" spans="1:30" s="248" customFormat="1" ht="30" hidden="1">
      <c r="A6" s="119"/>
      <c r="B6" s="119"/>
      <c r="C6" s="119" t="s">
        <v>903</v>
      </c>
      <c r="D6" s="119" t="s">
        <v>899</v>
      </c>
      <c r="E6" s="120" t="s">
        <v>904</v>
      </c>
      <c r="F6" s="119" t="s">
        <v>901</v>
      </c>
      <c r="G6" s="119"/>
      <c r="H6" s="119"/>
      <c r="I6" s="119"/>
      <c r="J6" s="119"/>
      <c r="K6" s="119"/>
      <c r="L6" s="119"/>
      <c r="M6" s="126"/>
      <c r="N6" s="119"/>
      <c r="O6" s="127"/>
      <c r="P6" s="122">
        <v>36526</v>
      </c>
      <c r="Q6" s="127"/>
      <c r="R6" s="127"/>
      <c r="S6" s="119"/>
      <c r="T6" s="119"/>
      <c r="U6" s="119"/>
      <c r="V6" s="119"/>
      <c r="W6" s="119"/>
      <c r="X6" s="119"/>
      <c r="Y6" s="119"/>
      <c r="Z6" s="119"/>
      <c r="AA6" s="119"/>
      <c r="AB6" s="119" t="s">
        <v>905</v>
      </c>
      <c r="AC6" s="120"/>
      <c r="AD6" s="165"/>
    </row>
    <row r="7" spans="1:30" s="165" customFormat="1" ht="30" hidden="1">
      <c r="A7" s="119"/>
      <c r="B7" s="119"/>
      <c r="C7" s="119" t="s">
        <v>903</v>
      </c>
      <c r="D7" s="119" t="s">
        <v>899</v>
      </c>
      <c r="E7" s="120" t="s">
        <v>906</v>
      </c>
      <c r="F7" s="119" t="s">
        <v>901</v>
      </c>
      <c r="G7" s="119"/>
      <c r="H7" s="119"/>
      <c r="I7" s="119"/>
      <c r="J7" s="119"/>
      <c r="K7" s="119"/>
      <c r="L7" s="119"/>
      <c r="M7" s="126"/>
      <c r="N7" s="119"/>
      <c r="O7" s="127"/>
      <c r="P7" s="122">
        <v>36526</v>
      </c>
      <c r="Q7" s="127"/>
      <c r="R7" s="127"/>
      <c r="S7" s="119"/>
      <c r="T7" s="119"/>
      <c r="U7" s="119"/>
      <c r="V7" s="119"/>
      <c r="W7" s="119"/>
      <c r="X7" s="119"/>
      <c r="Y7" s="119"/>
      <c r="Z7" s="119"/>
      <c r="AA7" s="119"/>
      <c r="AB7" s="119" t="s">
        <v>905</v>
      </c>
      <c r="AC7" s="120"/>
    </row>
    <row r="8" spans="1:30" s="165" customFormat="1" ht="24.5" hidden="1" customHeight="1">
      <c r="A8" s="119"/>
      <c r="B8" s="119"/>
      <c r="C8" s="119" t="s">
        <v>907</v>
      </c>
      <c r="D8" s="119" t="s">
        <v>899</v>
      </c>
      <c r="E8" s="120" t="s">
        <v>908</v>
      </c>
      <c r="F8" s="119" t="s">
        <v>901</v>
      </c>
      <c r="G8" s="119"/>
      <c r="H8" s="119"/>
      <c r="I8" s="119"/>
      <c r="J8" s="119"/>
      <c r="K8" s="119"/>
      <c r="L8" s="119"/>
      <c r="M8" s="126"/>
      <c r="N8" s="119"/>
      <c r="O8" s="127"/>
      <c r="P8" s="122">
        <v>36526</v>
      </c>
      <c r="Q8" s="127"/>
      <c r="R8" s="127"/>
      <c r="S8" s="119"/>
      <c r="T8" s="119"/>
      <c r="U8" s="119"/>
      <c r="V8" s="119"/>
      <c r="W8" s="119"/>
      <c r="X8" s="119"/>
      <c r="Y8" s="119"/>
      <c r="Z8" s="119"/>
      <c r="AA8" s="119"/>
      <c r="AB8" s="119" t="s">
        <v>877</v>
      </c>
      <c r="AC8" s="120"/>
    </row>
    <row r="9" spans="1:30" ht="45">
      <c r="B9" s="147" t="s">
        <v>909</v>
      </c>
      <c r="C9" s="147"/>
      <c r="D9" s="147" t="s">
        <v>517</v>
      </c>
      <c r="E9" s="148" t="s">
        <v>910</v>
      </c>
      <c r="F9" s="148" t="s">
        <v>911</v>
      </c>
      <c r="G9" s="148" t="s">
        <v>912</v>
      </c>
      <c r="H9" s="148" t="s">
        <v>519</v>
      </c>
      <c r="I9" s="148" t="s">
        <v>520</v>
      </c>
      <c r="J9" s="148" t="s">
        <v>332</v>
      </c>
      <c r="K9" s="148"/>
      <c r="L9" s="148"/>
      <c r="M9" s="121">
        <v>257000</v>
      </c>
      <c r="N9" s="148"/>
      <c r="O9" s="149">
        <v>43335</v>
      </c>
      <c r="P9" s="122">
        <v>36526</v>
      </c>
      <c r="Q9" s="149">
        <v>43665</v>
      </c>
      <c r="R9" s="149">
        <v>43830</v>
      </c>
      <c r="S9" s="148"/>
      <c r="T9" s="148"/>
      <c r="U9" s="148"/>
      <c r="V9" s="148"/>
      <c r="W9" s="148"/>
      <c r="X9" s="148"/>
      <c r="Y9" s="147" t="s">
        <v>882</v>
      </c>
      <c r="Z9" s="148"/>
      <c r="AA9" s="148"/>
      <c r="AB9" s="148" t="s">
        <v>521</v>
      </c>
      <c r="AC9" s="148" t="s">
        <v>913</v>
      </c>
      <c r="AD9" s="153"/>
    </row>
    <row r="10" spans="1:30" ht="45">
      <c r="C10" s="119" t="s">
        <v>716</v>
      </c>
      <c r="D10" s="119" t="s">
        <v>635</v>
      </c>
      <c r="E10" s="120" t="s">
        <v>914</v>
      </c>
      <c r="F10" s="148" t="s">
        <v>911</v>
      </c>
      <c r="G10" s="120" t="s">
        <v>473</v>
      </c>
      <c r="H10" s="120" t="s">
        <v>637</v>
      </c>
      <c r="I10" s="120" t="s">
        <v>638</v>
      </c>
      <c r="J10" s="120" t="s">
        <v>332</v>
      </c>
      <c r="K10" s="125" t="s">
        <v>639</v>
      </c>
      <c r="L10" s="125" t="s">
        <v>640</v>
      </c>
      <c r="M10" s="121">
        <v>20000</v>
      </c>
      <c r="N10" s="125"/>
      <c r="O10" s="122">
        <v>43224</v>
      </c>
      <c r="P10" s="122">
        <v>36526</v>
      </c>
      <c r="Q10" s="122">
        <v>36526</v>
      </c>
      <c r="R10" s="122">
        <v>36526</v>
      </c>
      <c r="S10" s="122">
        <v>36526</v>
      </c>
      <c r="T10" s="122"/>
      <c r="U10" s="122"/>
      <c r="V10" s="122"/>
      <c r="W10" s="122"/>
      <c r="X10" s="122"/>
      <c r="Y10" s="147" t="s">
        <v>882</v>
      </c>
      <c r="Z10" s="120"/>
      <c r="AA10" s="120"/>
      <c r="AB10" s="120" t="s">
        <v>915</v>
      </c>
      <c r="AC10" s="148" t="s">
        <v>916</v>
      </c>
    </row>
    <row r="11" spans="1:30" ht="31.25" customHeight="1">
      <c r="A11" s="211">
        <v>44133</v>
      </c>
      <c r="D11" s="119" t="s">
        <v>917</v>
      </c>
      <c r="E11" s="119" t="s">
        <v>918</v>
      </c>
      <c r="F11" s="119" t="s">
        <v>919</v>
      </c>
      <c r="G11" s="120" t="s">
        <v>920</v>
      </c>
      <c r="H11" s="119" t="s">
        <v>717</v>
      </c>
      <c r="J11" s="119" t="s">
        <v>627</v>
      </c>
      <c r="M11" s="126">
        <v>1393854</v>
      </c>
      <c r="O11" s="127">
        <v>43314</v>
      </c>
      <c r="P11" s="127">
        <v>43676</v>
      </c>
      <c r="R11" s="122" t="s">
        <v>921</v>
      </c>
      <c r="T11" s="221">
        <v>44105</v>
      </c>
      <c r="AB11" s="119" t="s">
        <v>630</v>
      </c>
    </row>
    <row r="12" spans="1:30" ht="30">
      <c r="A12" s="224">
        <v>44123</v>
      </c>
      <c r="D12" s="119" t="s">
        <v>668</v>
      </c>
      <c r="E12" s="120" t="s">
        <v>669</v>
      </c>
      <c r="F12" s="120" t="s">
        <v>919</v>
      </c>
      <c r="G12" s="120" t="s">
        <v>912</v>
      </c>
      <c r="H12" s="120" t="s">
        <v>923</v>
      </c>
      <c r="I12" s="120" t="s">
        <v>924</v>
      </c>
      <c r="J12" s="120" t="s">
        <v>925</v>
      </c>
      <c r="K12" s="120"/>
      <c r="L12" s="120"/>
      <c r="M12" s="121">
        <v>10000</v>
      </c>
      <c r="N12" s="121">
        <v>10000</v>
      </c>
      <c r="O12" s="122">
        <v>43328</v>
      </c>
      <c r="P12" s="122">
        <v>44043</v>
      </c>
      <c r="Q12" s="122">
        <v>43874</v>
      </c>
      <c r="R12" s="122">
        <v>43677</v>
      </c>
      <c r="S12" s="120"/>
      <c r="T12" s="120"/>
      <c r="U12" s="120"/>
      <c r="V12" s="120"/>
      <c r="W12" s="120"/>
      <c r="X12" s="120"/>
      <c r="Y12" s="120" t="s">
        <v>926</v>
      </c>
      <c r="Z12" s="120"/>
      <c r="AA12" s="120"/>
      <c r="AB12" s="120" t="s">
        <v>672</v>
      </c>
      <c r="AC12" s="120" t="s">
        <v>927</v>
      </c>
    </row>
    <row r="13" spans="1:30" ht="30">
      <c r="A13" s="224">
        <v>44133</v>
      </c>
      <c r="D13" s="119" t="s">
        <v>78</v>
      </c>
      <c r="E13" s="120" t="s">
        <v>928</v>
      </c>
      <c r="F13" s="120" t="s">
        <v>919</v>
      </c>
      <c r="G13" s="120"/>
      <c r="H13" s="120" t="s">
        <v>494</v>
      </c>
      <c r="I13" s="120" t="s">
        <v>494</v>
      </c>
      <c r="J13" s="120" t="s">
        <v>332</v>
      </c>
      <c r="K13" s="120" t="s">
        <v>495</v>
      </c>
      <c r="L13" s="120" t="s">
        <v>496</v>
      </c>
      <c r="M13" s="121">
        <v>50000</v>
      </c>
      <c r="N13" s="120"/>
      <c r="O13" s="122">
        <v>43251</v>
      </c>
      <c r="P13" s="122">
        <v>44074</v>
      </c>
      <c r="Q13" s="122">
        <v>43879</v>
      </c>
      <c r="R13" s="122">
        <v>44074</v>
      </c>
      <c r="S13" s="120"/>
      <c r="T13" s="120"/>
      <c r="U13" s="120"/>
      <c r="V13" s="120"/>
      <c r="W13" s="120"/>
      <c r="X13" s="120"/>
      <c r="Y13" s="120"/>
      <c r="Z13" s="120"/>
      <c r="AA13" s="120"/>
      <c r="AB13" s="120" t="s">
        <v>497</v>
      </c>
      <c r="AC13" s="120" t="s">
        <v>929</v>
      </c>
    </row>
    <row r="14" spans="1:30" ht="30">
      <c r="A14" s="224"/>
      <c r="D14" s="119" t="s">
        <v>678</v>
      </c>
      <c r="E14" s="120" t="s">
        <v>679</v>
      </c>
      <c r="F14" s="120" t="s">
        <v>919</v>
      </c>
      <c r="G14" s="120" t="s">
        <v>935</v>
      </c>
      <c r="H14" s="120" t="s">
        <v>680</v>
      </c>
      <c r="I14" s="120" t="s">
        <v>681</v>
      </c>
      <c r="J14" s="120" t="s">
        <v>936</v>
      </c>
      <c r="K14" s="125"/>
      <c r="L14" s="125"/>
      <c r="M14" s="121">
        <v>300000</v>
      </c>
      <c r="N14" s="125"/>
      <c r="O14" s="122">
        <v>43375</v>
      </c>
      <c r="P14" s="122">
        <v>44104</v>
      </c>
      <c r="Q14" s="122">
        <v>43896</v>
      </c>
      <c r="R14" s="122">
        <v>43738</v>
      </c>
      <c r="S14" s="120"/>
      <c r="T14" s="211">
        <v>44105</v>
      </c>
      <c r="U14" s="120"/>
      <c r="V14" s="120"/>
      <c r="W14" s="120"/>
      <c r="X14" s="120"/>
      <c r="Y14" s="120" t="s">
        <v>937</v>
      </c>
      <c r="Z14" s="120"/>
      <c r="AA14" s="120"/>
      <c r="AB14" s="120" t="s">
        <v>938</v>
      </c>
      <c r="AC14" s="156" t="s">
        <v>939</v>
      </c>
    </row>
    <row r="15" spans="1:30" ht="30">
      <c r="A15" s="224">
        <v>44133</v>
      </c>
      <c r="D15" s="119" t="s">
        <v>693</v>
      </c>
      <c r="E15" s="120" t="s">
        <v>940</v>
      </c>
      <c r="F15" s="120" t="s">
        <v>919</v>
      </c>
      <c r="G15" s="120" t="s">
        <v>941</v>
      </c>
      <c r="H15" s="120" t="s">
        <v>695</v>
      </c>
      <c r="I15" s="120" t="s">
        <v>942</v>
      </c>
      <c r="J15" s="120" t="s">
        <v>936</v>
      </c>
      <c r="K15" s="120"/>
      <c r="L15" s="120" t="s">
        <v>696</v>
      </c>
      <c r="M15" s="121">
        <v>50000</v>
      </c>
      <c r="N15" s="120"/>
      <c r="O15" s="122">
        <v>43392</v>
      </c>
      <c r="P15" s="122">
        <v>44104</v>
      </c>
      <c r="Q15" s="122">
        <v>43916</v>
      </c>
      <c r="R15" s="122">
        <v>43738</v>
      </c>
      <c r="S15" s="120"/>
      <c r="T15" s="211">
        <v>44105</v>
      </c>
      <c r="U15" s="120"/>
      <c r="V15" s="120"/>
      <c r="W15" s="120"/>
      <c r="X15" s="120"/>
      <c r="Y15" s="120" t="s">
        <v>943</v>
      </c>
      <c r="Z15" s="120"/>
      <c r="AA15" s="120"/>
      <c r="AB15" s="120" t="s">
        <v>730</v>
      </c>
      <c r="AC15" s="156" t="s">
        <v>939</v>
      </c>
    </row>
    <row r="16" spans="1:30" ht="15">
      <c r="A16" s="211">
        <v>44133</v>
      </c>
      <c r="D16" s="119" t="s">
        <v>944</v>
      </c>
      <c r="E16" s="119" t="s">
        <v>945</v>
      </c>
      <c r="F16" s="119" t="s">
        <v>919</v>
      </c>
      <c r="G16" s="119" t="s">
        <v>946</v>
      </c>
      <c r="H16" s="119" t="s">
        <v>947</v>
      </c>
      <c r="I16" s="119" t="s">
        <v>947</v>
      </c>
      <c r="J16" s="119" t="s">
        <v>627</v>
      </c>
      <c r="M16" s="126">
        <v>10000</v>
      </c>
      <c r="O16" s="127">
        <v>43742</v>
      </c>
      <c r="P16" s="127">
        <v>44104</v>
      </c>
      <c r="Q16" s="127" t="s">
        <v>753</v>
      </c>
      <c r="R16" s="127" t="s">
        <v>753</v>
      </c>
      <c r="AB16" s="120" t="s">
        <v>630</v>
      </c>
    </row>
    <row r="17" spans="1:30" s="165" customFormat="1" ht="30">
      <c r="A17" s="249">
        <v>44133</v>
      </c>
      <c r="D17" s="165" t="s">
        <v>951</v>
      </c>
      <c r="E17" s="231" t="s">
        <v>952</v>
      </c>
      <c r="F17" s="165" t="s">
        <v>919</v>
      </c>
      <c r="G17" s="165" t="s">
        <v>912</v>
      </c>
      <c r="H17" s="165" t="s">
        <v>953</v>
      </c>
      <c r="I17" s="165" t="s">
        <v>953</v>
      </c>
      <c r="J17" s="165" t="s">
        <v>936</v>
      </c>
      <c r="M17" s="229">
        <v>1000000</v>
      </c>
      <c r="O17" s="230">
        <v>43391</v>
      </c>
      <c r="P17" s="230">
        <v>44195</v>
      </c>
      <c r="Q17" s="230">
        <v>44033</v>
      </c>
      <c r="R17" s="230">
        <v>43829</v>
      </c>
      <c r="T17" s="249">
        <v>44105</v>
      </c>
      <c r="U17" s="119"/>
      <c r="V17" s="119"/>
      <c r="W17" s="119"/>
      <c r="X17" s="119"/>
      <c r="Y17" s="165" t="s">
        <v>954</v>
      </c>
      <c r="AB17" s="165" t="s">
        <v>955</v>
      </c>
      <c r="AC17" s="231"/>
    </row>
    <row r="18" spans="1:30" ht="60">
      <c r="A18" s="221">
        <v>44133</v>
      </c>
      <c r="D18" s="119" t="s">
        <v>662</v>
      </c>
      <c r="E18" s="120" t="s">
        <v>663</v>
      </c>
      <c r="F18" s="120" t="s">
        <v>919</v>
      </c>
      <c r="G18" s="120" t="s">
        <v>912</v>
      </c>
      <c r="H18" s="120" t="s">
        <v>664</v>
      </c>
      <c r="I18" s="120" t="s">
        <v>665</v>
      </c>
      <c r="J18" s="120" t="s">
        <v>936</v>
      </c>
      <c r="K18" s="120" t="s">
        <v>666</v>
      </c>
      <c r="L18" s="120" t="s">
        <v>667</v>
      </c>
      <c r="M18" s="121">
        <v>5000</v>
      </c>
      <c r="N18" s="120"/>
      <c r="O18" s="122">
        <v>43299</v>
      </c>
      <c r="P18" s="122">
        <v>44196</v>
      </c>
      <c r="Q18" s="122">
        <v>44025</v>
      </c>
      <c r="R18" s="122">
        <v>43664</v>
      </c>
      <c r="S18" s="120"/>
      <c r="T18" s="211">
        <v>44105</v>
      </c>
      <c r="U18" s="120"/>
      <c r="V18" s="120"/>
      <c r="W18" s="120"/>
      <c r="X18" s="120"/>
      <c r="Y18" s="120" t="s">
        <v>963</v>
      </c>
      <c r="Z18" s="120"/>
      <c r="AA18" s="120"/>
      <c r="AB18" s="120" t="s">
        <v>964</v>
      </c>
    </row>
    <row r="19" spans="1:30" ht="15">
      <c r="A19" s="211">
        <v>44133</v>
      </c>
      <c r="D19" s="119" t="s">
        <v>512</v>
      </c>
      <c r="E19" s="120" t="s">
        <v>956</v>
      </c>
      <c r="F19" s="120" t="s">
        <v>919</v>
      </c>
      <c r="G19" s="120"/>
      <c r="H19" s="120" t="s">
        <v>514</v>
      </c>
      <c r="I19" s="120" t="s">
        <v>514</v>
      </c>
      <c r="J19" s="120" t="s">
        <v>936</v>
      </c>
      <c r="K19" s="120" t="s">
        <v>515</v>
      </c>
      <c r="L19" s="120" t="s">
        <v>516</v>
      </c>
      <c r="M19" s="121">
        <v>20000</v>
      </c>
      <c r="N19" s="120"/>
      <c r="O19" s="122">
        <v>43221</v>
      </c>
      <c r="P19" s="122">
        <v>44196</v>
      </c>
      <c r="Q19" s="122">
        <v>44064</v>
      </c>
      <c r="R19" s="122">
        <v>43830</v>
      </c>
      <c r="S19" s="120"/>
      <c r="T19" s="216">
        <v>44123</v>
      </c>
      <c r="U19" s="120"/>
      <c r="V19" s="122">
        <f>R19+90</f>
        <v>43920</v>
      </c>
      <c r="W19" s="120"/>
      <c r="X19" s="120"/>
      <c r="Y19" s="120" t="s">
        <v>957</v>
      </c>
      <c r="Z19" s="120"/>
      <c r="AA19" s="120"/>
      <c r="AB19" s="120" t="s">
        <v>958</v>
      </c>
    </row>
    <row r="20" spans="1:30" ht="15">
      <c r="A20" s="165"/>
      <c r="D20" s="119" t="s">
        <v>234</v>
      </c>
      <c r="E20" s="119" t="s">
        <v>235</v>
      </c>
      <c r="F20" s="119" t="s">
        <v>919</v>
      </c>
      <c r="G20" s="119" t="s">
        <v>912</v>
      </c>
      <c r="H20" s="119" t="s">
        <v>959</v>
      </c>
      <c r="I20" s="119" t="s">
        <v>960</v>
      </c>
      <c r="J20" s="119" t="s">
        <v>936</v>
      </c>
      <c r="L20" s="157" t="s">
        <v>961</v>
      </c>
      <c r="M20" s="126">
        <v>100000</v>
      </c>
      <c r="O20" s="127">
        <v>42831</v>
      </c>
      <c r="P20" s="127">
        <v>44196</v>
      </c>
      <c r="Q20" s="127">
        <v>43727</v>
      </c>
      <c r="R20" s="127">
        <v>43830</v>
      </c>
      <c r="T20" s="211">
        <v>44105</v>
      </c>
      <c r="V20" s="127">
        <v>43945</v>
      </c>
      <c r="Y20" s="119" t="s">
        <v>954</v>
      </c>
      <c r="AB20" s="119" t="s">
        <v>962</v>
      </c>
      <c r="AC20" s="120" t="s">
        <v>922</v>
      </c>
    </row>
    <row r="21" spans="1:30" ht="15">
      <c r="A21" s="211">
        <v>44133</v>
      </c>
      <c r="D21" s="119" t="s">
        <v>965</v>
      </c>
      <c r="E21" s="120" t="s">
        <v>704</v>
      </c>
      <c r="F21" s="120" t="s">
        <v>919</v>
      </c>
      <c r="G21" s="120" t="s">
        <v>473</v>
      </c>
      <c r="H21" s="120"/>
      <c r="I21" s="120" t="s">
        <v>705</v>
      </c>
      <c r="J21" s="120" t="s">
        <v>682</v>
      </c>
      <c r="K21" s="125"/>
      <c r="L21" s="125"/>
      <c r="M21" s="121">
        <v>5000</v>
      </c>
      <c r="N21" s="125"/>
      <c r="O21" s="122">
        <v>43425</v>
      </c>
      <c r="P21" s="122">
        <v>44196</v>
      </c>
      <c r="Q21" s="122">
        <v>43837</v>
      </c>
      <c r="R21" s="122">
        <v>43830</v>
      </c>
      <c r="S21" s="120"/>
      <c r="T21" s="120"/>
      <c r="U21" s="120"/>
      <c r="V21" s="120"/>
      <c r="W21" s="120"/>
      <c r="X21" s="120"/>
      <c r="Y21" s="120" t="s">
        <v>926</v>
      </c>
      <c r="Z21" s="120"/>
      <c r="AA21" s="120"/>
      <c r="AB21" s="120" t="s">
        <v>877</v>
      </c>
      <c r="AC21" s="120" t="s">
        <v>922</v>
      </c>
    </row>
    <row r="22" spans="1:30" ht="30">
      <c r="A22" s="221">
        <v>44133</v>
      </c>
      <c r="D22" s="119" t="s">
        <v>966</v>
      </c>
      <c r="E22" s="119" t="s">
        <v>967</v>
      </c>
      <c r="F22" s="119" t="s">
        <v>919</v>
      </c>
      <c r="G22" s="119" t="s">
        <v>968</v>
      </c>
      <c r="H22" s="119" t="s">
        <v>947</v>
      </c>
      <c r="I22" s="119" t="s">
        <v>947</v>
      </c>
      <c r="J22" s="119" t="s">
        <v>936</v>
      </c>
      <c r="M22" s="126">
        <v>10000</v>
      </c>
      <c r="O22" s="127">
        <v>43442</v>
      </c>
      <c r="P22" s="127">
        <v>44196</v>
      </c>
      <c r="Q22" s="127">
        <v>44117</v>
      </c>
      <c r="R22" s="127">
        <v>43830</v>
      </c>
      <c r="T22" s="211">
        <v>44105</v>
      </c>
      <c r="Y22" s="119" t="s">
        <v>969</v>
      </c>
      <c r="AB22" s="120" t="s">
        <v>970</v>
      </c>
      <c r="AD22" s="147"/>
    </row>
    <row r="23" spans="1:30">
      <c r="A23" s="165"/>
      <c r="C23" s="119" t="s">
        <v>971</v>
      </c>
      <c r="D23" s="119" t="s">
        <v>972</v>
      </c>
      <c r="E23" s="119" t="s">
        <v>973</v>
      </c>
      <c r="F23" s="119" t="s">
        <v>919</v>
      </c>
      <c r="G23" s="119" t="s">
        <v>946</v>
      </c>
      <c r="H23" s="119" t="s">
        <v>974</v>
      </c>
      <c r="I23" s="119" t="s">
        <v>974</v>
      </c>
      <c r="J23" s="119" t="s">
        <v>936</v>
      </c>
      <c r="K23" s="119" t="s">
        <v>971</v>
      </c>
      <c r="M23" s="126">
        <v>1000000</v>
      </c>
      <c r="N23" s="126">
        <v>1000000</v>
      </c>
      <c r="O23" s="127">
        <v>43763</v>
      </c>
      <c r="P23" s="127">
        <v>44196</v>
      </c>
      <c r="Q23" s="127" t="s">
        <v>753</v>
      </c>
      <c r="R23" s="127" t="s">
        <v>753</v>
      </c>
      <c r="AB23" s="119" t="s">
        <v>877</v>
      </c>
    </row>
    <row r="24" spans="1:30" ht="15">
      <c r="A24" s="221">
        <v>44133</v>
      </c>
      <c r="B24" s="119" t="s">
        <v>909</v>
      </c>
      <c r="D24" s="119" t="s">
        <v>591</v>
      </c>
      <c r="E24" s="120" t="s">
        <v>975</v>
      </c>
      <c r="F24" s="120" t="s">
        <v>919</v>
      </c>
      <c r="G24" s="120" t="s">
        <v>976</v>
      </c>
      <c r="H24" s="120" t="s">
        <v>594</v>
      </c>
      <c r="I24" s="120" t="s">
        <v>594</v>
      </c>
      <c r="J24" s="120" t="s">
        <v>627</v>
      </c>
      <c r="K24" s="120"/>
      <c r="L24" s="120"/>
      <c r="M24" s="121">
        <v>10000</v>
      </c>
      <c r="N24" s="120"/>
      <c r="O24" s="122">
        <v>43054</v>
      </c>
      <c r="P24" s="122">
        <v>44227</v>
      </c>
      <c r="Q24" s="122">
        <v>44062</v>
      </c>
      <c r="R24" s="122">
        <v>43861</v>
      </c>
      <c r="S24" s="120"/>
      <c r="T24" s="120"/>
      <c r="U24" s="120"/>
      <c r="V24" s="120"/>
      <c r="W24" s="120"/>
      <c r="X24" s="120"/>
      <c r="Y24" s="120" t="s">
        <v>977</v>
      </c>
      <c r="Z24" s="120"/>
      <c r="AA24" s="120"/>
      <c r="AB24" s="120" t="s">
        <v>630</v>
      </c>
      <c r="AC24" s="120" t="s">
        <v>978</v>
      </c>
    </row>
    <row r="25" spans="1:30" ht="15">
      <c r="A25" s="221">
        <v>44133</v>
      </c>
      <c r="B25" s="119" t="s">
        <v>909</v>
      </c>
      <c r="D25" s="119" t="s">
        <v>607</v>
      </c>
      <c r="E25" s="120" t="s">
        <v>608</v>
      </c>
      <c r="F25" s="120" t="s">
        <v>919</v>
      </c>
      <c r="G25" s="120" t="s">
        <v>979</v>
      </c>
      <c r="H25" s="120" t="s">
        <v>609</v>
      </c>
      <c r="I25" s="120" t="s">
        <v>610</v>
      </c>
      <c r="J25" s="120" t="s">
        <v>936</v>
      </c>
      <c r="K25" s="125"/>
      <c r="L25" s="125"/>
      <c r="M25" s="121">
        <v>10000</v>
      </c>
      <c r="N25" s="125"/>
      <c r="O25" s="122">
        <v>43151</v>
      </c>
      <c r="P25" s="122">
        <v>44227</v>
      </c>
      <c r="Q25" s="122">
        <v>44064</v>
      </c>
      <c r="R25" s="122">
        <v>43861</v>
      </c>
      <c r="S25" s="120"/>
      <c r="T25" s="120"/>
      <c r="U25" s="120"/>
      <c r="V25" s="122">
        <f>R25+90</f>
        <v>43951</v>
      </c>
      <c r="W25" s="120"/>
      <c r="X25" s="120"/>
      <c r="Y25" s="120" t="s">
        <v>977</v>
      </c>
      <c r="Z25" s="120"/>
      <c r="AA25" s="120"/>
      <c r="AB25" s="120" t="s">
        <v>630</v>
      </c>
      <c r="AC25" s="120" t="s">
        <v>978</v>
      </c>
    </row>
    <row r="26" spans="1:30">
      <c r="C26" s="119" t="s">
        <v>907</v>
      </c>
      <c r="D26" s="119" t="s">
        <v>980</v>
      </c>
      <c r="E26" s="119" t="s">
        <v>981</v>
      </c>
      <c r="F26" s="119" t="s">
        <v>919</v>
      </c>
      <c r="G26" s="119" t="s">
        <v>935</v>
      </c>
      <c r="H26" s="119" t="s">
        <v>982</v>
      </c>
      <c r="I26" s="119" t="s">
        <v>982</v>
      </c>
      <c r="J26" s="119" t="s">
        <v>936</v>
      </c>
      <c r="K26" s="119" t="s">
        <v>983</v>
      </c>
      <c r="M26" s="126">
        <v>2500000</v>
      </c>
      <c r="O26" s="127">
        <v>43886</v>
      </c>
      <c r="P26" s="127">
        <v>44227</v>
      </c>
      <c r="R26" s="127">
        <v>44227</v>
      </c>
      <c r="AB26" s="119" t="s">
        <v>877</v>
      </c>
    </row>
    <row r="27" spans="1:30" ht="30">
      <c r="A27" s="221">
        <v>44133</v>
      </c>
      <c r="D27" s="119" t="s">
        <v>984</v>
      </c>
      <c r="E27" s="119" t="s">
        <v>985</v>
      </c>
      <c r="F27" s="119" t="s">
        <v>919</v>
      </c>
      <c r="G27" s="120" t="s">
        <v>986</v>
      </c>
      <c r="H27" s="120" t="s">
        <v>987</v>
      </c>
      <c r="I27" s="119" t="s">
        <v>988</v>
      </c>
      <c r="J27" s="119" t="s">
        <v>627</v>
      </c>
      <c r="M27" s="126">
        <v>5000</v>
      </c>
      <c r="O27" s="127">
        <v>43525</v>
      </c>
      <c r="P27" s="127">
        <v>44255</v>
      </c>
      <c r="Q27" s="127">
        <v>44092</v>
      </c>
      <c r="R27" s="127">
        <v>43889</v>
      </c>
      <c r="T27" s="211">
        <v>44515</v>
      </c>
      <c r="AB27" s="119" t="s">
        <v>989</v>
      </c>
    </row>
    <row r="28" spans="1:30" ht="30" hidden="1">
      <c r="A28" s="165"/>
      <c r="B28" s="165"/>
      <c r="C28" s="165" t="s">
        <v>884</v>
      </c>
      <c r="D28" s="165" t="s">
        <v>2337</v>
      </c>
      <c r="E28" s="231" t="s">
        <v>885</v>
      </c>
      <c r="F28" s="247" t="s">
        <v>876</v>
      </c>
      <c r="G28" s="165" t="s">
        <v>886</v>
      </c>
      <c r="H28" s="165"/>
      <c r="I28" s="165"/>
      <c r="J28" s="165"/>
      <c r="K28" s="165"/>
      <c r="L28" s="165"/>
      <c r="M28" s="229"/>
      <c r="N28" s="165"/>
      <c r="O28" s="230"/>
      <c r="P28" s="230">
        <v>44286</v>
      </c>
      <c r="Q28" s="230" t="s">
        <v>753</v>
      </c>
      <c r="R28" s="230" t="s">
        <v>753</v>
      </c>
      <c r="S28" s="165"/>
      <c r="T28" s="165"/>
      <c r="U28" s="165"/>
      <c r="V28" s="165"/>
      <c r="W28" s="165"/>
      <c r="X28" s="165"/>
      <c r="Y28" s="248" t="s">
        <v>887</v>
      </c>
      <c r="Z28" s="165"/>
      <c r="AA28" s="165"/>
      <c r="AB28" s="165" t="s">
        <v>877</v>
      </c>
      <c r="AC28" s="231"/>
    </row>
    <row r="29" spans="1:30" ht="30" hidden="1">
      <c r="A29" s="165"/>
      <c r="B29" s="165"/>
      <c r="C29" s="165" t="s">
        <v>884</v>
      </c>
      <c r="D29" s="165" t="s">
        <v>888</v>
      </c>
      <c r="E29" s="231" t="s">
        <v>889</v>
      </c>
      <c r="F29" s="247" t="s">
        <v>876</v>
      </c>
      <c r="G29" s="165" t="s">
        <v>886</v>
      </c>
      <c r="H29" s="165"/>
      <c r="I29" s="165"/>
      <c r="J29" s="165"/>
      <c r="K29" s="165"/>
      <c r="L29" s="165"/>
      <c r="M29" s="229">
        <v>1</v>
      </c>
      <c r="N29" s="165">
        <v>1</v>
      </c>
      <c r="O29" s="230">
        <v>43922</v>
      </c>
      <c r="P29" s="230">
        <v>44286</v>
      </c>
      <c r="Q29" s="230" t="s">
        <v>753</v>
      </c>
      <c r="R29" s="230" t="s">
        <v>753</v>
      </c>
      <c r="S29" s="165"/>
      <c r="T29" s="165"/>
      <c r="U29" s="165"/>
      <c r="V29" s="165"/>
      <c r="W29" s="165"/>
      <c r="X29" s="165"/>
      <c r="Y29" s="248" t="s">
        <v>887</v>
      </c>
      <c r="Z29" s="165"/>
      <c r="AA29" s="165"/>
      <c r="AB29" s="165" t="s">
        <v>877</v>
      </c>
      <c r="AC29" s="231"/>
    </row>
    <row r="30" spans="1:30" ht="30" hidden="1">
      <c r="A30" s="165"/>
      <c r="B30" s="165"/>
      <c r="C30" s="165" t="s">
        <v>884</v>
      </c>
      <c r="D30" s="165" t="s">
        <v>890</v>
      </c>
      <c r="E30" s="231" t="s">
        <v>891</v>
      </c>
      <c r="F30" s="247" t="s">
        <v>876</v>
      </c>
      <c r="G30" s="165" t="s">
        <v>886</v>
      </c>
      <c r="H30" s="165"/>
      <c r="I30" s="165"/>
      <c r="J30" s="165"/>
      <c r="K30" s="165"/>
      <c r="L30" s="165"/>
      <c r="M30" s="229"/>
      <c r="N30" s="165"/>
      <c r="O30" s="230"/>
      <c r="P30" s="230">
        <v>44286</v>
      </c>
      <c r="Q30" s="230" t="s">
        <v>753</v>
      </c>
      <c r="R30" s="230" t="s">
        <v>753</v>
      </c>
      <c r="S30" s="165"/>
      <c r="T30" s="165"/>
      <c r="U30" s="165"/>
      <c r="V30" s="165"/>
      <c r="W30" s="165"/>
      <c r="X30" s="165"/>
      <c r="Y30" s="248" t="s">
        <v>887</v>
      </c>
      <c r="Z30" s="165"/>
      <c r="AA30" s="165"/>
      <c r="AB30" s="165" t="s">
        <v>877</v>
      </c>
      <c r="AC30" s="231"/>
    </row>
    <row r="31" spans="1:30" ht="30" hidden="1">
      <c r="A31" s="165"/>
      <c r="B31" s="165"/>
      <c r="C31" s="165" t="s">
        <v>884</v>
      </c>
      <c r="D31" s="165" t="s">
        <v>892</v>
      </c>
      <c r="E31" s="231" t="s">
        <v>893</v>
      </c>
      <c r="F31" s="247" t="s">
        <v>876</v>
      </c>
      <c r="G31" s="165" t="s">
        <v>886</v>
      </c>
      <c r="H31" s="165"/>
      <c r="I31" s="165"/>
      <c r="J31" s="165"/>
      <c r="K31" s="165"/>
      <c r="L31" s="165"/>
      <c r="M31" s="229"/>
      <c r="N31" s="165"/>
      <c r="O31" s="230"/>
      <c r="P31" s="230">
        <v>44286</v>
      </c>
      <c r="Q31" s="230" t="s">
        <v>753</v>
      </c>
      <c r="R31" s="230" t="s">
        <v>753</v>
      </c>
      <c r="S31" s="165"/>
      <c r="T31" s="165"/>
      <c r="U31" s="165"/>
      <c r="V31" s="165"/>
      <c r="W31" s="165"/>
      <c r="X31" s="165"/>
      <c r="Y31" s="248" t="s">
        <v>887</v>
      </c>
      <c r="Z31" s="165"/>
      <c r="AA31" s="165"/>
      <c r="AB31" s="165"/>
      <c r="AC31" s="231"/>
    </row>
    <row r="32" spans="1:30" ht="30">
      <c r="A32" s="211">
        <v>44133</v>
      </c>
      <c r="D32" s="119" t="s">
        <v>714</v>
      </c>
      <c r="E32" s="119" t="s">
        <v>715</v>
      </c>
      <c r="F32" s="119" t="s">
        <v>919</v>
      </c>
      <c r="G32" s="119" t="s">
        <v>716</v>
      </c>
      <c r="H32" s="120" t="s">
        <v>995</v>
      </c>
      <c r="I32" s="120" t="s">
        <v>995</v>
      </c>
      <c r="J32" s="238" t="s">
        <v>996</v>
      </c>
      <c r="L32" s="119" t="s">
        <v>718</v>
      </c>
      <c r="M32" s="126">
        <v>20000</v>
      </c>
      <c r="N32" s="126">
        <v>20000</v>
      </c>
      <c r="O32" s="127">
        <v>43569</v>
      </c>
      <c r="P32" s="127">
        <v>44286</v>
      </c>
      <c r="Q32" s="122">
        <v>44132</v>
      </c>
      <c r="R32" s="127">
        <v>43921</v>
      </c>
      <c r="AB32" s="120" t="s">
        <v>997</v>
      </c>
    </row>
    <row r="33" spans="1:29" ht="30">
      <c r="A33" s="221">
        <v>44133</v>
      </c>
      <c r="B33" s="150" t="s">
        <v>909</v>
      </c>
      <c r="C33" s="150"/>
      <c r="D33" s="150" t="s">
        <v>527</v>
      </c>
      <c r="E33" s="144" t="s">
        <v>528</v>
      </c>
      <c r="F33" s="144" t="s">
        <v>919</v>
      </c>
      <c r="G33" s="144" t="s">
        <v>912</v>
      </c>
      <c r="H33" s="144" t="s">
        <v>998</v>
      </c>
      <c r="I33" s="144" t="s">
        <v>999</v>
      </c>
      <c r="J33" s="144" t="s">
        <v>936</v>
      </c>
      <c r="K33" s="144" t="s">
        <v>531</v>
      </c>
      <c r="L33" s="144" t="s">
        <v>532</v>
      </c>
      <c r="M33" s="151">
        <v>5000</v>
      </c>
      <c r="N33" s="144">
        <v>5000</v>
      </c>
      <c r="O33" s="152">
        <v>42776</v>
      </c>
      <c r="P33" s="152">
        <v>44286</v>
      </c>
      <c r="Q33" s="152">
        <v>44104</v>
      </c>
      <c r="R33" s="152">
        <v>43921</v>
      </c>
      <c r="S33" s="144"/>
      <c r="T33" s="144"/>
      <c r="U33" s="144"/>
      <c r="V33" s="144"/>
      <c r="W33" s="144"/>
      <c r="X33" s="144"/>
      <c r="Y33" s="120" t="s">
        <v>977</v>
      </c>
      <c r="Z33" s="144"/>
      <c r="AA33" s="144"/>
      <c r="AB33" s="144" t="s">
        <v>533</v>
      </c>
      <c r="AC33" s="144" t="s">
        <v>1000</v>
      </c>
    </row>
    <row r="34" spans="1:29" ht="30">
      <c r="A34" s="221">
        <v>44133</v>
      </c>
      <c r="B34" s="119" t="s">
        <v>1001</v>
      </c>
      <c r="D34" s="119" t="s">
        <v>631</v>
      </c>
      <c r="E34" s="120" t="s">
        <v>632</v>
      </c>
      <c r="F34" s="120" t="s">
        <v>919</v>
      </c>
      <c r="G34" s="120" t="s">
        <v>1004</v>
      </c>
      <c r="H34" s="120" t="s">
        <v>1005</v>
      </c>
      <c r="I34" s="120" t="s">
        <v>1006</v>
      </c>
      <c r="J34" s="120" t="s">
        <v>936</v>
      </c>
      <c r="K34" s="120"/>
      <c r="L34" s="120"/>
      <c r="M34" s="121">
        <v>500000</v>
      </c>
      <c r="N34" s="120">
        <v>1</v>
      </c>
      <c r="O34" s="122">
        <v>43207</v>
      </c>
      <c r="P34" s="122">
        <v>44286</v>
      </c>
      <c r="Q34" s="122">
        <v>44104</v>
      </c>
      <c r="R34" s="122">
        <v>43921</v>
      </c>
      <c r="S34" s="120"/>
      <c r="T34" s="120"/>
      <c r="U34" s="120"/>
      <c r="V34" s="120"/>
      <c r="W34" s="120"/>
      <c r="X34" s="120"/>
      <c r="Y34" s="120" t="s">
        <v>1003</v>
      </c>
      <c r="Z34" s="120"/>
      <c r="AA34" s="120"/>
      <c r="AB34" s="119" t="s">
        <v>877</v>
      </c>
      <c r="AC34" s="120" t="s">
        <v>1007</v>
      </c>
    </row>
    <row r="35" spans="1:29">
      <c r="A35" s="119" t="s">
        <v>1008</v>
      </c>
      <c r="D35" s="119" t="s">
        <v>1009</v>
      </c>
      <c r="E35" s="119" t="s">
        <v>1010</v>
      </c>
      <c r="F35" s="119" t="s">
        <v>919</v>
      </c>
      <c r="G35" s="119" t="s">
        <v>912</v>
      </c>
      <c r="H35" s="119" t="s">
        <v>1011</v>
      </c>
      <c r="I35" s="119" t="s">
        <v>1011</v>
      </c>
      <c r="J35" s="119" t="s">
        <v>936</v>
      </c>
      <c r="K35" s="119" t="s">
        <v>1012</v>
      </c>
      <c r="L35" s="157" t="s">
        <v>1013</v>
      </c>
      <c r="M35" s="126">
        <v>1000</v>
      </c>
      <c r="O35" s="127">
        <v>43951</v>
      </c>
      <c r="P35" s="127">
        <v>44286</v>
      </c>
      <c r="R35" s="127">
        <v>44286</v>
      </c>
      <c r="Y35" s="119" t="s">
        <v>1014</v>
      </c>
      <c r="AB35" s="119" t="s">
        <v>877</v>
      </c>
    </row>
    <row r="36" spans="1:29" ht="30">
      <c r="A36" s="221">
        <v>44133</v>
      </c>
      <c r="B36" s="119" t="s">
        <v>1001</v>
      </c>
      <c r="D36" s="119" t="s">
        <v>622</v>
      </c>
      <c r="E36" s="120" t="s">
        <v>623</v>
      </c>
      <c r="F36" s="120" t="s">
        <v>919</v>
      </c>
      <c r="G36" s="120" t="s">
        <v>946</v>
      </c>
      <c r="H36" s="120" t="s">
        <v>625</v>
      </c>
      <c r="I36" s="120" t="s">
        <v>626</v>
      </c>
      <c r="J36" s="120" t="s">
        <v>627</v>
      </c>
      <c r="K36" s="125" t="s">
        <v>628</v>
      </c>
      <c r="L36" s="125" t="s">
        <v>629</v>
      </c>
      <c r="M36" s="121">
        <v>250000</v>
      </c>
      <c r="N36" s="125"/>
      <c r="O36" s="122">
        <v>43202</v>
      </c>
      <c r="P36" s="122">
        <v>44286</v>
      </c>
      <c r="Q36" s="122">
        <v>44117</v>
      </c>
      <c r="R36" s="122" t="s">
        <v>1002</v>
      </c>
      <c r="S36" s="120"/>
      <c r="T36" s="120"/>
      <c r="U36" s="120"/>
      <c r="V36" s="120"/>
      <c r="W36" s="120"/>
      <c r="X36" s="120"/>
      <c r="Y36" s="120" t="s">
        <v>1003</v>
      </c>
      <c r="Z36" s="120"/>
      <c r="AA36" s="120"/>
      <c r="AB36" s="120" t="s">
        <v>630</v>
      </c>
      <c r="AC36" s="120" t="s">
        <v>978</v>
      </c>
    </row>
    <row r="37" spans="1:29">
      <c r="A37" s="119" t="s">
        <v>1008</v>
      </c>
      <c r="C37" s="119" t="s">
        <v>907</v>
      </c>
      <c r="D37" s="119" t="s">
        <v>1015</v>
      </c>
      <c r="E37" s="119" t="s">
        <v>1016</v>
      </c>
      <c r="F37" s="119" t="s">
        <v>919</v>
      </c>
      <c r="G37" s="119" t="s">
        <v>716</v>
      </c>
      <c r="H37" s="119" t="s">
        <v>1017</v>
      </c>
      <c r="I37" s="119" t="s">
        <v>1017</v>
      </c>
      <c r="J37" s="119" t="s">
        <v>1018</v>
      </c>
      <c r="K37" s="119" t="s">
        <v>983</v>
      </c>
      <c r="M37" s="126">
        <v>50000</v>
      </c>
      <c r="O37" s="127">
        <v>43628</v>
      </c>
      <c r="P37" s="127">
        <v>44347</v>
      </c>
      <c r="Q37" s="127">
        <v>44000</v>
      </c>
      <c r="R37" s="127">
        <v>43982</v>
      </c>
      <c r="AB37" s="119" t="s">
        <v>877</v>
      </c>
    </row>
    <row r="38" spans="1:29" ht="30">
      <c r="A38" s="119" t="s">
        <v>1008</v>
      </c>
      <c r="D38" s="119" t="s">
        <v>1019</v>
      </c>
      <c r="E38" s="119" t="s">
        <v>1020</v>
      </c>
      <c r="F38" s="119" t="s">
        <v>919</v>
      </c>
      <c r="G38" s="119" t="s">
        <v>946</v>
      </c>
      <c r="H38" s="120" t="s">
        <v>1021</v>
      </c>
      <c r="I38" s="120" t="s">
        <v>1021</v>
      </c>
      <c r="J38" s="119" t="s">
        <v>936</v>
      </c>
      <c r="M38" s="126">
        <v>10000</v>
      </c>
      <c r="O38" s="127">
        <v>43990</v>
      </c>
      <c r="P38" s="127">
        <v>44347</v>
      </c>
      <c r="R38" s="127">
        <v>44347</v>
      </c>
      <c r="AB38" s="119" t="s">
        <v>877</v>
      </c>
    </row>
    <row r="39" spans="1:29">
      <c r="A39" s="221">
        <v>44133</v>
      </c>
      <c r="D39" s="119" t="s">
        <v>1022</v>
      </c>
      <c r="E39" s="119" t="s">
        <v>1023</v>
      </c>
      <c r="F39" s="119" t="s">
        <v>919</v>
      </c>
      <c r="G39" s="119" t="s">
        <v>946</v>
      </c>
      <c r="H39" s="119" t="s">
        <v>1024</v>
      </c>
      <c r="I39" s="119" t="s">
        <v>1025</v>
      </c>
      <c r="J39" s="119" t="s">
        <v>936</v>
      </c>
      <c r="K39" s="119" t="s">
        <v>1026</v>
      </c>
      <c r="M39" s="126">
        <v>10000</v>
      </c>
      <c r="O39" s="127">
        <v>44007</v>
      </c>
      <c r="P39" s="127">
        <v>44347</v>
      </c>
      <c r="R39" s="127">
        <v>44347</v>
      </c>
      <c r="AB39" s="119" t="s">
        <v>877</v>
      </c>
    </row>
    <row r="40" spans="1:29" ht="30">
      <c r="A40" s="120"/>
      <c r="B40" s="120"/>
      <c r="C40" s="120" t="s">
        <v>894</v>
      </c>
      <c r="D40" s="120" t="s">
        <v>1027</v>
      </c>
      <c r="E40" s="120" t="s">
        <v>1028</v>
      </c>
      <c r="F40" s="120" t="s">
        <v>911</v>
      </c>
      <c r="G40" s="120" t="s">
        <v>912</v>
      </c>
      <c r="H40" s="120" t="s">
        <v>1029</v>
      </c>
      <c r="I40" s="120" t="s">
        <v>1029</v>
      </c>
      <c r="J40" s="120" t="s">
        <v>936</v>
      </c>
      <c r="K40" s="120" t="s">
        <v>894</v>
      </c>
      <c r="L40" s="120"/>
      <c r="M40" s="121">
        <v>1000</v>
      </c>
      <c r="N40" s="121">
        <v>1000</v>
      </c>
      <c r="O40" s="122">
        <v>44006</v>
      </c>
      <c r="P40" s="122">
        <v>44347</v>
      </c>
      <c r="Q40" s="122" t="s">
        <v>753</v>
      </c>
      <c r="R40" s="122" t="s">
        <v>753</v>
      </c>
      <c r="S40" s="120" t="s">
        <v>753</v>
      </c>
      <c r="T40" s="120"/>
      <c r="U40" s="120"/>
      <c r="V40" s="120"/>
      <c r="W40" s="120"/>
      <c r="X40" s="120"/>
      <c r="Y40" s="120" t="s">
        <v>1030</v>
      </c>
      <c r="Z40" s="120"/>
      <c r="AA40" s="120"/>
      <c r="AB40" s="120" t="s">
        <v>1031</v>
      </c>
    </row>
    <row r="41" spans="1:29" ht="30">
      <c r="A41" s="224">
        <v>44123</v>
      </c>
      <c r="D41" s="119" t="s">
        <v>1032</v>
      </c>
      <c r="E41" s="119" t="s">
        <v>1033</v>
      </c>
      <c r="F41" s="119" t="s">
        <v>919</v>
      </c>
      <c r="G41" s="120" t="s">
        <v>1034</v>
      </c>
      <c r="H41" s="119" t="s">
        <v>1035</v>
      </c>
      <c r="J41" s="120" t="s">
        <v>627</v>
      </c>
      <c r="M41" s="126">
        <v>1000000</v>
      </c>
      <c r="O41" s="127">
        <v>43648</v>
      </c>
      <c r="P41" s="127">
        <v>44377</v>
      </c>
      <c r="Q41" s="127">
        <v>44168</v>
      </c>
      <c r="R41" s="127">
        <v>44012</v>
      </c>
      <c r="T41" s="211">
        <v>44515</v>
      </c>
      <c r="AB41" s="120" t="s">
        <v>1036</v>
      </c>
    </row>
    <row r="42" spans="1:29">
      <c r="A42" s="221">
        <v>44133</v>
      </c>
      <c r="C42" s="119" t="s">
        <v>1037</v>
      </c>
      <c r="D42" s="119" t="s">
        <v>1038</v>
      </c>
      <c r="E42" s="119" t="s">
        <v>1039</v>
      </c>
      <c r="F42" s="119" t="s">
        <v>919</v>
      </c>
      <c r="G42" s="119" t="s">
        <v>946</v>
      </c>
      <c r="H42" s="119" t="s">
        <v>1040</v>
      </c>
      <c r="I42" s="119" t="s">
        <v>1040</v>
      </c>
      <c r="J42" s="119" t="s">
        <v>936</v>
      </c>
      <c r="K42" s="119" t="s">
        <v>1040</v>
      </c>
      <c r="L42" s="157" t="s">
        <v>1041</v>
      </c>
      <c r="M42" s="126">
        <v>1</v>
      </c>
      <c r="O42" s="127">
        <v>44025</v>
      </c>
      <c r="P42" s="127">
        <v>44377</v>
      </c>
      <c r="R42" s="127">
        <v>44377</v>
      </c>
      <c r="AB42" s="119" t="s">
        <v>877</v>
      </c>
    </row>
    <row r="43" spans="1:29" ht="15">
      <c r="A43" s="221">
        <v>44133</v>
      </c>
      <c r="C43" s="119" t="s">
        <v>1042</v>
      </c>
      <c r="D43" s="119" t="s">
        <v>1043</v>
      </c>
      <c r="E43" s="120" t="s">
        <v>1044</v>
      </c>
      <c r="F43" s="119" t="s">
        <v>919</v>
      </c>
      <c r="G43" s="119" t="s">
        <v>946</v>
      </c>
      <c r="H43" s="119" t="s">
        <v>1045</v>
      </c>
      <c r="I43" s="119" t="s">
        <v>1045</v>
      </c>
      <c r="J43" s="119" t="s">
        <v>936</v>
      </c>
      <c r="K43" s="119" t="s">
        <v>1046</v>
      </c>
      <c r="L43" s="157" t="s">
        <v>855</v>
      </c>
      <c r="M43" s="126">
        <v>200000</v>
      </c>
      <c r="O43" s="127">
        <v>44034</v>
      </c>
      <c r="P43" s="127">
        <v>44377</v>
      </c>
      <c r="Q43" s="127" t="s">
        <v>753</v>
      </c>
      <c r="R43" s="127" t="s">
        <v>753</v>
      </c>
      <c r="AB43" s="119" t="s">
        <v>877</v>
      </c>
    </row>
    <row r="44" spans="1:29" ht="15">
      <c r="A44" s="224">
        <v>44123</v>
      </c>
      <c r="B44" s="119" t="s">
        <v>909</v>
      </c>
      <c r="D44" s="119" t="s">
        <v>452</v>
      </c>
      <c r="E44" s="120" t="s">
        <v>453</v>
      </c>
      <c r="F44" s="120" t="s">
        <v>919</v>
      </c>
      <c r="G44" s="120" t="s">
        <v>912</v>
      </c>
      <c r="H44" s="120" t="s">
        <v>454</v>
      </c>
      <c r="I44" s="120" t="s">
        <v>455</v>
      </c>
      <c r="J44" s="120" t="s">
        <v>682</v>
      </c>
      <c r="K44" s="120" t="s">
        <v>456</v>
      </c>
      <c r="L44" s="120" t="s">
        <v>457</v>
      </c>
      <c r="M44" s="121">
        <v>100000</v>
      </c>
      <c r="N44" s="120"/>
      <c r="O44" s="122">
        <v>42584</v>
      </c>
      <c r="P44" s="122">
        <v>44408</v>
      </c>
      <c r="Q44" s="122">
        <v>44256</v>
      </c>
      <c r="R44" s="122">
        <v>44043</v>
      </c>
      <c r="S44" s="120"/>
      <c r="T44" s="120"/>
      <c r="U44" s="120"/>
      <c r="V44" s="120"/>
      <c r="W44" s="120"/>
      <c r="X44" s="120"/>
      <c r="Y44" s="120"/>
      <c r="Z44" s="120"/>
      <c r="AA44" s="120"/>
      <c r="AB44" s="120" t="s">
        <v>458</v>
      </c>
      <c r="AC44" s="120" t="s">
        <v>922</v>
      </c>
    </row>
    <row r="45" spans="1:29">
      <c r="A45" s="224" t="s">
        <v>1008</v>
      </c>
      <c r="D45" s="119" t="s">
        <v>1047</v>
      </c>
      <c r="E45" s="119" t="s">
        <v>1048</v>
      </c>
      <c r="F45" s="119" t="s">
        <v>919</v>
      </c>
      <c r="G45" s="119" t="s">
        <v>912</v>
      </c>
      <c r="H45" s="119" t="s">
        <v>959</v>
      </c>
      <c r="I45" s="119" t="s">
        <v>1049</v>
      </c>
      <c r="J45" s="119" t="s">
        <v>627</v>
      </c>
      <c r="M45" s="126">
        <v>1000000</v>
      </c>
      <c r="N45" s="126">
        <v>1000000</v>
      </c>
      <c r="O45" s="127">
        <v>43698</v>
      </c>
      <c r="P45" s="127">
        <v>44408</v>
      </c>
      <c r="Q45" s="127">
        <v>44138</v>
      </c>
      <c r="R45" s="127">
        <v>44043</v>
      </c>
      <c r="AB45" s="119" t="s">
        <v>1050</v>
      </c>
    </row>
    <row r="46" spans="1:29" ht="15">
      <c r="A46" s="119" t="s">
        <v>1008</v>
      </c>
      <c r="D46" s="119" t="s">
        <v>1051</v>
      </c>
      <c r="E46" s="119" t="s">
        <v>1052</v>
      </c>
      <c r="F46" s="119" t="s">
        <v>919</v>
      </c>
      <c r="G46" s="119" t="s">
        <v>912</v>
      </c>
      <c r="H46" s="119" t="s">
        <v>1053</v>
      </c>
      <c r="I46" s="119" t="s">
        <v>1053</v>
      </c>
      <c r="J46" s="119" t="s">
        <v>627</v>
      </c>
      <c r="K46" s="119" t="s">
        <v>1053</v>
      </c>
      <c r="M46" s="126">
        <v>100000</v>
      </c>
      <c r="O46" s="127">
        <v>43704</v>
      </c>
      <c r="P46" s="127">
        <v>44408</v>
      </c>
      <c r="Q46" s="127">
        <v>44117</v>
      </c>
      <c r="R46" s="127">
        <v>44043</v>
      </c>
      <c r="AB46" s="119" t="s">
        <v>1054</v>
      </c>
      <c r="AC46" s="120" t="s">
        <v>927</v>
      </c>
    </row>
    <row r="47" spans="1:29" ht="30">
      <c r="A47" s="221">
        <v>44133</v>
      </c>
      <c r="C47" s="119" t="s">
        <v>1037</v>
      </c>
      <c r="D47" s="119" t="s">
        <v>1055</v>
      </c>
      <c r="E47" s="119" t="s">
        <v>1056</v>
      </c>
      <c r="F47" s="119" t="s">
        <v>919</v>
      </c>
      <c r="G47" s="119" t="s">
        <v>946</v>
      </c>
      <c r="H47" s="120" t="s">
        <v>1057</v>
      </c>
      <c r="I47" s="119" t="s">
        <v>1058</v>
      </c>
      <c r="J47" s="119" t="s">
        <v>936</v>
      </c>
      <c r="M47" s="126">
        <v>2000000</v>
      </c>
      <c r="N47" s="119">
        <v>2000000</v>
      </c>
      <c r="O47" s="127">
        <v>44048</v>
      </c>
      <c r="P47" s="127">
        <v>44408</v>
      </c>
      <c r="Q47" s="127" t="s">
        <v>753</v>
      </c>
      <c r="R47" s="127" t="s">
        <v>753</v>
      </c>
    </row>
    <row r="48" spans="1:29" ht="30">
      <c r="A48" s="165"/>
      <c r="C48" s="120" t="s">
        <v>990</v>
      </c>
      <c r="D48" s="119" t="s">
        <v>1059</v>
      </c>
      <c r="E48" s="119" t="s">
        <v>1060</v>
      </c>
      <c r="F48" s="119" t="s">
        <v>919</v>
      </c>
      <c r="G48" s="119" t="s">
        <v>912</v>
      </c>
      <c r="H48" s="119" t="s">
        <v>1061</v>
      </c>
      <c r="I48" s="119" t="s">
        <v>1062</v>
      </c>
      <c r="J48" s="119" t="s">
        <v>936</v>
      </c>
      <c r="M48" s="126">
        <v>100000</v>
      </c>
      <c r="O48" s="127">
        <v>44057</v>
      </c>
      <c r="P48" s="127">
        <v>44408</v>
      </c>
      <c r="Q48" s="127" t="s">
        <v>753</v>
      </c>
      <c r="R48" s="127" t="s">
        <v>753</v>
      </c>
    </row>
    <row r="49" spans="1:16380" ht="45">
      <c r="A49" s="221">
        <v>44133</v>
      </c>
      <c r="B49" s="150" t="s">
        <v>909</v>
      </c>
      <c r="C49" s="150" t="s">
        <v>907</v>
      </c>
      <c r="D49" s="150" t="s">
        <v>673</v>
      </c>
      <c r="E49" s="144" t="s">
        <v>674</v>
      </c>
      <c r="F49" s="144" t="s">
        <v>919</v>
      </c>
      <c r="G49" s="144" t="s">
        <v>946</v>
      </c>
      <c r="H49" s="144" t="s">
        <v>1063</v>
      </c>
      <c r="I49" s="144" t="s">
        <v>1064</v>
      </c>
      <c r="J49" s="144" t="s">
        <v>627</v>
      </c>
      <c r="K49" s="154" t="s">
        <v>983</v>
      </c>
      <c r="L49" s="154"/>
      <c r="M49" s="151">
        <v>100000</v>
      </c>
      <c r="N49" s="154"/>
      <c r="O49" s="152">
        <v>43371</v>
      </c>
      <c r="P49" s="152">
        <v>44439</v>
      </c>
      <c r="Q49" s="152">
        <v>44127</v>
      </c>
      <c r="R49" s="152">
        <v>44074</v>
      </c>
      <c r="S49" s="144"/>
      <c r="T49" s="211">
        <v>44105</v>
      </c>
      <c r="U49" s="144"/>
      <c r="V49" s="144"/>
      <c r="W49" s="144"/>
      <c r="X49" s="144"/>
      <c r="Y49" s="144" t="s">
        <v>1065</v>
      </c>
      <c r="Z49" s="144"/>
      <c r="AA49" s="144"/>
      <c r="AB49" s="120" t="s">
        <v>1066</v>
      </c>
      <c r="AC49" s="144" t="s">
        <v>1067</v>
      </c>
    </row>
    <row r="50" spans="1:16380">
      <c r="A50" s="119" t="s">
        <v>1008</v>
      </c>
      <c r="C50" s="119" t="s">
        <v>1068</v>
      </c>
      <c r="D50" s="119" t="s">
        <v>1069</v>
      </c>
      <c r="E50" s="119" t="s">
        <v>1070</v>
      </c>
      <c r="F50" s="119" t="s">
        <v>919</v>
      </c>
      <c r="G50" s="119" t="s">
        <v>1004</v>
      </c>
      <c r="H50" s="119" t="s">
        <v>1071</v>
      </c>
      <c r="I50" s="119" t="s">
        <v>1071</v>
      </c>
      <c r="J50" s="119" t="s">
        <v>936</v>
      </c>
      <c r="K50" s="119" t="s">
        <v>1068</v>
      </c>
      <c r="M50" s="126">
        <v>10000</v>
      </c>
      <c r="O50" s="127">
        <v>44076</v>
      </c>
      <c r="P50" s="127">
        <v>44439</v>
      </c>
      <c r="Q50" s="127" t="s">
        <v>753</v>
      </c>
      <c r="R50" s="127" t="s">
        <v>753</v>
      </c>
      <c r="AB50" s="119" t="s">
        <v>877</v>
      </c>
    </row>
    <row r="51" spans="1:16380">
      <c r="A51" s="119" t="s">
        <v>1008</v>
      </c>
      <c r="C51" s="119" t="s">
        <v>1072</v>
      </c>
      <c r="D51" s="119" t="s">
        <v>1073</v>
      </c>
      <c r="E51" s="119" t="s">
        <v>1074</v>
      </c>
      <c r="F51" s="119" t="s">
        <v>919</v>
      </c>
      <c r="G51" s="119" t="s">
        <v>1004</v>
      </c>
      <c r="H51" s="119" t="s">
        <v>1075</v>
      </c>
      <c r="J51" s="119" t="s">
        <v>936</v>
      </c>
      <c r="M51" s="126">
        <v>10000</v>
      </c>
      <c r="N51" s="119">
        <v>10000</v>
      </c>
      <c r="O51" s="127">
        <v>44084</v>
      </c>
      <c r="P51" s="127">
        <v>44439</v>
      </c>
      <c r="Q51" s="127" t="s">
        <v>753</v>
      </c>
      <c r="R51" s="127" t="s">
        <v>753</v>
      </c>
      <c r="AB51" s="119" t="s">
        <v>877</v>
      </c>
    </row>
    <row r="52" spans="1:16380">
      <c r="A52" s="119" t="s">
        <v>1008</v>
      </c>
      <c r="C52" s="119" t="s">
        <v>1068</v>
      </c>
      <c r="D52" s="119" t="s">
        <v>1076</v>
      </c>
      <c r="E52" s="119" t="s">
        <v>1077</v>
      </c>
      <c r="F52" s="119" t="s">
        <v>919</v>
      </c>
      <c r="G52" s="119" t="s">
        <v>1004</v>
      </c>
      <c r="H52" s="119" t="s">
        <v>1078</v>
      </c>
      <c r="J52" s="119" t="s">
        <v>936</v>
      </c>
      <c r="M52" s="126">
        <v>100000</v>
      </c>
      <c r="N52" s="119">
        <v>100000</v>
      </c>
      <c r="O52" s="127">
        <v>44085</v>
      </c>
      <c r="P52" s="127">
        <v>44439</v>
      </c>
      <c r="Q52" s="127" t="s">
        <v>753</v>
      </c>
      <c r="R52" s="127" t="s">
        <v>753</v>
      </c>
      <c r="AB52" s="119" t="s">
        <v>877</v>
      </c>
    </row>
    <row r="53" spans="1:16380">
      <c r="A53" s="221">
        <v>44133</v>
      </c>
      <c r="C53" s="119" t="s">
        <v>1068</v>
      </c>
      <c r="D53" s="119" t="s">
        <v>1079</v>
      </c>
      <c r="E53" s="119" t="s">
        <v>1080</v>
      </c>
      <c r="F53" s="119" t="s">
        <v>919</v>
      </c>
      <c r="G53" s="119" t="s">
        <v>1004</v>
      </c>
      <c r="J53" s="119" t="s">
        <v>936</v>
      </c>
      <c r="M53" s="126">
        <v>100000</v>
      </c>
      <c r="N53" s="119">
        <v>100000</v>
      </c>
      <c r="O53" s="127">
        <v>44093</v>
      </c>
      <c r="P53" s="127">
        <v>44439</v>
      </c>
      <c r="Q53" s="127" t="s">
        <v>753</v>
      </c>
      <c r="R53" s="127" t="s">
        <v>753</v>
      </c>
    </row>
    <row r="54" spans="1:16380">
      <c r="A54" s="221">
        <v>44133</v>
      </c>
      <c r="C54" s="119" t="s">
        <v>1068</v>
      </c>
      <c r="D54" s="119" t="s">
        <v>1081</v>
      </c>
      <c r="E54" s="119" t="s">
        <v>1082</v>
      </c>
      <c r="F54" s="119" t="s">
        <v>919</v>
      </c>
      <c r="G54" s="119" t="s">
        <v>1004</v>
      </c>
      <c r="J54" s="119" t="s">
        <v>936</v>
      </c>
      <c r="M54" s="126">
        <v>2000</v>
      </c>
      <c r="N54" s="119">
        <v>2000</v>
      </c>
      <c r="O54" s="127">
        <v>44096</v>
      </c>
      <c r="P54" s="127">
        <v>44439</v>
      </c>
      <c r="Q54" s="127" t="s">
        <v>753</v>
      </c>
      <c r="R54" s="127" t="s">
        <v>753</v>
      </c>
    </row>
    <row r="55" spans="1:16380">
      <c r="A55" s="119" t="s">
        <v>1008</v>
      </c>
      <c r="C55" s="119" t="s">
        <v>1083</v>
      </c>
      <c r="D55" s="119" t="s">
        <v>1084</v>
      </c>
      <c r="E55" s="119" t="s">
        <v>1085</v>
      </c>
      <c r="F55" s="119" t="s">
        <v>919</v>
      </c>
      <c r="G55" s="119" t="s">
        <v>1004</v>
      </c>
      <c r="H55" s="119" t="s">
        <v>1086</v>
      </c>
      <c r="I55" s="119" t="s">
        <v>1086</v>
      </c>
      <c r="J55" s="119" t="s">
        <v>936</v>
      </c>
      <c r="K55" s="119" t="s">
        <v>1086</v>
      </c>
      <c r="M55" s="126">
        <v>10000</v>
      </c>
      <c r="N55" s="126">
        <v>10000</v>
      </c>
      <c r="O55" s="127">
        <v>44096</v>
      </c>
      <c r="P55" s="127">
        <v>44439</v>
      </c>
      <c r="Q55" s="127" t="s">
        <v>753</v>
      </c>
      <c r="R55" s="127" t="s">
        <v>753</v>
      </c>
      <c r="AB55" s="119" t="s">
        <v>877</v>
      </c>
    </row>
    <row r="56" spans="1:16380">
      <c r="A56" s="119" t="s">
        <v>1008</v>
      </c>
      <c r="C56" s="119" t="s">
        <v>1087</v>
      </c>
      <c r="D56" s="119" t="s">
        <v>1088</v>
      </c>
      <c r="E56" s="119" t="s">
        <v>1089</v>
      </c>
      <c r="F56" s="119" t="s">
        <v>919</v>
      </c>
      <c r="G56" s="119" t="s">
        <v>1004</v>
      </c>
      <c r="H56" s="119" t="s">
        <v>1090</v>
      </c>
      <c r="I56" s="119" t="s">
        <v>1091</v>
      </c>
      <c r="J56" s="119" t="s">
        <v>936</v>
      </c>
      <c r="M56" s="126">
        <v>10000000</v>
      </c>
      <c r="N56" s="126">
        <v>10000</v>
      </c>
      <c r="O56" s="127">
        <v>44099</v>
      </c>
      <c r="P56" s="127">
        <v>44439</v>
      </c>
      <c r="Q56" s="127" t="s">
        <v>753</v>
      </c>
      <c r="R56" s="127" t="s">
        <v>753</v>
      </c>
      <c r="AB56" s="119" t="s">
        <v>877</v>
      </c>
    </row>
    <row r="57" spans="1:16380" s="184" customFormat="1">
      <c r="A57" s="119" t="s">
        <v>1008</v>
      </c>
      <c r="B57" s="119"/>
      <c r="C57" s="119" t="s">
        <v>1083</v>
      </c>
      <c r="D57" s="119" t="s">
        <v>1092</v>
      </c>
      <c r="E57" s="119" t="s">
        <v>1093</v>
      </c>
      <c r="F57" s="119" t="s">
        <v>919</v>
      </c>
      <c r="G57" s="119" t="s">
        <v>1004</v>
      </c>
      <c r="H57" s="119" t="s">
        <v>1094</v>
      </c>
      <c r="I57" s="119" t="s">
        <v>1094</v>
      </c>
      <c r="J57" s="119" t="s">
        <v>936</v>
      </c>
      <c r="K57" s="119" t="s">
        <v>1094</v>
      </c>
      <c r="L57" s="119"/>
      <c r="M57" s="126">
        <v>200000</v>
      </c>
      <c r="N57" s="126">
        <v>200000</v>
      </c>
      <c r="O57" s="127">
        <v>44102</v>
      </c>
      <c r="P57" s="127">
        <v>44439</v>
      </c>
      <c r="Q57" s="127" t="s">
        <v>753</v>
      </c>
      <c r="R57" s="127" t="s">
        <v>753</v>
      </c>
      <c r="S57" s="119"/>
      <c r="T57" s="119"/>
      <c r="U57" s="119"/>
      <c r="V57" s="119"/>
      <c r="W57" s="119"/>
      <c r="X57" s="119"/>
      <c r="Y57" s="119"/>
      <c r="Z57" s="119"/>
      <c r="AA57" s="119"/>
      <c r="AB57" s="119" t="s">
        <v>877</v>
      </c>
      <c r="AC57" s="120"/>
    </row>
    <row r="58" spans="1:16380" s="165" customFormat="1">
      <c r="A58" s="119" t="s">
        <v>1008</v>
      </c>
      <c r="B58" s="119"/>
      <c r="C58" s="119" t="s">
        <v>1083</v>
      </c>
      <c r="D58" s="119" t="s">
        <v>1095</v>
      </c>
      <c r="E58" s="119" t="s">
        <v>1096</v>
      </c>
      <c r="F58" s="119" t="s">
        <v>919</v>
      </c>
      <c r="G58" s="119" t="s">
        <v>1004</v>
      </c>
      <c r="H58" s="119" t="s">
        <v>1094</v>
      </c>
      <c r="I58" s="119" t="s">
        <v>1097</v>
      </c>
      <c r="J58" s="119" t="s">
        <v>936</v>
      </c>
      <c r="K58" s="119" t="s">
        <v>1094</v>
      </c>
      <c r="L58" s="119"/>
      <c r="M58" s="126">
        <v>200000</v>
      </c>
      <c r="N58" s="126">
        <v>200000</v>
      </c>
      <c r="O58" s="127">
        <v>44103</v>
      </c>
      <c r="P58" s="127">
        <v>44439</v>
      </c>
      <c r="Q58" s="127" t="s">
        <v>753</v>
      </c>
      <c r="R58" s="127" t="s">
        <v>753</v>
      </c>
      <c r="S58" s="119"/>
      <c r="T58" s="119"/>
      <c r="U58" s="119"/>
      <c r="V58" s="119"/>
      <c r="W58" s="119"/>
      <c r="X58" s="119"/>
      <c r="Y58" s="119"/>
      <c r="Z58" s="119"/>
      <c r="AA58" s="119"/>
      <c r="AB58" s="119" t="s">
        <v>877</v>
      </c>
      <c r="AC58" s="120"/>
    </row>
    <row r="59" spans="1:16380" s="165" customFormat="1">
      <c r="A59" s="119"/>
      <c r="B59" s="119"/>
      <c r="C59" s="119" t="s">
        <v>1098</v>
      </c>
      <c r="D59" s="119" t="s">
        <v>1099</v>
      </c>
      <c r="E59" s="119" t="s">
        <v>1100</v>
      </c>
      <c r="F59" s="119" t="s">
        <v>919</v>
      </c>
      <c r="G59" s="119" t="s">
        <v>946</v>
      </c>
      <c r="H59" s="119" t="s">
        <v>1101</v>
      </c>
      <c r="I59" s="119" t="s">
        <v>1101</v>
      </c>
      <c r="J59" s="119" t="s">
        <v>936</v>
      </c>
      <c r="K59" s="119" t="s">
        <v>1098</v>
      </c>
      <c r="L59" s="119"/>
      <c r="M59" s="126">
        <v>5000</v>
      </c>
      <c r="N59" s="126">
        <v>5000</v>
      </c>
      <c r="O59" s="127">
        <v>43756</v>
      </c>
      <c r="P59" s="127">
        <v>44469</v>
      </c>
      <c r="Q59" s="127">
        <v>44166</v>
      </c>
      <c r="R59" s="127">
        <v>44104</v>
      </c>
      <c r="S59" s="119" t="s">
        <v>753</v>
      </c>
      <c r="T59" s="119"/>
      <c r="U59" s="119"/>
      <c r="V59" s="119"/>
      <c r="W59" s="119"/>
      <c r="X59" s="119"/>
      <c r="Y59" s="119" t="s">
        <v>1102</v>
      </c>
      <c r="Z59" s="119"/>
      <c r="AA59" s="119"/>
      <c r="AB59" s="119" t="s">
        <v>877</v>
      </c>
      <c r="AC59" s="120"/>
    </row>
    <row r="60" spans="1:16380" s="232" customFormat="1">
      <c r="A60" s="119"/>
      <c r="B60" s="119"/>
      <c r="C60" s="119"/>
      <c r="D60" s="119" t="s">
        <v>1130</v>
      </c>
      <c r="E60" s="119" t="s">
        <v>1131</v>
      </c>
      <c r="F60" s="119" t="s">
        <v>919</v>
      </c>
      <c r="G60" s="119" t="s">
        <v>946</v>
      </c>
      <c r="H60" s="119" t="s">
        <v>1132</v>
      </c>
      <c r="I60" s="119" t="s">
        <v>1133</v>
      </c>
      <c r="J60" s="119" t="s">
        <v>936</v>
      </c>
      <c r="K60" s="119"/>
      <c r="L60" s="119"/>
      <c r="M60" s="126">
        <v>500000</v>
      </c>
      <c r="N60" s="126">
        <v>500000</v>
      </c>
      <c r="O60" s="127">
        <v>43739</v>
      </c>
      <c r="P60" s="127">
        <v>44469</v>
      </c>
      <c r="Q60" s="127">
        <v>44161</v>
      </c>
      <c r="R60" s="127">
        <v>44104</v>
      </c>
      <c r="S60" s="119" t="s">
        <v>753</v>
      </c>
      <c r="T60" s="119"/>
      <c r="U60" s="119"/>
      <c r="V60" s="119"/>
      <c r="W60" s="119"/>
      <c r="X60" s="119"/>
      <c r="Y60" s="119"/>
      <c r="Z60" s="119"/>
      <c r="AA60" s="119"/>
      <c r="AB60" s="119" t="s">
        <v>877</v>
      </c>
      <c r="AC60" s="120"/>
      <c r="AD60" s="165"/>
      <c r="AE60" s="165"/>
      <c r="AF60" s="165"/>
      <c r="AG60" s="165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5"/>
      <c r="AS60" s="165"/>
      <c r="AT60" s="165"/>
      <c r="AU60" s="165"/>
      <c r="AV60" s="165"/>
      <c r="AW60" s="165"/>
      <c r="AX60" s="165"/>
      <c r="AY60" s="165"/>
      <c r="AZ60" s="165"/>
      <c r="BA60" s="165"/>
      <c r="BB60" s="165"/>
      <c r="BC60" s="165"/>
      <c r="BD60" s="165"/>
      <c r="BE60" s="165"/>
      <c r="BF60" s="165"/>
      <c r="BG60" s="165"/>
      <c r="BH60" s="165"/>
      <c r="BI60" s="165"/>
      <c r="BJ60" s="165"/>
      <c r="BK60" s="165"/>
      <c r="BL60" s="165"/>
      <c r="BM60" s="165"/>
      <c r="BN60" s="165"/>
      <c r="BO60" s="165"/>
      <c r="BP60" s="165"/>
      <c r="BQ60" s="165"/>
      <c r="BR60" s="165"/>
      <c r="BS60" s="165"/>
      <c r="BT60" s="165"/>
      <c r="BU60" s="165"/>
      <c r="BV60" s="165"/>
      <c r="BW60" s="165"/>
      <c r="BX60" s="165"/>
      <c r="BY60" s="165"/>
      <c r="BZ60" s="165"/>
      <c r="CA60" s="165"/>
      <c r="CB60" s="165"/>
      <c r="CC60" s="165"/>
      <c r="CD60" s="165"/>
      <c r="CE60" s="165"/>
      <c r="CF60" s="165"/>
      <c r="CG60" s="165"/>
      <c r="CH60" s="165"/>
      <c r="CI60" s="165"/>
      <c r="CJ60" s="165"/>
      <c r="CK60" s="165"/>
      <c r="CL60" s="165"/>
      <c r="CM60" s="165"/>
      <c r="CN60" s="165"/>
      <c r="CO60" s="165"/>
      <c r="CP60" s="165"/>
      <c r="CQ60" s="165"/>
      <c r="CR60" s="165"/>
      <c r="CS60" s="165"/>
      <c r="CT60" s="165"/>
      <c r="CU60" s="165"/>
      <c r="CV60" s="165"/>
      <c r="CW60" s="165"/>
      <c r="CX60" s="165"/>
      <c r="CY60" s="165"/>
      <c r="CZ60" s="165"/>
      <c r="DA60" s="165"/>
      <c r="DB60" s="165"/>
      <c r="DC60" s="165"/>
      <c r="DD60" s="165"/>
      <c r="DE60" s="165"/>
      <c r="DF60" s="165"/>
      <c r="DG60" s="165"/>
      <c r="DH60" s="165"/>
      <c r="DI60" s="165"/>
      <c r="DJ60" s="165"/>
      <c r="DK60" s="165"/>
      <c r="DL60" s="165"/>
      <c r="DM60" s="165"/>
      <c r="DN60" s="165"/>
      <c r="DO60" s="165"/>
      <c r="DP60" s="165"/>
      <c r="DQ60" s="165"/>
      <c r="DR60" s="165"/>
      <c r="DS60" s="165"/>
      <c r="DT60" s="165"/>
      <c r="DU60" s="165"/>
      <c r="DV60" s="165"/>
      <c r="DW60" s="165"/>
      <c r="DX60" s="165"/>
      <c r="DY60" s="165"/>
      <c r="DZ60" s="165"/>
      <c r="EA60" s="165"/>
      <c r="EB60" s="165"/>
      <c r="EC60" s="165"/>
      <c r="ED60" s="165"/>
      <c r="EE60" s="165"/>
      <c r="EF60" s="165"/>
      <c r="EG60" s="165"/>
      <c r="EH60" s="165"/>
      <c r="EI60" s="165"/>
      <c r="EJ60" s="165"/>
      <c r="EK60" s="165"/>
      <c r="EL60" s="165"/>
      <c r="EM60" s="165"/>
      <c r="EN60" s="165"/>
      <c r="EO60" s="165"/>
      <c r="EP60" s="165"/>
      <c r="EQ60" s="165"/>
      <c r="ER60" s="165"/>
      <c r="ES60" s="165"/>
      <c r="ET60" s="165"/>
      <c r="EU60" s="165"/>
      <c r="EV60" s="165"/>
      <c r="EW60" s="165"/>
      <c r="EX60" s="165"/>
      <c r="EY60" s="165"/>
      <c r="EZ60" s="165"/>
      <c r="FA60" s="165"/>
      <c r="FB60" s="165"/>
      <c r="FC60" s="165"/>
      <c r="FD60" s="165"/>
      <c r="FE60" s="165"/>
      <c r="FF60" s="165"/>
      <c r="FG60" s="165"/>
      <c r="FH60" s="165"/>
      <c r="FI60" s="165"/>
      <c r="FJ60" s="165"/>
      <c r="FK60" s="165"/>
      <c r="FL60" s="165"/>
      <c r="FM60" s="165"/>
      <c r="FN60" s="165"/>
      <c r="FO60" s="165"/>
      <c r="FP60" s="165"/>
      <c r="FQ60" s="165"/>
      <c r="FR60" s="165"/>
      <c r="FS60" s="165"/>
      <c r="FT60" s="165"/>
      <c r="FU60" s="165"/>
      <c r="FV60" s="165"/>
      <c r="FW60" s="165"/>
      <c r="FX60" s="165"/>
      <c r="FY60" s="165"/>
      <c r="FZ60" s="165"/>
      <c r="GA60" s="165"/>
      <c r="GB60" s="165"/>
      <c r="GC60" s="165"/>
      <c r="GD60" s="165"/>
      <c r="GE60" s="165"/>
      <c r="GF60" s="165"/>
      <c r="GG60" s="165"/>
      <c r="GH60" s="165"/>
      <c r="GI60" s="165"/>
      <c r="GJ60" s="165"/>
      <c r="GK60" s="165"/>
      <c r="GL60" s="165"/>
      <c r="GM60" s="165"/>
      <c r="GN60" s="165"/>
      <c r="GO60" s="165"/>
      <c r="GP60" s="165"/>
      <c r="GQ60" s="165"/>
      <c r="GR60" s="165"/>
      <c r="GS60" s="165"/>
      <c r="GT60" s="165"/>
      <c r="GU60" s="165"/>
      <c r="GV60" s="165"/>
      <c r="GW60" s="165"/>
      <c r="GX60" s="165"/>
      <c r="GY60" s="165"/>
      <c r="GZ60" s="165"/>
      <c r="HA60" s="165"/>
      <c r="HB60" s="165"/>
      <c r="HC60" s="165"/>
      <c r="HD60" s="165"/>
      <c r="HE60" s="165"/>
      <c r="HF60" s="165"/>
      <c r="HG60" s="165"/>
      <c r="HH60" s="165"/>
      <c r="HI60" s="165"/>
      <c r="HJ60" s="165"/>
      <c r="HK60" s="165"/>
      <c r="HL60" s="165"/>
      <c r="HM60" s="165"/>
      <c r="HN60" s="165"/>
      <c r="HO60" s="165"/>
      <c r="HP60" s="165"/>
      <c r="HQ60" s="165"/>
      <c r="HR60" s="165"/>
      <c r="HS60" s="165"/>
      <c r="HT60" s="165"/>
      <c r="HU60" s="165"/>
      <c r="HV60" s="165"/>
      <c r="HW60" s="165"/>
      <c r="HX60" s="165"/>
      <c r="HY60" s="165"/>
      <c r="HZ60" s="165"/>
      <c r="IA60" s="165"/>
      <c r="IB60" s="165"/>
      <c r="IC60" s="165"/>
      <c r="ID60" s="165"/>
      <c r="IE60" s="165"/>
      <c r="IF60" s="165"/>
      <c r="IG60" s="165"/>
      <c r="IH60" s="165"/>
      <c r="II60" s="165"/>
      <c r="IJ60" s="165"/>
      <c r="IK60" s="165"/>
      <c r="IL60" s="165"/>
      <c r="IM60" s="165"/>
      <c r="IN60" s="165"/>
      <c r="IO60" s="165"/>
      <c r="IP60" s="165"/>
      <c r="IQ60" s="165"/>
      <c r="IR60" s="165"/>
      <c r="IS60" s="165"/>
      <c r="IT60" s="165"/>
      <c r="IU60" s="165"/>
      <c r="IV60" s="165"/>
      <c r="IW60" s="165"/>
      <c r="IX60" s="165"/>
      <c r="IY60" s="165"/>
      <c r="IZ60" s="165"/>
      <c r="JA60" s="165"/>
      <c r="JB60" s="165"/>
      <c r="JC60" s="165"/>
      <c r="JD60" s="165"/>
      <c r="JE60" s="165"/>
      <c r="JF60" s="165"/>
      <c r="JG60" s="165"/>
      <c r="JH60" s="165"/>
      <c r="JI60" s="165"/>
      <c r="JJ60" s="165"/>
      <c r="JK60" s="165"/>
      <c r="JL60" s="165"/>
      <c r="JM60" s="165"/>
      <c r="JN60" s="165"/>
      <c r="JO60" s="165"/>
      <c r="JP60" s="165"/>
      <c r="JQ60" s="165"/>
      <c r="JR60" s="165"/>
      <c r="JS60" s="165"/>
      <c r="JT60" s="165"/>
      <c r="JU60" s="165"/>
      <c r="JV60" s="165"/>
      <c r="JW60" s="165"/>
      <c r="JX60" s="165"/>
      <c r="JY60" s="165"/>
      <c r="JZ60" s="165"/>
      <c r="KA60" s="165"/>
      <c r="KB60" s="165"/>
      <c r="KC60" s="165"/>
      <c r="KD60" s="165"/>
      <c r="KE60" s="165"/>
      <c r="KF60" s="165"/>
      <c r="KG60" s="165"/>
      <c r="KH60" s="165"/>
      <c r="KI60" s="165"/>
      <c r="KJ60" s="165"/>
      <c r="KK60" s="165"/>
      <c r="KL60" s="165"/>
      <c r="KM60" s="165"/>
      <c r="KN60" s="165"/>
      <c r="KO60" s="165"/>
      <c r="KP60" s="165"/>
      <c r="KQ60" s="165"/>
      <c r="KR60" s="165"/>
      <c r="KS60" s="165"/>
      <c r="KT60" s="165"/>
      <c r="KU60" s="165"/>
      <c r="KV60" s="165"/>
      <c r="KW60" s="165"/>
      <c r="KX60" s="165"/>
      <c r="KY60" s="165"/>
      <c r="KZ60" s="165"/>
      <c r="LA60" s="165"/>
      <c r="LB60" s="165"/>
      <c r="LC60" s="165"/>
      <c r="LD60" s="165"/>
      <c r="LE60" s="165"/>
      <c r="LF60" s="165"/>
      <c r="LG60" s="165"/>
      <c r="LH60" s="165"/>
      <c r="LI60" s="165"/>
      <c r="LJ60" s="165"/>
      <c r="LK60" s="165"/>
      <c r="LL60" s="165"/>
      <c r="LM60" s="165"/>
      <c r="LN60" s="165"/>
      <c r="LO60" s="165"/>
      <c r="LP60" s="165"/>
      <c r="LQ60" s="165"/>
      <c r="LR60" s="165"/>
      <c r="LS60" s="165"/>
      <c r="LT60" s="165"/>
      <c r="LU60" s="165"/>
      <c r="LV60" s="165"/>
      <c r="LW60" s="165"/>
      <c r="LX60" s="165"/>
      <c r="LY60" s="165"/>
      <c r="LZ60" s="165"/>
      <c r="MA60" s="165"/>
      <c r="MB60" s="165"/>
      <c r="MC60" s="165"/>
      <c r="MD60" s="165"/>
      <c r="ME60" s="165"/>
      <c r="MF60" s="165"/>
      <c r="MG60" s="165"/>
      <c r="MH60" s="165"/>
      <c r="MI60" s="165"/>
      <c r="MJ60" s="165"/>
      <c r="MK60" s="165"/>
      <c r="ML60" s="165"/>
      <c r="MM60" s="165"/>
      <c r="MN60" s="165"/>
      <c r="MO60" s="165"/>
      <c r="MP60" s="165"/>
      <c r="MQ60" s="165"/>
      <c r="MR60" s="165"/>
      <c r="MS60" s="165"/>
      <c r="MT60" s="165"/>
      <c r="MU60" s="165"/>
      <c r="MV60" s="165"/>
      <c r="MW60" s="165"/>
      <c r="MX60" s="165"/>
      <c r="MY60" s="165"/>
      <c r="MZ60" s="165"/>
      <c r="NA60" s="165"/>
      <c r="NB60" s="165"/>
      <c r="NC60" s="165"/>
      <c r="ND60" s="165"/>
      <c r="NE60" s="165"/>
      <c r="NF60" s="165"/>
      <c r="NG60" s="165"/>
      <c r="NH60" s="165"/>
      <c r="NI60" s="165"/>
      <c r="NJ60" s="165"/>
      <c r="NK60" s="165"/>
      <c r="NL60" s="165"/>
      <c r="NM60" s="165"/>
      <c r="NN60" s="165"/>
      <c r="NO60" s="165"/>
      <c r="NP60" s="165"/>
      <c r="NQ60" s="165"/>
      <c r="NR60" s="165"/>
      <c r="NS60" s="165"/>
      <c r="NT60" s="165"/>
      <c r="NU60" s="165"/>
      <c r="NV60" s="165"/>
      <c r="NW60" s="165"/>
      <c r="NX60" s="165"/>
      <c r="NY60" s="165"/>
      <c r="NZ60" s="165"/>
      <c r="OA60" s="165"/>
      <c r="OB60" s="165"/>
      <c r="OC60" s="165"/>
      <c r="OD60" s="165"/>
      <c r="OE60" s="165"/>
      <c r="OF60" s="165"/>
      <c r="OG60" s="165"/>
      <c r="OH60" s="165"/>
      <c r="OI60" s="165"/>
      <c r="OJ60" s="165"/>
      <c r="OK60" s="165"/>
      <c r="OL60" s="165"/>
      <c r="OM60" s="165"/>
      <c r="ON60" s="165"/>
      <c r="OO60" s="165"/>
      <c r="OP60" s="165"/>
      <c r="OQ60" s="165"/>
      <c r="OR60" s="165"/>
      <c r="OS60" s="165"/>
      <c r="OT60" s="165"/>
      <c r="OU60" s="165"/>
      <c r="OV60" s="165"/>
      <c r="OW60" s="165"/>
      <c r="OX60" s="165"/>
      <c r="OY60" s="165"/>
      <c r="OZ60" s="165"/>
      <c r="PA60" s="165"/>
      <c r="PB60" s="165"/>
      <c r="PC60" s="165"/>
      <c r="PD60" s="165"/>
      <c r="PE60" s="165"/>
      <c r="PF60" s="165"/>
      <c r="PG60" s="165"/>
      <c r="PH60" s="165"/>
      <c r="PI60" s="165"/>
      <c r="PJ60" s="165"/>
      <c r="PK60" s="165"/>
      <c r="PL60" s="165"/>
      <c r="PM60" s="165"/>
      <c r="PN60" s="165"/>
      <c r="PO60" s="165"/>
      <c r="PP60" s="165"/>
      <c r="PQ60" s="165"/>
      <c r="PR60" s="165"/>
      <c r="PS60" s="165"/>
      <c r="PT60" s="165"/>
      <c r="PU60" s="165"/>
      <c r="PV60" s="165"/>
      <c r="PW60" s="165"/>
      <c r="PX60" s="165"/>
      <c r="PY60" s="165"/>
      <c r="PZ60" s="165"/>
      <c r="QA60" s="165"/>
      <c r="QB60" s="165"/>
      <c r="QC60" s="165"/>
      <c r="QD60" s="165"/>
      <c r="QE60" s="165"/>
      <c r="QF60" s="165"/>
      <c r="QG60" s="165"/>
      <c r="QH60" s="165"/>
      <c r="QI60" s="165"/>
      <c r="QJ60" s="165"/>
      <c r="QK60" s="165"/>
      <c r="QL60" s="165"/>
      <c r="QM60" s="165"/>
      <c r="QN60" s="165"/>
      <c r="QO60" s="165"/>
      <c r="QP60" s="165"/>
      <c r="QQ60" s="165"/>
      <c r="QR60" s="165"/>
      <c r="QS60" s="165"/>
      <c r="QT60" s="165"/>
      <c r="QU60" s="165"/>
      <c r="QV60" s="165"/>
      <c r="QW60" s="165"/>
      <c r="QX60" s="165"/>
      <c r="QY60" s="165"/>
      <c r="QZ60" s="165"/>
      <c r="RA60" s="165"/>
      <c r="RB60" s="165"/>
      <c r="RC60" s="165"/>
      <c r="RD60" s="165"/>
      <c r="RE60" s="165"/>
      <c r="RF60" s="165"/>
      <c r="RG60" s="165"/>
      <c r="RH60" s="165"/>
      <c r="RI60" s="165"/>
      <c r="RJ60" s="165"/>
      <c r="RK60" s="165"/>
      <c r="RL60" s="165"/>
      <c r="RM60" s="165"/>
      <c r="RN60" s="165"/>
      <c r="RO60" s="165"/>
      <c r="RP60" s="165"/>
      <c r="RQ60" s="165"/>
      <c r="RR60" s="165"/>
      <c r="RS60" s="165"/>
      <c r="RT60" s="165"/>
      <c r="RU60" s="165"/>
      <c r="RV60" s="165"/>
      <c r="RW60" s="165"/>
      <c r="RX60" s="165"/>
      <c r="RY60" s="165"/>
      <c r="RZ60" s="165"/>
      <c r="SA60" s="165"/>
      <c r="SB60" s="165"/>
      <c r="SC60" s="165"/>
      <c r="SD60" s="165"/>
      <c r="SE60" s="165"/>
      <c r="SF60" s="165"/>
      <c r="SG60" s="165"/>
      <c r="SH60" s="165"/>
      <c r="SI60" s="165"/>
      <c r="SJ60" s="165"/>
      <c r="SK60" s="165"/>
      <c r="SL60" s="165"/>
      <c r="SM60" s="165"/>
      <c r="SN60" s="165"/>
      <c r="SO60" s="165"/>
      <c r="SP60" s="165"/>
      <c r="SQ60" s="165"/>
      <c r="SR60" s="165"/>
      <c r="SS60" s="165"/>
      <c r="ST60" s="165"/>
      <c r="SU60" s="165"/>
      <c r="SV60" s="165"/>
      <c r="SW60" s="165"/>
      <c r="SX60" s="165"/>
      <c r="SY60" s="165"/>
      <c r="SZ60" s="165"/>
      <c r="TA60" s="165"/>
      <c r="TB60" s="165"/>
      <c r="TC60" s="165"/>
      <c r="TD60" s="165"/>
      <c r="TE60" s="165"/>
      <c r="TF60" s="165"/>
      <c r="TG60" s="165"/>
      <c r="TH60" s="165"/>
      <c r="TI60" s="165"/>
      <c r="TJ60" s="165"/>
      <c r="TK60" s="165"/>
      <c r="TL60" s="165"/>
      <c r="TM60" s="165"/>
      <c r="TN60" s="165"/>
      <c r="TO60" s="165"/>
      <c r="TP60" s="165"/>
      <c r="TQ60" s="165"/>
      <c r="TR60" s="165"/>
      <c r="TS60" s="165"/>
      <c r="TT60" s="165"/>
      <c r="TU60" s="165"/>
      <c r="TV60" s="165"/>
      <c r="TW60" s="165"/>
      <c r="TX60" s="165"/>
      <c r="TY60" s="165"/>
      <c r="TZ60" s="165"/>
      <c r="UA60" s="165"/>
      <c r="UB60" s="165"/>
      <c r="UC60" s="165"/>
      <c r="UD60" s="165"/>
      <c r="UE60" s="165"/>
      <c r="UF60" s="165"/>
      <c r="UG60" s="165"/>
      <c r="UH60" s="165"/>
      <c r="UI60" s="165"/>
      <c r="UJ60" s="165"/>
      <c r="UK60" s="165"/>
      <c r="UL60" s="165"/>
      <c r="UM60" s="165"/>
      <c r="UN60" s="165"/>
      <c r="UO60" s="165"/>
      <c r="UP60" s="165"/>
      <c r="UQ60" s="165"/>
      <c r="UR60" s="165"/>
      <c r="US60" s="165"/>
      <c r="UT60" s="165"/>
      <c r="UU60" s="165"/>
      <c r="UV60" s="165"/>
      <c r="UW60" s="165"/>
      <c r="UX60" s="165"/>
      <c r="UY60" s="165"/>
      <c r="UZ60" s="165"/>
      <c r="VA60" s="165"/>
      <c r="VB60" s="165"/>
      <c r="VC60" s="165"/>
      <c r="VD60" s="165"/>
      <c r="VE60" s="165"/>
      <c r="VF60" s="165"/>
      <c r="VG60" s="165"/>
      <c r="VH60" s="165"/>
      <c r="VI60" s="165"/>
      <c r="VJ60" s="165"/>
      <c r="VK60" s="165"/>
      <c r="VL60" s="165"/>
      <c r="VM60" s="165"/>
      <c r="VN60" s="165"/>
      <c r="VO60" s="165"/>
      <c r="VP60" s="165"/>
      <c r="VQ60" s="165"/>
      <c r="VR60" s="165"/>
      <c r="VS60" s="165"/>
      <c r="VT60" s="165"/>
      <c r="VU60" s="165"/>
      <c r="VV60" s="165"/>
      <c r="VW60" s="165"/>
      <c r="VX60" s="165"/>
      <c r="VY60" s="165"/>
      <c r="VZ60" s="165"/>
      <c r="WA60" s="165"/>
      <c r="WB60" s="165"/>
      <c r="WC60" s="165"/>
      <c r="WD60" s="165"/>
      <c r="WE60" s="165"/>
      <c r="WF60" s="165"/>
      <c r="WG60" s="165"/>
      <c r="WH60" s="165"/>
      <c r="WI60" s="165"/>
      <c r="WJ60" s="165"/>
      <c r="WK60" s="165"/>
      <c r="WL60" s="165"/>
      <c r="WM60" s="165"/>
      <c r="WN60" s="165"/>
      <c r="WO60" s="165"/>
      <c r="WP60" s="165"/>
      <c r="WQ60" s="165"/>
      <c r="WR60" s="165"/>
      <c r="WS60" s="165"/>
      <c r="WT60" s="165"/>
      <c r="WU60" s="165"/>
      <c r="WV60" s="165"/>
      <c r="WW60" s="165"/>
      <c r="WX60" s="165"/>
      <c r="WY60" s="165"/>
      <c r="WZ60" s="165"/>
      <c r="XA60" s="165"/>
      <c r="XB60" s="165"/>
      <c r="XC60" s="165"/>
      <c r="XD60" s="165"/>
      <c r="XE60" s="165"/>
      <c r="XF60" s="165"/>
      <c r="XG60" s="165"/>
      <c r="XH60" s="165"/>
      <c r="XI60" s="165"/>
      <c r="XJ60" s="165"/>
      <c r="XK60" s="165"/>
      <c r="XL60" s="165"/>
      <c r="XM60" s="165"/>
      <c r="XN60" s="165"/>
      <c r="XO60" s="165"/>
      <c r="XP60" s="165"/>
      <c r="XQ60" s="165"/>
      <c r="XR60" s="165"/>
      <c r="XS60" s="165"/>
      <c r="XT60" s="165"/>
      <c r="XU60" s="165"/>
      <c r="XV60" s="165"/>
      <c r="XW60" s="165"/>
      <c r="XX60" s="165"/>
      <c r="XY60" s="165"/>
      <c r="XZ60" s="165"/>
      <c r="YA60" s="165"/>
      <c r="YB60" s="165"/>
      <c r="YC60" s="165"/>
      <c r="YD60" s="165"/>
      <c r="YE60" s="165"/>
      <c r="YF60" s="165"/>
      <c r="YG60" s="165"/>
      <c r="YH60" s="165"/>
      <c r="YI60" s="165"/>
      <c r="YJ60" s="165"/>
      <c r="YK60" s="165"/>
      <c r="YL60" s="165"/>
      <c r="YM60" s="165"/>
      <c r="YN60" s="165"/>
      <c r="YO60" s="165"/>
      <c r="YP60" s="165"/>
      <c r="YQ60" s="165"/>
      <c r="YR60" s="165"/>
      <c r="YS60" s="165"/>
      <c r="YT60" s="165"/>
      <c r="YU60" s="165"/>
      <c r="YV60" s="165"/>
      <c r="YW60" s="165"/>
      <c r="YX60" s="165"/>
      <c r="YY60" s="165"/>
      <c r="YZ60" s="165"/>
      <c r="ZA60" s="165"/>
      <c r="ZB60" s="165"/>
      <c r="ZC60" s="165"/>
      <c r="ZD60" s="165"/>
      <c r="ZE60" s="165"/>
      <c r="ZF60" s="165"/>
      <c r="ZG60" s="165"/>
      <c r="ZH60" s="165"/>
      <c r="ZI60" s="165"/>
      <c r="ZJ60" s="165"/>
      <c r="ZK60" s="165"/>
      <c r="ZL60" s="165"/>
      <c r="ZM60" s="165"/>
      <c r="ZN60" s="165"/>
      <c r="ZO60" s="165"/>
      <c r="ZP60" s="165"/>
      <c r="ZQ60" s="165"/>
      <c r="ZR60" s="165"/>
      <c r="ZS60" s="165"/>
      <c r="ZT60" s="165"/>
      <c r="ZU60" s="165"/>
      <c r="ZV60" s="165"/>
      <c r="ZW60" s="165"/>
      <c r="ZX60" s="165"/>
      <c r="ZY60" s="165"/>
      <c r="ZZ60" s="165"/>
      <c r="AAA60" s="165"/>
      <c r="AAB60" s="165"/>
      <c r="AAC60" s="165"/>
      <c r="AAD60" s="165"/>
      <c r="AAE60" s="165"/>
      <c r="AAF60" s="165"/>
      <c r="AAG60" s="165"/>
      <c r="AAH60" s="165"/>
      <c r="AAI60" s="165"/>
      <c r="AAJ60" s="165"/>
      <c r="AAK60" s="165"/>
      <c r="AAL60" s="165"/>
      <c r="AAM60" s="165"/>
      <c r="AAN60" s="165"/>
      <c r="AAO60" s="165"/>
      <c r="AAP60" s="165"/>
      <c r="AAQ60" s="165"/>
      <c r="AAR60" s="165"/>
      <c r="AAS60" s="165"/>
      <c r="AAT60" s="165"/>
      <c r="AAU60" s="165"/>
      <c r="AAV60" s="165"/>
      <c r="AAW60" s="165"/>
      <c r="AAX60" s="165"/>
      <c r="AAY60" s="165"/>
      <c r="AAZ60" s="165"/>
      <c r="ABA60" s="165"/>
      <c r="ABB60" s="165"/>
      <c r="ABC60" s="165"/>
      <c r="ABD60" s="165"/>
      <c r="ABE60" s="165"/>
      <c r="ABF60" s="165"/>
      <c r="ABG60" s="165"/>
      <c r="ABH60" s="165"/>
      <c r="ABI60" s="165"/>
      <c r="ABJ60" s="165"/>
      <c r="ABK60" s="165"/>
      <c r="ABL60" s="165"/>
      <c r="ABM60" s="165"/>
      <c r="ABN60" s="165"/>
      <c r="ABO60" s="165"/>
      <c r="ABP60" s="165"/>
      <c r="ABQ60" s="165"/>
      <c r="ABR60" s="165"/>
      <c r="ABS60" s="165"/>
      <c r="ABT60" s="165"/>
      <c r="ABU60" s="165"/>
      <c r="ABV60" s="165"/>
      <c r="ABW60" s="165"/>
      <c r="ABX60" s="165"/>
      <c r="ABY60" s="165"/>
      <c r="ABZ60" s="165"/>
      <c r="ACA60" s="165"/>
      <c r="ACB60" s="165"/>
      <c r="ACC60" s="165"/>
      <c r="ACD60" s="165"/>
      <c r="ACE60" s="165"/>
      <c r="ACF60" s="165"/>
      <c r="ACG60" s="165"/>
      <c r="ACH60" s="165"/>
      <c r="ACI60" s="165"/>
      <c r="ACJ60" s="165"/>
      <c r="ACK60" s="165"/>
      <c r="ACL60" s="165"/>
      <c r="ACM60" s="165"/>
      <c r="ACN60" s="165"/>
      <c r="ACO60" s="165"/>
      <c r="ACP60" s="165"/>
      <c r="ACQ60" s="165"/>
      <c r="ACR60" s="165"/>
      <c r="ACS60" s="165"/>
      <c r="ACT60" s="165"/>
      <c r="ACU60" s="165"/>
      <c r="ACV60" s="165"/>
      <c r="ACW60" s="165"/>
      <c r="ACX60" s="165"/>
      <c r="ACY60" s="165"/>
      <c r="ACZ60" s="165"/>
      <c r="ADA60" s="165"/>
      <c r="ADB60" s="165"/>
      <c r="ADC60" s="165"/>
      <c r="ADD60" s="165"/>
      <c r="ADE60" s="165"/>
      <c r="ADF60" s="165"/>
      <c r="ADG60" s="165"/>
      <c r="ADH60" s="165"/>
      <c r="ADI60" s="165"/>
      <c r="ADJ60" s="165"/>
      <c r="ADK60" s="165"/>
      <c r="ADL60" s="165"/>
      <c r="ADM60" s="165"/>
      <c r="ADN60" s="165"/>
      <c r="ADO60" s="165"/>
      <c r="ADP60" s="165"/>
      <c r="ADQ60" s="165"/>
      <c r="ADR60" s="165"/>
      <c r="ADS60" s="165"/>
      <c r="ADT60" s="165"/>
      <c r="ADU60" s="165"/>
      <c r="ADV60" s="165"/>
      <c r="ADW60" s="165"/>
      <c r="ADX60" s="165"/>
      <c r="ADY60" s="165"/>
      <c r="ADZ60" s="165"/>
      <c r="AEA60" s="165"/>
      <c r="AEB60" s="165"/>
      <c r="AEC60" s="165"/>
      <c r="AED60" s="165"/>
      <c r="AEE60" s="165"/>
      <c r="AEF60" s="165"/>
      <c r="AEG60" s="165"/>
      <c r="AEH60" s="165"/>
      <c r="AEI60" s="165"/>
      <c r="AEJ60" s="165"/>
      <c r="AEK60" s="165"/>
      <c r="AEL60" s="165"/>
      <c r="AEM60" s="165"/>
      <c r="AEN60" s="165"/>
      <c r="AEO60" s="165"/>
      <c r="AEP60" s="165"/>
      <c r="AEQ60" s="165"/>
      <c r="AER60" s="165"/>
      <c r="AES60" s="165"/>
      <c r="AET60" s="165"/>
      <c r="AEU60" s="165"/>
      <c r="AEV60" s="165"/>
      <c r="AEW60" s="165"/>
      <c r="AEX60" s="165"/>
      <c r="AEY60" s="165"/>
      <c r="AEZ60" s="165"/>
      <c r="AFA60" s="165"/>
      <c r="AFB60" s="165"/>
      <c r="AFC60" s="165"/>
      <c r="AFD60" s="165"/>
      <c r="AFE60" s="165"/>
      <c r="AFF60" s="165"/>
      <c r="AFG60" s="165"/>
      <c r="AFH60" s="165"/>
      <c r="AFI60" s="165"/>
      <c r="AFJ60" s="165"/>
      <c r="AFK60" s="165"/>
      <c r="AFL60" s="165"/>
      <c r="AFM60" s="165"/>
      <c r="AFN60" s="165"/>
      <c r="AFO60" s="165"/>
      <c r="AFP60" s="165"/>
      <c r="AFQ60" s="165"/>
      <c r="AFR60" s="165"/>
      <c r="AFS60" s="165"/>
      <c r="AFT60" s="165"/>
      <c r="AFU60" s="165"/>
      <c r="AFV60" s="165"/>
      <c r="AFW60" s="165"/>
      <c r="AFX60" s="165"/>
      <c r="AFY60" s="165"/>
      <c r="AFZ60" s="165"/>
      <c r="AGA60" s="165"/>
      <c r="AGB60" s="165"/>
      <c r="AGC60" s="165"/>
      <c r="AGD60" s="165"/>
      <c r="AGE60" s="165"/>
      <c r="AGF60" s="165"/>
      <c r="AGG60" s="165"/>
      <c r="AGH60" s="165"/>
      <c r="AGI60" s="165"/>
      <c r="AGJ60" s="165"/>
      <c r="AGK60" s="165"/>
      <c r="AGL60" s="165"/>
      <c r="AGM60" s="165"/>
      <c r="AGN60" s="165"/>
      <c r="AGO60" s="165"/>
      <c r="AGP60" s="165"/>
      <c r="AGQ60" s="165"/>
      <c r="AGR60" s="165"/>
      <c r="AGS60" s="165"/>
      <c r="AGT60" s="165"/>
      <c r="AGU60" s="165"/>
      <c r="AGV60" s="165"/>
      <c r="AGW60" s="165"/>
      <c r="AGX60" s="165"/>
      <c r="AGY60" s="165"/>
      <c r="AGZ60" s="165"/>
      <c r="AHA60" s="165"/>
      <c r="AHB60" s="165"/>
      <c r="AHC60" s="165"/>
      <c r="AHD60" s="165"/>
      <c r="AHE60" s="165"/>
      <c r="AHF60" s="165"/>
      <c r="AHG60" s="165"/>
      <c r="AHH60" s="165"/>
      <c r="AHI60" s="165"/>
      <c r="AHJ60" s="165"/>
      <c r="AHK60" s="165"/>
      <c r="AHL60" s="165"/>
      <c r="AHM60" s="165"/>
      <c r="AHN60" s="165"/>
      <c r="AHO60" s="165"/>
      <c r="AHP60" s="165"/>
      <c r="AHQ60" s="165"/>
      <c r="AHR60" s="165"/>
      <c r="AHS60" s="165"/>
      <c r="AHT60" s="165"/>
      <c r="AHU60" s="165"/>
      <c r="AHV60" s="165"/>
      <c r="AHW60" s="165"/>
      <c r="AHX60" s="165"/>
      <c r="AHY60" s="165"/>
      <c r="AHZ60" s="165"/>
      <c r="AIA60" s="165"/>
      <c r="AIB60" s="165"/>
      <c r="AIC60" s="165"/>
      <c r="AID60" s="165"/>
      <c r="AIE60" s="165"/>
      <c r="AIF60" s="165"/>
      <c r="AIG60" s="165"/>
      <c r="AIH60" s="165"/>
      <c r="AII60" s="165"/>
      <c r="AIJ60" s="165"/>
      <c r="AIK60" s="165"/>
      <c r="AIL60" s="165"/>
      <c r="AIM60" s="165"/>
      <c r="AIN60" s="165"/>
      <c r="AIO60" s="165"/>
      <c r="AIP60" s="165"/>
      <c r="AIQ60" s="165"/>
      <c r="AIR60" s="165"/>
      <c r="AIS60" s="165"/>
      <c r="AIT60" s="165"/>
      <c r="AIU60" s="165"/>
      <c r="AIV60" s="165"/>
      <c r="AIW60" s="165"/>
      <c r="AIX60" s="165"/>
      <c r="AIY60" s="165"/>
      <c r="AIZ60" s="165"/>
      <c r="AJA60" s="165"/>
      <c r="AJB60" s="165"/>
      <c r="AJC60" s="165"/>
      <c r="AJD60" s="165"/>
      <c r="AJE60" s="165"/>
      <c r="AJF60" s="165"/>
      <c r="AJG60" s="165"/>
      <c r="AJH60" s="165"/>
      <c r="AJI60" s="165"/>
      <c r="AJJ60" s="165"/>
      <c r="AJK60" s="165"/>
      <c r="AJL60" s="165"/>
      <c r="AJM60" s="165"/>
      <c r="AJN60" s="165"/>
      <c r="AJO60" s="165"/>
      <c r="AJP60" s="165"/>
      <c r="AJQ60" s="165"/>
      <c r="AJR60" s="165"/>
      <c r="AJS60" s="165"/>
      <c r="AJT60" s="165"/>
      <c r="AJU60" s="165"/>
      <c r="AJV60" s="165"/>
      <c r="AJW60" s="165"/>
      <c r="AJX60" s="165"/>
      <c r="AJY60" s="165"/>
      <c r="AJZ60" s="165"/>
      <c r="AKA60" s="165"/>
      <c r="AKB60" s="165"/>
      <c r="AKC60" s="165"/>
      <c r="AKD60" s="165"/>
      <c r="AKE60" s="165"/>
      <c r="AKF60" s="165"/>
      <c r="AKG60" s="165"/>
      <c r="AKH60" s="165"/>
      <c r="AKI60" s="165"/>
      <c r="AKJ60" s="165"/>
      <c r="AKK60" s="165"/>
      <c r="AKL60" s="165"/>
      <c r="AKM60" s="165"/>
      <c r="AKN60" s="165"/>
      <c r="AKO60" s="165"/>
      <c r="AKP60" s="165"/>
      <c r="AKQ60" s="165"/>
      <c r="AKR60" s="165"/>
      <c r="AKS60" s="165"/>
      <c r="AKT60" s="165"/>
      <c r="AKU60" s="165"/>
      <c r="AKV60" s="165"/>
      <c r="AKW60" s="165"/>
      <c r="AKX60" s="165"/>
      <c r="AKY60" s="165"/>
      <c r="AKZ60" s="165"/>
      <c r="ALA60" s="165"/>
      <c r="ALB60" s="165"/>
      <c r="ALC60" s="165"/>
      <c r="ALD60" s="165"/>
      <c r="ALE60" s="165"/>
      <c r="ALF60" s="165"/>
      <c r="ALG60" s="165"/>
      <c r="ALH60" s="165"/>
      <c r="ALI60" s="165"/>
      <c r="ALJ60" s="165"/>
      <c r="ALK60" s="165"/>
      <c r="ALL60" s="165"/>
      <c r="ALM60" s="165"/>
      <c r="ALN60" s="165"/>
      <c r="ALO60" s="165"/>
      <c r="ALP60" s="165"/>
      <c r="ALQ60" s="165"/>
      <c r="ALR60" s="165"/>
      <c r="ALS60" s="165"/>
      <c r="ALT60" s="165"/>
      <c r="ALU60" s="165"/>
      <c r="ALV60" s="165"/>
      <c r="ALW60" s="165"/>
      <c r="ALX60" s="165"/>
      <c r="ALY60" s="165"/>
      <c r="ALZ60" s="165"/>
      <c r="AMA60" s="165"/>
      <c r="AMB60" s="165"/>
      <c r="AMC60" s="165"/>
      <c r="AMD60" s="165"/>
      <c r="AME60" s="165"/>
      <c r="AMF60" s="165"/>
      <c r="AMG60" s="165"/>
      <c r="AMH60" s="165"/>
      <c r="AMI60" s="165"/>
      <c r="AMJ60" s="165"/>
      <c r="AMK60" s="165"/>
      <c r="AML60" s="165"/>
      <c r="AMM60" s="165"/>
      <c r="AMN60" s="165"/>
      <c r="AMO60" s="165"/>
      <c r="AMP60" s="165"/>
      <c r="AMQ60" s="165"/>
      <c r="AMR60" s="165"/>
      <c r="AMS60" s="165"/>
      <c r="AMT60" s="165"/>
      <c r="AMU60" s="165"/>
      <c r="AMV60" s="165"/>
      <c r="AMW60" s="165"/>
      <c r="AMX60" s="165"/>
      <c r="AMY60" s="165"/>
      <c r="AMZ60" s="165"/>
      <c r="ANA60" s="165"/>
      <c r="ANB60" s="165"/>
      <c r="ANC60" s="165"/>
      <c r="AND60" s="165"/>
      <c r="ANE60" s="165"/>
      <c r="ANF60" s="165"/>
      <c r="ANG60" s="165"/>
      <c r="ANH60" s="165"/>
      <c r="ANI60" s="165"/>
      <c r="ANJ60" s="165"/>
      <c r="ANK60" s="165"/>
      <c r="ANL60" s="165"/>
      <c r="ANM60" s="165"/>
      <c r="ANN60" s="165"/>
      <c r="ANO60" s="165"/>
      <c r="ANP60" s="165"/>
      <c r="ANQ60" s="165"/>
      <c r="ANR60" s="165"/>
      <c r="ANS60" s="165"/>
      <c r="ANT60" s="165"/>
      <c r="ANU60" s="165"/>
      <c r="ANV60" s="165"/>
      <c r="ANW60" s="165"/>
      <c r="ANX60" s="165"/>
      <c r="ANY60" s="165"/>
      <c r="ANZ60" s="165"/>
      <c r="AOA60" s="165"/>
      <c r="AOB60" s="165"/>
      <c r="AOC60" s="165"/>
      <c r="AOD60" s="165"/>
      <c r="AOE60" s="165"/>
      <c r="AOF60" s="165"/>
      <c r="AOG60" s="165"/>
      <c r="AOH60" s="165"/>
      <c r="AOI60" s="165"/>
      <c r="AOJ60" s="165"/>
      <c r="AOK60" s="165"/>
      <c r="AOL60" s="165"/>
      <c r="AOM60" s="165"/>
      <c r="AON60" s="165"/>
      <c r="AOO60" s="165"/>
      <c r="AOP60" s="165"/>
      <c r="AOQ60" s="165"/>
      <c r="AOR60" s="165"/>
      <c r="AOS60" s="165"/>
      <c r="AOT60" s="165"/>
      <c r="AOU60" s="165"/>
      <c r="AOV60" s="165"/>
      <c r="AOW60" s="165"/>
      <c r="AOX60" s="165"/>
      <c r="AOY60" s="165"/>
      <c r="AOZ60" s="165"/>
      <c r="APA60" s="165"/>
      <c r="APB60" s="165"/>
      <c r="APC60" s="165"/>
      <c r="APD60" s="165"/>
      <c r="APE60" s="165"/>
      <c r="APF60" s="165"/>
      <c r="APG60" s="165"/>
      <c r="APH60" s="165"/>
      <c r="API60" s="165"/>
      <c r="APJ60" s="165"/>
      <c r="APK60" s="165"/>
      <c r="APL60" s="165"/>
      <c r="APM60" s="165"/>
      <c r="APN60" s="165"/>
      <c r="APO60" s="165"/>
      <c r="APP60" s="165"/>
      <c r="APQ60" s="165"/>
      <c r="APR60" s="165"/>
      <c r="APS60" s="165"/>
      <c r="APT60" s="165"/>
      <c r="APU60" s="165"/>
      <c r="APV60" s="165"/>
      <c r="APW60" s="165"/>
      <c r="APX60" s="165"/>
      <c r="APY60" s="165"/>
      <c r="APZ60" s="165"/>
      <c r="AQA60" s="165"/>
      <c r="AQB60" s="165"/>
      <c r="AQC60" s="165"/>
      <c r="AQD60" s="165"/>
      <c r="AQE60" s="165"/>
      <c r="AQF60" s="165"/>
      <c r="AQG60" s="165"/>
      <c r="AQH60" s="165"/>
      <c r="AQI60" s="165"/>
      <c r="AQJ60" s="165"/>
      <c r="AQK60" s="165"/>
      <c r="AQL60" s="165"/>
      <c r="AQM60" s="165"/>
      <c r="AQN60" s="165"/>
      <c r="AQO60" s="165"/>
      <c r="AQP60" s="165"/>
      <c r="AQQ60" s="165"/>
      <c r="AQR60" s="165"/>
      <c r="AQS60" s="165"/>
      <c r="AQT60" s="165"/>
      <c r="AQU60" s="165"/>
      <c r="AQV60" s="165"/>
      <c r="AQW60" s="165"/>
      <c r="AQX60" s="165"/>
      <c r="AQY60" s="165"/>
      <c r="AQZ60" s="165"/>
      <c r="ARA60" s="165"/>
      <c r="ARB60" s="165"/>
      <c r="ARC60" s="165"/>
      <c r="ARD60" s="165"/>
      <c r="ARE60" s="165"/>
      <c r="ARF60" s="165"/>
      <c r="ARG60" s="165"/>
      <c r="ARH60" s="165"/>
      <c r="ARI60" s="165"/>
      <c r="ARJ60" s="165"/>
      <c r="ARK60" s="165"/>
      <c r="ARL60" s="165"/>
      <c r="ARM60" s="165"/>
      <c r="ARN60" s="165"/>
      <c r="ARO60" s="165"/>
      <c r="ARP60" s="165"/>
      <c r="ARQ60" s="165"/>
      <c r="ARR60" s="165"/>
      <c r="ARS60" s="165"/>
      <c r="ART60" s="165"/>
      <c r="ARU60" s="165"/>
      <c r="ARV60" s="165"/>
      <c r="ARW60" s="165"/>
      <c r="ARX60" s="165"/>
      <c r="ARY60" s="165"/>
      <c r="ARZ60" s="165"/>
      <c r="ASA60" s="165"/>
      <c r="ASB60" s="165"/>
      <c r="ASC60" s="165"/>
      <c r="ASD60" s="165"/>
      <c r="ASE60" s="165"/>
      <c r="ASF60" s="165"/>
      <c r="ASG60" s="165"/>
      <c r="ASH60" s="165"/>
      <c r="ASI60" s="165"/>
      <c r="ASJ60" s="165"/>
      <c r="ASK60" s="165"/>
      <c r="ASL60" s="165"/>
      <c r="ASM60" s="165"/>
      <c r="ASN60" s="165"/>
      <c r="ASO60" s="165"/>
      <c r="ASP60" s="165"/>
      <c r="ASQ60" s="165"/>
      <c r="ASR60" s="165"/>
      <c r="ASS60" s="165"/>
      <c r="AST60" s="165"/>
      <c r="ASU60" s="165"/>
      <c r="ASV60" s="165"/>
      <c r="ASW60" s="165"/>
      <c r="ASX60" s="165"/>
      <c r="ASY60" s="165"/>
      <c r="ASZ60" s="165"/>
      <c r="ATA60" s="165"/>
      <c r="ATB60" s="165"/>
      <c r="ATC60" s="165"/>
      <c r="ATD60" s="165"/>
      <c r="ATE60" s="165"/>
      <c r="ATF60" s="165"/>
      <c r="ATG60" s="165"/>
      <c r="ATH60" s="165"/>
      <c r="ATI60" s="165"/>
      <c r="ATJ60" s="165"/>
      <c r="ATK60" s="165"/>
      <c r="ATL60" s="165"/>
      <c r="ATM60" s="165"/>
      <c r="ATN60" s="165"/>
      <c r="ATO60" s="165"/>
      <c r="ATP60" s="165"/>
      <c r="ATQ60" s="165"/>
      <c r="ATR60" s="165"/>
      <c r="ATS60" s="165"/>
      <c r="ATT60" s="165"/>
      <c r="ATU60" s="165"/>
      <c r="ATV60" s="165"/>
      <c r="ATW60" s="165"/>
      <c r="ATX60" s="165"/>
      <c r="ATY60" s="165"/>
      <c r="ATZ60" s="165"/>
      <c r="AUA60" s="165"/>
      <c r="AUB60" s="165"/>
      <c r="AUC60" s="165"/>
      <c r="AUD60" s="165"/>
      <c r="AUE60" s="165"/>
      <c r="AUF60" s="165"/>
      <c r="AUG60" s="165"/>
      <c r="AUH60" s="165"/>
      <c r="AUI60" s="165"/>
      <c r="AUJ60" s="165"/>
      <c r="AUK60" s="165"/>
      <c r="AUL60" s="165"/>
      <c r="AUM60" s="165"/>
      <c r="AUN60" s="165"/>
      <c r="AUO60" s="165"/>
      <c r="AUP60" s="165"/>
      <c r="AUQ60" s="165"/>
      <c r="AUR60" s="165"/>
      <c r="AUS60" s="165"/>
      <c r="AUT60" s="165"/>
      <c r="AUU60" s="165"/>
      <c r="AUV60" s="165"/>
      <c r="AUW60" s="165"/>
      <c r="AUX60" s="165"/>
      <c r="AUY60" s="165"/>
      <c r="AUZ60" s="165"/>
      <c r="AVA60" s="165"/>
      <c r="AVB60" s="165"/>
      <c r="AVC60" s="165"/>
      <c r="AVD60" s="165"/>
      <c r="AVE60" s="165"/>
      <c r="AVF60" s="165"/>
      <c r="AVG60" s="165"/>
      <c r="AVH60" s="165"/>
      <c r="AVI60" s="165"/>
      <c r="AVJ60" s="165"/>
      <c r="AVK60" s="165"/>
      <c r="AVL60" s="165"/>
      <c r="AVM60" s="165"/>
      <c r="AVN60" s="165"/>
      <c r="AVO60" s="165"/>
      <c r="AVP60" s="165"/>
      <c r="AVQ60" s="165"/>
      <c r="AVR60" s="165"/>
      <c r="AVS60" s="165"/>
      <c r="AVT60" s="165"/>
      <c r="AVU60" s="165"/>
      <c r="AVV60" s="165"/>
      <c r="AVW60" s="165"/>
      <c r="AVX60" s="165"/>
      <c r="AVY60" s="165"/>
      <c r="AVZ60" s="165"/>
      <c r="AWA60" s="165"/>
      <c r="AWB60" s="165"/>
      <c r="AWC60" s="165"/>
      <c r="AWD60" s="165"/>
      <c r="AWE60" s="165"/>
      <c r="AWF60" s="165"/>
      <c r="AWG60" s="165"/>
      <c r="AWH60" s="165"/>
      <c r="AWI60" s="165"/>
      <c r="AWJ60" s="165"/>
      <c r="AWK60" s="165"/>
      <c r="AWL60" s="165"/>
      <c r="AWM60" s="165"/>
      <c r="AWN60" s="165"/>
      <c r="AWO60" s="165"/>
      <c r="AWP60" s="165"/>
      <c r="AWQ60" s="165"/>
      <c r="AWR60" s="165"/>
      <c r="AWS60" s="165"/>
      <c r="AWT60" s="165"/>
      <c r="AWU60" s="165"/>
      <c r="AWV60" s="165"/>
      <c r="AWW60" s="165"/>
      <c r="AWX60" s="165"/>
      <c r="AWY60" s="165"/>
      <c r="AWZ60" s="165"/>
      <c r="AXA60" s="165"/>
      <c r="AXB60" s="165"/>
      <c r="AXC60" s="165"/>
      <c r="AXD60" s="165"/>
      <c r="AXE60" s="165"/>
      <c r="AXF60" s="165"/>
      <c r="AXG60" s="165"/>
      <c r="AXH60" s="165"/>
      <c r="AXI60" s="165"/>
      <c r="AXJ60" s="165"/>
      <c r="AXK60" s="165"/>
      <c r="AXL60" s="165"/>
      <c r="AXM60" s="165"/>
      <c r="AXN60" s="165"/>
      <c r="AXO60" s="165"/>
      <c r="AXP60" s="165"/>
      <c r="AXQ60" s="165"/>
      <c r="AXR60" s="165"/>
      <c r="AXS60" s="165"/>
      <c r="AXT60" s="165"/>
      <c r="AXU60" s="165"/>
      <c r="AXV60" s="165"/>
      <c r="AXW60" s="165"/>
      <c r="AXX60" s="165"/>
      <c r="AXY60" s="165"/>
      <c r="AXZ60" s="165"/>
      <c r="AYA60" s="165"/>
      <c r="AYB60" s="165"/>
      <c r="AYC60" s="165"/>
      <c r="AYD60" s="165"/>
      <c r="AYE60" s="165"/>
      <c r="AYF60" s="165"/>
      <c r="AYG60" s="165"/>
      <c r="AYH60" s="165"/>
      <c r="AYI60" s="165"/>
      <c r="AYJ60" s="165"/>
      <c r="AYK60" s="165"/>
      <c r="AYL60" s="165"/>
      <c r="AYM60" s="165"/>
      <c r="AYN60" s="165"/>
      <c r="AYO60" s="165"/>
      <c r="AYP60" s="165"/>
      <c r="AYQ60" s="165"/>
      <c r="AYR60" s="165"/>
      <c r="AYS60" s="165"/>
      <c r="AYT60" s="165"/>
      <c r="AYU60" s="165"/>
      <c r="AYV60" s="165"/>
      <c r="AYW60" s="165"/>
      <c r="AYX60" s="165"/>
      <c r="AYY60" s="165"/>
      <c r="AYZ60" s="165"/>
      <c r="AZA60" s="165"/>
      <c r="AZB60" s="165"/>
      <c r="AZC60" s="165"/>
      <c r="AZD60" s="165"/>
      <c r="AZE60" s="165"/>
      <c r="AZF60" s="165"/>
      <c r="AZG60" s="165"/>
      <c r="AZH60" s="165"/>
      <c r="AZI60" s="165"/>
      <c r="AZJ60" s="165"/>
      <c r="AZK60" s="165"/>
      <c r="AZL60" s="165"/>
      <c r="AZM60" s="165"/>
      <c r="AZN60" s="165"/>
      <c r="AZO60" s="165"/>
      <c r="AZP60" s="165"/>
      <c r="AZQ60" s="165"/>
      <c r="AZR60" s="165"/>
      <c r="AZS60" s="165"/>
      <c r="AZT60" s="165"/>
      <c r="AZU60" s="165"/>
      <c r="AZV60" s="165"/>
      <c r="AZW60" s="165"/>
      <c r="AZX60" s="165"/>
      <c r="AZY60" s="165"/>
      <c r="AZZ60" s="165"/>
      <c r="BAA60" s="165"/>
      <c r="BAB60" s="165"/>
      <c r="BAC60" s="165"/>
      <c r="BAD60" s="165"/>
      <c r="BAE60" s="165"/>
      <c r="BAF60" s="165"/>
      <c r="BAG60" s="165"/>
      <c r="BAH60" s="165"/>
      <c r="BAI60" s="165"/>
      <c r="BAJ60" s="165"/>
      <c r="BAK60" s="165"/>
      <c r="BAL60" s="165"/>
      <c r="BAM60" s="165"/>
      <c r="BAN60" s="165"/>
      <c r="BAO60" s="165"/>
      <c r="BAP60" s="165"/>
      <c r="BAQ60" s="165"/>
      <c r="BAR60" s="165"/>
      <c r="BAS60" s="165"/>
      <c r="BAT60" s="165"/>
      <c r="BAU60" s="165"/>
      <c r="BAV60" s="165"/>
      <c r="BAW60" s="165"/>
      <c r="BAX60" s="165"/>
      <c r="BAY60" s="165"/>
      <c r="BAZ60" s="165"/>
      <c r="BBA60" s="165"/>
      <c r="BBB60" s="165"/>
      <c r="BBC60" s="165"/>
      <c r="BBD60" s="165"/>
      <c r="BBE60" s="165"/>
      <c r="BBF60" s="165"/>
      <c r="BBG60" s="165"/>
      <c r="BBH60" s="165"/>
      <c r="BBI60" s="165"/>
      <c r="BBJ60" s="165"/>
      <c r="BBK60" s="165"/>
      <c r="BBL60" s="165"/>
      <c r="BBM60" s="165"/>
      <c r="BBN60" s="165"/>
      <c r="BBO60" s="165"/>
      <c r="BBP60" s="165"/>
      <c r="BBQ60" s="165"/>
      <c r="BBR60" s="165"/>
      <c r="BBS60" s="165"/>
      <c r="BBT60" s="165"/>
      <c r="BBU60" s="165"/>
      <c r="BBV60" s="165"/>
      <c r="BBW60" s="165"/>
      <c r="BBX60" s="165"/>
      <c r="BBY60" s="165"/>
      <c r="BBZ60" s="165"/>
      <c r="BCA60" s="165"/>
      <c r="BCB60" s="165"/>
      <c r="BCC60" s="165"/>
      <c r="BCD60" s="165"/>
      <c r="BCE60" s="165"/>
      <c r="BCF60" s="165"/>
      <c r="BCG60" s="165"/>
      <c r="BCH60" s="165"/>
      <c r="BCI60" s="165"/>
      <c r="BCJ60" s="165"/>
      <c r="BCK60" s="165"/>
      <c r="BCL60" s="165"/>
      <c r="BCM60" s="165"/>
      <c r="BCN60" s="165"/>
      <c r="BCO60" s="165"/>
      <c r="BCP60" s="165"/>
      <c r="BCQ60" s="165"/>
      <c r="BCR60" s="165"/>
      <c r="BCS60" s="165"/>
      <c r="BCT60" s="165"/>
      <c r="BCU60" s="165"/>
      <c r="BCV60" s="165"/>
      <c r="BCW60" s="165"/>
      <c r="BCX60" s="165"/>
      <c r="BCY60" s="165"/>
      <c r="BCZ60" s="165"/>
      <c r="BDA60" s="165"/>
      <c r="BDB60" s="165"/>
      <c r="BDC60" s="165"/>
      <c r="BDD60" s="165"/>
      <c r="BDE60" s="165"/>
      <c r="BDF60" s="165"/>
      <c r="BDG60" s="165"/>
      <c r="BDH60" s="165"/>
      <c r="BDI60" s="165"/>
      <c r="BDJ60" s="165"/>
      <c r="BDK60" s="165"/>
      <c r="BDL60" s="165"/>
      <c r="BDM60" s="165"/>
      <c r="BDN60" s="165"/>
      <c r="BDO60" s="165"/>
      <c r="BDP60" s="165"/>
      <c r="BDQ60" s="165"/>
      <c r="BDR60" s="165"/>
      <c r="BDS60" s="165"/>
      <c r="BDT60" s="165"/>
      <c r="BDU60" s="165"/>
      <c r="BDV60" s="165"/>
      <c r="BDW60" s="165"/>
      <c r="BDX60" s="165"/>
      <c r="BDY60" s="165"/>
      <c r="BDZ60" s="165"/>
      <c r="BEA60" s="165"/>
      <c r="BEB60" s="165"/>
      <c r="BEC60" s="165"/>
      <c r="BED60" s="165"/>
      <c r="BEE60" s="165"/>
      <c r="BEF60" s="165"/>
      <c r="BEG60" s="165"/>
      <c r="BEH60" s="165"/>
      <c r="BEI60" s="165"/>
      <c r="BEJ60" s="165"/>
      <c r="BEK60" s="165"/>
      <c r="BEL60" s="165"/>
      <c r="BEM60" s="165"/>
      <c r="BEN60" s="165"/>
      <c r="BEO60" s="165"/>
      <c r="BEP60" s="165"/>
      <c r="BEQ60" s="165"/>
      <c r="BER60" s="165"/>
      <c r="BES60" s="165"/>
      <c r="BET60" s="165"/>
      <c r="BEU60" s="165"/>
      <c r="BEV60" s="165"/>
      <c r="BEW60" s="165"/>
      <c r="BEX60" s="165"/>
      <c r="BEY60" s="165"/>
      <c r="BEZ60" s="165"/>
      <c r="BFA60" s="165"/>
      <c r="BFB60" s="165"/>
      <c r="BFC60" s="165"/>
      <c r="BFD60" s="165"/>
      <c r="BFE60" s="165"/>
      <c r="BFF60" s="165"/>
      <c r="BFG60" s="165"/>
      <c r="BFH60" s="165"/>
      <c r="BFI60" s="165"/>
      <c r="BFJ60" s="165"/>
      <c r="BFK60" s="165"/>
      <c r="BFL60" s="165"/>
      <c r="BFM60" s="165"/>
      <c r="BFN60" s="165"/>
      <c r="BFO60" s="165"/>
      <c r="BFP60" s="165"/>
      <c r="BFQ60" s="165"/>
      <c r="BFR60" s="165"/>
      <c r="BFS60" s="165"/>
      <c r="BFT60" s="165"/>
      <c r="BFU60" s="165"/>
      <c r="BFV60" s="165"/>
      <c r="BFW60" s="165"/>
      <c r="BFX60" s="165"/>
      <c r="BFY60" s="165"/>
      <c r="BFZ60" s="165"/>
      <c r="BGA60" s="165"/>
      <c r="BGB60" s="165"/>
      <c r="BGC60" s="165"/>
      <c r="BGD60" s="165"/>
      <c r="BGE60" s="165"/>
      <c r="BGF60" s="165"/>
      <c r="BGG60" s="165"/>
      <c r="BGH60" s="165"/>
      <c r="BGI60" s="165"/>
      <c r="BGJ60" s="165"/>
      <c r="BGK60" s="165"/>
      <c r="BGL60" s="165"/>
      <c r="BGM60" s="165"/>
      <c r="BGN60" s="165"/>
      <c r="BGO60" s="165"/>
      <c r="BGP60" s="165"/>
      <c r="BGQ60" s="165"/>
      <c r="BGR60" s="165"/>
      <c r="BGS60" s="165"/>
      <c r="BGT60" s="165"/>
      <c r="BGU60" s="165"/>
      <c r="BGV60" s="165"/>
      <c r="BGW60" s="165"/>
      <c r="BGX60" s="165"/>
      <c r="BGY60" s="165"/>
      <c r="BGZ60" s="165"/>
      <c r="BHA60" s="165"/>
      <c r="BHB60" s="165"/>
      <c r="BHC60" s="165"/>
      <c r="BHD60" s="165"/>
      <c r="BHE60" s="165"/>
      <c r="BHF60" s="165"/>
      <c r="BHG60" s="165"/>
      <c r="BHH60" s="165"/>
      <c r="BHI60" s="165"/>
      <c r="BHJ60" s="165"/>
      <c r="BHK60" s="165"/>
      <c r="BHL60" s="165"/>
      <c r="BHM60" s="165"/>
      <c r="BHN60" s="165"/>
      <c r="BHO60" s="165"/>
      <c r="BHP60" s="165"/>
      <c r="BHQ60" s="165"/>
      <c r="BHR60" s="165"/>
      <c r="BHS60" s="165"/>
      <c r="BHT60" s="165"/>
      <c r="BHU60" s="165"/>
      <c r="BHV60" s="165"/>
      <c r="BHW60" s="165"/>
      <c r="BHX60" s="165"/>
      <c r="BHY60" s="165"/>
      <c r="BHZ60" s="165"/>
      <c r="BIA60" s="165"/>
      <c r="BIB60" s="165"/>
      <c r="BIC60" s="165"/>
      <c r="BID60" s="165"/>
      <c r="BIE60" s="165"/>
      <c r="BIF60" s="165"/>
      <c r="BIG60" s="165"/>
      <c r="BIH60" s="165"/>
      <c r="BII60" s="165"/>
      <c r="BIJ60" s="165"/>
      <c r="BIK60" s="165"/>
      <c r="BIL60" s="165"/>
      <c r="BIM60" s="165"/>
      <c r="BIN60" s="165"/>
      <c r="BIO60" s="165"/>
      <c r="BIP60" s="165"/>
      <c r="BIQ60" s="165"/>
      <c r="BIR60" s="165"/>
      <c r="BIS60" s="165"/>
      <c r="BIT60" s="165"/>
      <c r="BIU60" s="165"/>
      <c r="BIV60" s="165"/>
      <c r="BIW60" s="165"/>
      <c r="BIX60" s="165"/>
      <c r="BIY60" s="165"/>
      <c r="BIZ60" s="165"/>
      <c r="BJA60" s="165"/>
      <c r="BJB60" s="165"/>
      <c r="BJC60" s="165"/>
      <c r="BJD60" s="165"/>
      <c r="BJE60" s="165"/>
      <c r="BJF60" s="165"/>
      <c r="BJG60" s="165"/>
      <c r="BJH60" s="165"/>
      <c r="BJI60" s="165"/>
      <c r="BJJ60" s="165"/>
      <c r="BJK60" s="165"/>
      <c r="BJL60" s="165"/>
      <c r="BJM60" s="165"/>
      <c r="BJN60" s="165"/>
      <c r="BJO60" s="165"/>
      <c r="BJP60" s="165"/>
      <c r="BJQ60" s="165"/>
      <c r="BJR60" s="165"/>
      <c r="BJS60" s="165"/>
      <c r="BJT60" s="165"/>
      <c r="BJU60" s="165"/>
      <c r="BJV60" s="165"/>
      <c r="BJW60" s="165"/>
      <c r="BJX60" s="165"/>
      <c r="BJY60" s="165"/>
      <c r="BJZ60" s="165"/>
      <c r="BKA60" s="165"/>
      <c r="BKB60" s="165"/>
      <c r="BKC60" s="165"/>
      <c r="BKD60" s="165"/>
      <c r="BKE60" s="165"/>
      <c r="BKF60" s="165"/>
      <c r="BKG60" s="165"/>
      <c r="BKH60" s="165"/>
      <c r="BKI60" s="165"/>
      <c r="BKJ60" s="165"/>
      <c r="BKK60" s="165"/>
      <c r="BKL60" s="165"/>
      <c r="BKM60" s="165"/>
      <c r="BKN60" s="165"/>
      <c r="BKO60" s="165"/>
      <c r="BKP60" s="165"/>
      <c r="BKQ60" s="165"/>
      <c r="BKR60" s="165"/>
      <c r="BKS60" s="165"/>
      <c r="BKT60" s="165"/>
      <c r="BKU60" s="165"/>
      <c r="BKV60" s="165"/>
      <c r="BKW60" s="165"/>
      <c r="BKX60" s="165"/>
      <c r="BKY60" s="165"/>
      <c r="BKZ60" s="165"/>
      <c r="BLA60" s="165"/>
      <c r="BLB60" s="165"/>
      <c r="BLC60" s="165"/>
      <c r="BLD60" s="165"/>
      <c r="BLE60" s="165"/>
      <c r="BLF60" s="165"/>
      <c r="BLG60" s="165"/>
      <c r="BLH60" s="165"/>
      <c r="BLI60" s="165"/>
      <c r="BLJ60" s="165"/>
      <c r="BLK60" s="165"/>
      <c r="BLL60" s="165"/>
      <c r="BLM60" s="165"/>
      <c r="BLN60" s="165"/>
      <c r="BLO60" s="165"/>
      <c r="BLP60" s="165"/>
      <c r="BLQ60" s="165"/>
      <c r="BLR60" s="165"/>
      <c r="BLS60" s="165"/>
      <c r="BLT60" s="165"/>
      <c r="BLU60" s="165"/>
      <c r="BLV60" s="165"/>
      <c r="BLW60" s="165"/>
      <c r="BLX60" s="165"/>
      <c r="BLY60" s="165"/>
      <c r="BLZ60" s="165"/>
      <c r="BMA60" s="165"/>
      <c r="BMB60" s="165"/>
      <c r="BMC60" s="165"/>
      <c r="BMD60" s="165"/>
      <c r="BME60" s="165"/>
      <c r="BMF60" s="165"/>
      <c r="BMG60" s="165"/>
      <c r="BMH60" s="165"/>
      <c r="BMI60" s="165"/>
      <c r="BMJ60" s="165"/>
      <c r="BMK60" s="165"/>
      <c r="BML60" s="165"/>
      <c r="BMM60" s="165"/>
      <c r="BMN60" s="165"/>
      <c r="BMO60" s="165"/>
      <c r="BMP60" s="165"/>
      <c r="BMQ60" s="165"/>
      <c r="BMR60" s="165"/>
      <c r="BMS60" s="165"/>
      <c r="BMT60" s="165"/>
      <c r="BMU60" s="165"/>
      <c r="BMV60" s="165"/>
      <c r="BMW60" s="165"/>
      <c r="BMX60" s="165"/>
      <c r="BMY60" s="165"/>
      <c r="BMZ60" s="165"/>
      <c r="BNA60" s="165"/>
      <c r="BNB60" s="165"/>
      <c r="BNC60" s="165"/>
      <c r="BND60" s="165"/>
      <c r="BNE60" s="165"/>
      <c r="BNF60" s="165"/>
      <c r="BNG60" s="165"/>
      <c r="BNH60" s="165"/>
      <c r="BNI60" s="165"/>
      <c r="BNJ60" s="165"/>
      <c r="BNK60" s="165"/>
      <c r="BNL60" s="165"/>
      <c r="BNM60" s="165"/>
      <c r="BNN60" s="165"/>
      <c r="BNO60" s="165"/>
      <c r="BNP60" s="165"/>
      <c r="BNQ60" s="165"/>
      <c r="BNR60" s="165"/>
      <c r="BNS60" s="165"/>
      <c r="BNT60" s="165"/>
      <c r="BNU60" s="165"/>
      <c r="BNV60" s="165"/>
      <c r="BNW60" s="165"/>
      <c r="BNX60" s="165"/>
      <c r="BNY60" s="165"/>
      <c r="BNZ60" s="165"/>
      <c r="BOA60" s="165"/>
      <c r="BOB60" s="165"/>
      <c r="BOC60" s="165"/>
      <c r="BOD60" s="165"/>
      <c r="BOE60" s="165"/>
      <c r="BOF60" s="165"/>
      <c r="BOG60" s="165"/>
      <c r="BOH60" s="165"/>
      <c r="BOI60" s="165"/>
      <c r="BOJ60" s="165"/>
      <c r="BOK60" s="165"/>
      <c r="BOL60" s="165"/>
      <c r="BOM60" s="165"/>
      <c r="BON60" s="165"/>
      <c r="BOO60" s="165"/>
      <c r="BOP60" s="165"/>
      <c r="BOQ60" s="165"/>
      <c r="BOR60" s="165"/>
      <c r="BOS60" s="165"/>
      <c r="BOT60" s="165"/>
      <c r="BOU60" s="165"/>
      <c r="BOV60" s="165"/>
      <c r="BOW60" s="165"/>
      <c r="BOX60" s="165"/>
      <c r="BOY60" s="165"/>
      <c r="BOZ60" s="165"/>
      <c r="BPA60" s="165"/>
      <c r="BPB60" s="165"/>
      <c r="BPC60" s="165"/>
      <c r="BPD60" s="165"/>
      <c r="BPE60" s="165"/>
      <c r="BPF60" s="165"/>
      <c r="BPG60" s="165"/>
      <c r="BPH60" s="165"/>
      <c r="BPI60" s="165"/>
      <c r="BPJ60" s="165"/>
      <c r="BPK60" s="165"/>
      <c r="BPL60" s="165"/>
      <c r="BPM60" s="165"/>
      <c r="BPN60" s="165"/>
      <c r="BPO60" s="165"/>
      <c r="BPP60" s="165"/>
      <c r="BPQ60" s="165"/>
      <c r="BPR60" s="165"/>
      <c r="BPS60" s="165"/>
      <c r="BPT60" s="165"/>
      <c r="BPU60" s="165"/>
      <c r="BPV60" s="165"/>
      <c r="BPW60" s="165"/>
      <c r="BPX60" s="165"/>
      <c r="BPY60" s="165"/>
      <c r="BPZ60" s="165"/>
      <c r="BQA60" s="165"/>
      <c r="BQB60" s="165"/>
      <c r="BQC60" s="165"/>
      <c r="BQD60" s="165"/>
      <c r="BQE60" s="165"/>
      <c r="BQF60" s="165"/>
      <c r="BQG60" s="165"/>
      <c r="BQH60" s="165"/>
      <c r="BQI60" s="165"/>
      <c r="BQJ60" s="165"/>
      <c r="BQK60" s="165"/>
      <c r="BQL60" s="165"/>
      <c r="BQM60" s="165"/>
      <c r="BQN60" s="165"/>
      <c r="BQO60" s="165"/>
      <c r="BQP60" s="165"/>
      <c r="BQQ60" s="165"/>
      <c r="BQR60" s="165"/>
      <c r="BQS60" s="165"/>
      <c r="BQT60" s="165"/>
      <c r="BQU60" s="165"/>
      <c r="BQV60" s="165"/>
      <c r="BQW60" s="165"/>
      <c r="BQX60" s="165"/>
      <c r="BQY60" s="165"/>
      <c r="BQZ60" s="165"/>
      <c r="BRA60" s="165"/>
      <c r="BRB60" s="165"/>
      <c r="BRC60" s="165"/>
      <c r="BRD60" s="165"/>
      <c r="BRE60" s="165"/>
      <c r="BRF60" s="165"/>
      <c r="BRG60" s="165"/>
      <c r="BRH60" s="165"/>
      <c r="BRI60" s="165"/>
      <c r="BRJ60" s="165"/>
      <c r="BRK60" s="165"/>
      <c r="BRL60" s="165"/>
      <c r="BRM60" s="165"/>
      <c r="BRN60" s="165"/>
      <c r="BRO60" s="165"/>
      <c r="BRP60" s="165"/>
      <c r="BRQ60" s="165"/>
      <c r="BRR60" s="165"/>
      <c r="BRS60" s="165"/>
      <c r="BRT60" s="165"/>
      <c r="BRU60" s="165"/>
      <c r="BRV60" s="165"/>
      <c r="BRW60" s="165"/>
      <c r="BRX60" s="165"/>
      <c r="BRY60" s="165"/>
      <c r="BRZ60" s="165"/>
      <c r="BSA60" s="165"/>
      <c r="BSB60" s="165"/>
      <c r="BSC60" s="165"/>
      <c r="BSD60" s="165"/>
      <c r="BSE60" s="165"/>
      <c r="BSF60" s="165"/>
      <c r="BSG60" s="165"/>
      <c r="BSH60" s="165"/>
      <c r="BSI60" s="165"/>
      <c r="BSJ60" s="165"/>
      <c r="BSK60" s="165"/>
      <c r="BSL60" s="165"/>
      <c r="BSM60" s="165"/>
      <c r="BSN60" s="165"/>
      <c r="BSO60" s="165"/>
      <c r="BSP60" s="165"/>
      <c r="BSQ60" s="165"/>
      <c r="BSR60" s="165"/>
      <c r="BSS60" s="165"/>
      <c r="BST60" s="165"/>
      <c r="BSU60" s="165"/>
      <c r="BSV60" s="165"/>
      <c r="BSW60" s="165"/>
      <c r="BSX60" s="165"/>
      <c r="BSY60" s="165"/>
      <c r="BSZ60" s="165"/>
      <c r="BTA60" s="165"/>
      <c r="BTB60" s="165"/>
      <c r="BTC60" s="165"/>
      <c r="BTD60" s="165"/>
      <c r="BTE60" s="165"/>
      <c r="BTF60" s="165"/>
      <c r="BTG60" s="165"/>
      <c r="BTH60" s="165"/>
      <c r="BTI60" s="165"/>
      <c r="BTJ60" s="165"/>
      <c r="BTK60" s="165"/>
      <c r="BTL60" s="165"/>
      <c r="BTM60" s="165"/>
      <c r="BTN60" s="165"/>
      <c r="BTO60" s="165"/>
      <c r="BTP60" s="165"/>
      <c r="BTQ60" s="165"/>
      <c r="BTR60" s="165"/>
      <c r="BTS60" s="165"/>
      <c r="BTT60" s="165"/>
      <c r="BTU60" s="165"/>
      <c r="BTV60" s="165"/>
      <c r="BTW60" s="165"/>
      <c r="BTX60" s="165"/>
      <c r="BTY60" s="165"/>
      <c r="BTZ60" s="165"/>
      <c r="BUA60" s="165"/>
      <c r="BUB60" s="165"/>
      <c r="BUC60" s="165"/>
      <c r="BUD60" s="165"/>
      <c r="BUE60" s="165"/>
      <c r="BUF60" s="165"/>
      <c r="BUG60" s="165"/>
      <c r="BUH60" s="165"/>
      <c r="BUI60" s="165"/>
      <c r="BUJ60" s="165"/>
      <c r="BUK60" s="165"/>
      <c r="BUL60" s="165"/>
      <c r="BUM60" s="165"/>
      <c r="BUN60" s="165"/>
      <c r="BUO60" s="165"/>
      <c r="BUP60" s="165"/>
      <c r="BUQ60" s="165"/>
      <c r="BUR60" s="165"/>
      <c r="BUS60" s="165"/>
      <c r="BUT60" s="165"/>
      <c r="BUU60" s="165"/>
      <c r="BUV60" s="165"/>
      <c r="BUW60" s="165"/>
      <c r="BUX60" s="165"/>
      <c r="BUY60" s="165"/>
      <c r="BUZ60" s="165"/>
      <c r="BVA60" s="165"/>
      <c r="BVB60" s="165"/>
      <c r="BVC60" s="165"/>
      <c r="BVD60" s="165"/>
      <c r="BVE60" s="165"/>
      <c r="BVF60" s="165"/>
      <c r="BVG60" s="165"/>
      <c r="BVH60" s="165"/>
      <c r="BVI60" s="165"/>
      <c r="BVJ60" s="165"/>
      <c r="BVK60" s="165"/>
      <c r="BVL60" s="165"/>
      <c r="BVM60" s="165"/>
      <c r="BVN60" s="165"/>
      <c r="BVO60" s="165"/>
      <c r="BVP60" s="165"/>
      <c r="BVQ60" s="165"/>
      <c r="BVR60" s="165"/>
      <c r="BVS60" s="165"/>
      <c r="BVT60" s="165"/>
      <c r="BVU60" s="165"/>
      <c r="BVV60" s="165"/>
      <c r="BVW60" s="165"/>
      <c r="BVX60" s="165"/>
      <c r="BVY60" s="165"/>
      <c r="BVZ60" s="165"/>
      <c r="BWA60" s="165"/>
      <c r="BWB60" s="165"/>
      <c r="BWC60" s="165"/>
      <c r="BWD60" s="165"/>
      <c r="BWE60" s="165"/>
      <c r="BWF60" s="165"/>
      <c r="BWG60" s="165"/>
      <c r="BWH60" s="165"/>
      <c r="BWI60" s="165"/>
      <c r="BWJ60" s="165"/>
      <c r="BWK60" s="165"/>
      <c r="BWL60" s="165"/>
      <c r="BWM60" s="165"/>
      <c r="BWN60" s="165"/>
      <c r="BWO60" s="165"/>
      <c r="BWP60" s="165"/>
      <c r="BWQ60" s="165"/>
      <c r="BWR60" s="165"/>
      <c r="BWS60" s="165"/>
      <c r="BWT60" s="165"/>
      <c r="BWU60" s="165"/>
      <c r="BWV60" s="165"/>
      <c r="BWW60" s="165"/>
      <c r="BWX60" s="165"/>
      <c r="BWY60" s="165"/>
      <c r="BWZ60" s="165"/>
      <c r="BXA60" s="165"/>
      <c r="BXB60" s="165"/>
      <c r="BXC60" s="165"/>
      <c r="BXD60" s="165"/>
      <c r="BXE60" s="165"/>
      <c r="BXF60" s="165"/>
      <c r="BXG60" s="165"/>
      <c r="BXH60" s="165"/>
      <c r="BXI60" s="165"/>
      <c r="BXJ60" s="165"/>
      <c r="BXK60" s="165"/>
      <c r="BXL60" s="165"/>
      <c r="BXM60" s="165"/>
      <c r="BXN60" s="165"/>
      <c r="BXO60" s="165"/>
      <c r="BXP60" s="165"/>
      <c r="BXQ60" s="165"/>
      <c r="BXR60" s="165"/>
      <c r="BXS60" s="165"/>
      <c r="BXT60" s="165"/>
      <c r="BXU60" s="165"/>
      <c r="BXV60" s="165"/>
      <c r="BXW60" s="165"/>
      <c r="BXX60" s="165"/>
      <c r="BXY60" s="165"/>
      <c r="BXZ60" s="165"/>
      <c r="BYA60" s="165"/>
      <c r="BYB60" s="165"/>
      <c r="BYC60" s="165"/>
      <c r="BYD60" s="165"/>
      <c r="BYE60" s="165"/>
      <c r="BYF60" s="165"/>
      <c r="BYG60" s="165"/>
      <c r="BYH60" s="165"/>
      <c r="BYI60" s="165"/>
      <c r="BYJ60" s="165"/>
      <c r="BYK60" s="165"/>
      <c r="BYL60" s="165"/>
      <c r="BYM60" s="165"/>
      <c r="BYN60" s="165"/>
      <c r="BYO60" s="165"/>
      <c r="BYP60" s="165"/>
      <c r="BYQ60" s="165"/>
      <c r="BYR60" s="165"/>
      <c r="BYS60" s="165"/>
      <c r="BYT60" s="165"/>
      <c r="BYU60" s="165"/>
      <c r="BYV60" s="165"/>
      <c r="BYW60" s="165"/>
      <c r="BYX60" s="165"/>
      <c r="BYY60" s="165"/>
      <c r="BYZ60" s="165"/>
      <c r="BZA60" s="165"/>
      <c r="BZB60" s="165"/>
      <c r="BZC60" s="165"/>
      <c r="BZD60" s="165"/>
      <c r="BZE60" s="165"/>
      <c r="BZF60" s="165"/>
      <c r="BZG60" s="165"/>
      <c r="BZH60" s="165"/>
      <c r="BZI60" s="165"/>
      <c r="BZJ60" s="165"/>
      <c r="BZK60" s="165"/>
      <c r="BZL60" s="165"/>
      <c r="BZM60" s="165"/>
      <c r="BZN60" s="165"/>
      <c r="BZO60" s="165"/>
      <c r="BZP60" s="165"/>
      <c r="BZQ60" s="165"/>
      <c r="BZR60" s="165"/>
      <c r="BZS60" s="165"/>
      <c r="BZT60" s="165"/>
      <c r="BZU60" s="165"/>
      <c r="BZV60" s="165"/>
      <c r="BZW60" s="165"/>
      <c r="BZX60" s="165"/>
      <c r="BZY60" s="165"/>
      <c r="BZZ60" s="165"/>
      <c r="CAA60" s="165"/>
      <c r="CAB60" s="165"/>
      <c r="CAC60" s="165"/>
      <c r="CAD60" s="165"/>
      <c r="CAE60" s="165"/>
      <c r="CAF60" s="165"/>
      <c r="CAG60" s="165"/>
      <c r="CAH60" s="165"/>
      <c r="CAI60" s="165"/>
      <c r="CAJ60" s="165"/>
      <c r="CAK60" s="165"/>
      <c r="CAL60" s="165"/>
      <c r="CAM60" s="165"/>
      <c r="CAN60" s="165"/>
      <c r="CAO60" s="165"/>
      <c r="CAP60" s="165"/>
      <c r="CAQ60" s="165"/>
      <c r="CAR60" s="165"/>
      <c r="CAS60" s="165"/>
      <c r="CAT60" s="165"/>
      <c r="CAU60" s="165"/>
      <c r="CAV60" s="165"/>
      <c r="CAW60" s="165"/>
      <c r="CAX60" s="165"/>
      <c r="CAY60" s="165"/>
      <c r="CAZ60" s="165"/>
      <c r="CBA60" s="165"/>
      <c r="CBB60" s="165"/>
      <c r="CBC60" s="165"/>
      <c r="CBD60" s="165"/>
      <c r="CBE60" s="165"/>
      <c r="CBF60" s="165"/>
      <c r="CBG60" s="165"/>
      <c r="CBH60" s="165"/>
      <c r="CBI60" s="165"/>
      <c r="CBJ60" s="165"/>
      <c r="CBK60" s="165"/>
      <c r="CBL60" s="165"/>
      <c r="CBM60" s="165"/>
      <c r="CBN60" s="165"/>
      <c r="CBO60" s="165"/>
      <c r="CBP60" s="165"/>
      <c r="CBQ60" s="165"/>
      <c r="CBR60" s="165"/>
      <c r="CBS60" s="165"/>
      <c r="CBT60" s="165"/>
      <c r="CBU60" s="165"/>
      <c r="CBV60" s="165"/>
      <c r="CBW60" s="165"/>
      <c r="CBX60" s="165"/>
      <c r="CBY60" s="165"/>
      <c r="CBZ60" s="165"/>
      <c r="CCA60" s="165"/>
      <c r="CCB60" s="165"/>
      <c r="CCC60" s="165"/>
      <c r="CCD60" s="165"/>
      <c r="CCE60" s="165"/>
      <c r="CCF60" s="165"/>
      <c r="CCG60" s="165"/>
      <c r="CCH60" s="165"/>
      <c r="CCI60" s="165"/>
      <c r="CCJ60" s="165"/>
      <c r="CCK60" s="165"/>
      <c r="CCL60" s="165"/>
      <c r="CCM60" s="165"/>
      <c r="CCN60" s="165"/>
      <c r="CCO60" s="165"/>
      <c r="CCP60" s="165"/>
      <c r="CCQ60" s="165"/>
      <c r="CCR60" s="165"/>
      <c r="CCS60" s="165"/>
      <c r="CCT60" s="165"/>
      <c r="CCU60" s="165"/>
      <c r="CCV60" s="165"/>
      <c r="CCW60" s="165"/>
      <c r="CCX60" s="165"/>
      <c r="CCY60" s="165"/>
      <c r="CCZ60" s="165"/>
      <c r="CDA60" s="165"/>
      <c r="CDB60" s="165"/>
      <c r="CDC60" s="165"/>
      <c r="CDD60" s="165"/>
      <c r="CDE60" s="165"/>
      <c r="CDF60" s="165"/>
      <c r="CDG60" s="165"/>
      <c r="CDH60" s="165"/>
      <c r="CDI60" s="165"/>
      <c r="CDJ60" s="165"/>
      <c r="CDK60" s="165"/>
      <c r="CDL60" s="165"/>
      <c r="CDM60" s="165"/>
      <c r="CDN60" s="165"/>
      <c r="CDO60" s="165"/>
      <c r="CDP60" s="165"/>
      <c r="CDQ60" s="165"/>
      <c r="CDR60" s="165"/>
      <c r="CDS60" s="165"/>
      <c r="CDT60" s="165"/>
      <c r="CDU60" s="165"/>
      <c r="CDV60" s="165"/>
      <c r="CDW60" s="165"/>
      <c r="CDX60" s="165"/>
      <c r="CDY60" s="165"/>
      <c r="CDZ60" s="165"/>
      <c r="CEA60" s="165"/>
      <c r="CEB60" s="165"/>
      <c r="CEC60" s="165"/>
      <c r="CED60" s="165"/>
      <c r="CEE60" s="165"/>
      <c r="CEF60" s="165"/>
      <c r="CEG60" s="165"/>
      <c r="CEH60" s="165"/>
      <c r="CEI60" s="165"/>
      <c r="CEJ60" s="165"/>
      <c r="CEK60" s="165"/>
      <c r="CEL60" s="165"/>
      <c r="CEM60" s="165"/>
      <c r="CEN60" s="165"/>
      <c r="CEO60" s="165"/>
      <c r="CEP60" s="165"/>
      <c r="CEQ60" s="165"/>
      <c r="CER60" s="165"/>
      <c r="CES60" s="165"/>
      <c r="CET60" s="165"/>
      <c r="CEU60" s="165"/>
      <c r="CEV60" s="165"/>
      <c r="CEW60" s="165"/>
      <c r="CEX60" s="165"/>
      <c r="CEY60" s="165"/>
      <c r="CEZ60" s="165"/>
      <c r="CFA60" s="165"/>
      <c r="CFB60" s="165"/>
      <c r="CFC60" s="165"/>
      <c r="CFD60" s="165"/>
      <c r="CFE60" s="165"/>
      <c r="CFF60" s="165"/>
      <c r="CFG60" s="165"/>
      <c r="CFH60" s="165"/>
      <c r="CFI60" s="165"/>
      <c r="CFJ60" s="165"/>
      <c r="CFK60" s="165"/>
      <c r="CFL60" s="165"/>
      <c r="CFM60" s="165"/>
      <c r="CFN60" s="165"/>
      <c r="CFO60" s="165"/>
      <c r="CFP60" s="165"/>
      <c r="CFQ60" s="165"/>
      <c r="CFR60" s="165"/>
      <c r="CFS60" s="165"/>
      <c r="CFT60" s="165"/>
      <c r="CFU60" s="165"/>
      <c r="CFV60" s="165"/>
      <c r="CFW60" s="165"/>
      <c r="CFX60" s="165"/>
      <c r="CFY60" s="165"/>
      <c r="CFZ60" s="165"/>
      <c r="CGA60" s="165"/>
      <c r="CGB60" s="165"/>
      <c r="CGC60" s="165"/>
      <c r="CGD60" s="165"/>
      <c r="CGE60" s="165"/>
      <c r="CGF60" s="165"/>
      <c r="CGG60" s="165"/>
      <c r="CGH60" s="165"/>
      <c r="CGI60" s="165"/>
      <c r="CGJ60" s="165"/>
      <c r="CGK60" s="165"/>
      <c r="CGL60" s="165"/>
      <c r="CGM60" s="165"/>
      <c r="CGN60" s="165"/>
      <c r="CGO60" s="165"/>
      <c r="CGP60" s="165"/>
      <c r="CGQ60" s="165"/>
      <c r="CGR60" s="165"/>
      <c r="CGS60" s="165"/>
      <c r="CGT60" s="165"/>
      <c r="CGU60" s="165"/>
      <c r="CGV60" s="165"/>
      <c r="CGW60" s="165"/>
      <c r="CGX60" s="165"/>
      <c r="CGY60" s="165"/>
      <c r="CGZ60" s="165"/>
      <c r="CHA60" s="165"/>
      <c r="CHB60" s="165"/>
      <c r="CHC60" s="165"/>
      <c r="CHD60" s="165"/>
      <c r="CHE60" s="165"/>
      <c r="CHF60" s="165"/>
      <c r="CHG60" s="165"/>
      <c r="CHH60" s="165"/>
      <c r="CHI60" s="165"/>
      <c r="CHJ60" s="165"/>
      <c r="CHK60" s="165"/>
      <c r="CHL60" s="165"/>
      <c r="CHM60" s="165"/>
      <c r="CHN60" s="165"/>
      <c r="CHO60" s="165"/>
      <c r="CHP60" s="165"/>
      <c r="CHQ60" s="165"/>
      <c r="CHR60" s="165"/>
      <c r="CHS60" s="165"/>
      <c r="CHT60" s="165"/>
      <c r="CHU60" s="165"/>
      <c r="CHV60" s="165"/>
      <c r="CHW60" s="165"/>
      <c r="CHX60" s="165"/>
      <c r="CHY60" s="165"/>
      <c r="CHZ60" s="165"/>
      <c r="CIA60" s="165"/>
      <c r="CIB60" s="165"/>
      <c r="CIC60" s="165"/>
      <c r="CID60" s="165"/>
      <c r="CIE60" s="165"/>
      <c r="CIF60" s="165"/>
      <c r="CIG60" s="165"/>
      <c r="CIH60" s="165"/>
      <c r="CII60" s="165"/>
      <c r="CIJ60" s="165"/>
      <c r="CIK60" s="165"/>
      <c r="CIL60" s="165"/>
      <c r="CIM60" s="165"/>
      <c r="CIN60" s="165"/>
      <c r="CIO60" s="165"/>
      <c r="CIP60" s="165"/>
      <c r="CIQ60" s="165"/>
      <c r="CIR60" s="165"/>
      <c r="CIS60" s="165"/>
      <c r="CIT60" s="165"/>
      <c r="CIU60" s="165"/>
      <c r="CIV60" s="165"/>
      <c r="CIW60" s="165"/>
      <c r="CIX60" s="165"/>
      <c r="CIY60" s="165"/>
      <c r="CIZ60" s="165"/>
      <c r="CJA60" s="165"/>
      <c r="CJB60" s="165"/>
      <c r="CJC60" s="165"/>
      <c r="CJD60" s="165"/>
      <c r="CJE60" s="165"/>
      <c r="CJF60" s="165"/>
      <c r="CJG60" s="165"/>
      <c r="CJH60" s="165"/>
      <c r="CJI60" s="165"/>
      <c r="CJJ60" s="165"/>
      <c r="CJK60" s="165"/>
      <c r="CJL60" s="165"/>
      <c r="CJM60" s="165"/>
      <c r="CJN60" s="165"/>
      <c r="CJO60" s="165"/>
      <c r="CJP60" s="165"/>
      <c r="CJQ60" s="165"/>
      <c r="CJR60" s="165"/>
      <c r="CJS60" s="165"/>
      <c r="CJT60" s="165"/>
      <c r="CJU60" s="165"/>
      <c r="CJV60" s="165"/>
      <c r="CJW60" s="165"/>
      <c r="CJX60" s="165"/>
      <c r="CJY60" s="165"/>
      <c r="CJZ60" s="165"/>
      <c r="CKA60" s="165"/>
      <c r="CKB60" s="165"/>
      <c r="CKC60" s="165"/>
      <c r="CKD60" s="165"/>
      <c r="CKE60" s="165"/>
      <c r="CKF60" s="165"/>
      <c r="CKG60" s="165"/>
      <c r="CKH60" s="165"/>
      <c r="CKI60" s="165"/>
      <c r="CKJ60" s="165"/>
      <c r="CKK60" s="165"/>
      <c r="CKL60" s="165"/>
      <c r="CKM60" s="165"/>
      <c r="CKN60" s="165"/>
      <c r="CKO60" s="165"/>
      <c r="CKP60" s="165"/>
      <c r="CKQ60" s="165"/>
      <c r="CKR60" s="165"/>
      <c r="CKS60" s="165"/>
      <c r="CKT60" s="165"/>
      <c r="CKU60" s="165"/>
      <c r="CKV60" s="165"/>
      <c r="CKW60" s="165"/>
      <c r="CKX60" s="165"/>
      <c r="CKY60" s="165"/>
      <c r="CKZ60" s="165"/>
      <c r="CLA60" s="165"/>
      <c r="CLB60" s="165"/>
      <c r="CLC60" s="165"/>
      <c r="CLD60" s="165"/>
      <c r="CLE60" s="165"/>
      <c r="CLF60" s="165"/>
      <c r="CLG60" s="165"/>
      <c r="CLH60" s="165"/>
      <c r="CLI60" s="165"/>
      <c r="CLJ60" s="165"/>
      <c r="CLK60" s="165"/>
      <c r="CLL60" s="165"/>
      <c r="CLM60" s="165"/>
      <c r="CLN60" s="165"/>
      <c r="CLO60" s="165"/>
      <c r="CLP60" s="165"/>
      <c r="CLQ60" s="165"/>
      <c r="CLR60" s="165"/>
      <c r="CLS60" s="165"/>
      <c r="CLT60" s="165"/>
      <c r="CLU60" s="165"/>
      <c r="CLV60" s="165"/>
      <c r="CLW60" s="165"/>
      <c r="CLX60" s="165"/>
      <c r="CLY60" s="165"/>
      <c r="CLZ60" s="165"/>
      <c r="CMA60" s="165"/>
      <c r="CMB60" s="165"/>
      <c r="CMC60" s="165"/>
      <c r="CMD60" s="165"/>
      <c r="CME60" s="165"/>
      <c r="CMF60" s="165"/>
      <c r="CMG60" s="165"/>
      <c r="CMH60" s="165"/>
      <c r="CMI60" s="165"/>
      <c r="CMJ60" s="165"/>
      <c r="CMK60" s="165"/>
      <c r="CML60" s="165"/>
      <c r="CMM60" s="165"/>
      <c r="CMN60" s="165"/>
      <c r="CMO60" s="165"/>
      <c r="CMP60" s="165"/>
      <c r="CMQ60" s="165"/>
      <c r="CMR60" s="165"/>
      <c r="CMS60" s="165"/>
      <c r="CMT60" s="165"/>
      <c r="CMU60" s="165"/>
      <c r="CMV60" s="165"/>
      <c r="CMW60" s="165"/>
      <c r="CMX60" s="165"/>
      <c r="CMY60" s="165"/>
      <c r="CMZ60" s="165"/>
      <c r="CNA60" s="165"/>
      <c r="CNB60" s="165"/>
      <c r="CNC60" s="165"/>
      <c r="CND60" s="165"/>
      <c r="CNE60" s="165"/>
      <c r="CNF60" s="165"/>
      <c r="CNG60" s="165"/>
      <c r="CNH60" s="165"/>
      <c r="CNI60" s="165"/>
      <c r="CNJ60" s="165"/>
      <c r="CNK60" s="165"/>
      <c r="CNL60" s="165"/>
      <c r="CNM60" s="165"/>
      <c r="CNN60" s="165"/>
      <c r="CNO60" s="165"/>
      <c r="CNP60" s="165"/>
      <c r="CNQ60" s="165"/>
      <c r="CNR60" s="165"/>
      <c r="CNS60" s="165"/>
      <c r="CNT60" s="165"/>
      <c r="CNU60" s="165"/>
      <c r="CNV60" s="165"/>
      <c r="CNW60" s="165"/>
      <c r="CNX60" s="165"/>
      <c r="CNY60" s="165"/>
      <c r="CNZ60" s="165"/>
      <c r="COA60" s="165"/>
      <c r="COB60" s="165"/>
      <c r="COC60" s="165"/>
      <c r="COD60" s="165"/>
      <c r="COE60" s="165"/>
      <c r="COF60" s="165"/>
      <c r="COG60" s="165"/>
      <c r="COH60" s="165"/>
      <c r="COI60" s="165"/>
      <c r="COJ60" s="165"/>
      <c r="COK60" s="165"/>
      <c r="COL60" s="165"/>
      <c r="COM60" s="165"/>
      <c r="CON60" s="165"/>
      <c r="COO60" s="165"/>
      <c r="COP60" s="165"/>
      <c r="COQ60" s="165"/>
      <c r="COR60" s="165"/>
      <c r="COS60" s="165"/>
      <c r="COT60" s="165"/>
      <c r="COU60" s="165"/>
      <c r="COV60" s="165"/>
      <c r="COW60" s="165"/>
      <c r="COX60" s="165"/>
      <c r="COY60" s="165"/>
      <c r="COZ60" s="165"/>
      <c r="CPA60" s="165"/>
      <c r="CPB60" s="165"/>
      <c r="CPC60" s="165"/>
      <c r="CPD60" s="165"/>
      <c r="CPE60" s="165"/>
      <c r="CPF60" s="165"/>
      <c r="CPG60" s="165"/>
      <c r="CPH60" s="165"/>
      <c r="CPI60" s="165"/>
      <c r="CPJ60" s="165"/>
      <c r="CPK60" s="165"/>
      <c r="CPL60" s="165"/>
      <c r="CPM60" s="165"/>
      <c r="CPN60" s="165"/>
      <c r="CPO60" s="165"/>
      <c r="CPP60" s="165"/>
      <c r="CPQ60" s="165"/>
      <c r="CPR60" s="165"/>
      <c r="CPS60" s="165"/>
      <c r="CPT60" s="165"/>
      <c r="CPU60" s="165"/>
      <c r="CPV60" s="165"/>
      <c r="CPW60" s="165"/>
      <c r="CPX60" s="165"/>
      <c r="CPY60" s="165"/>
      <c r="CPZ60" s="165"/>
      <c r="CQA60" s="165"/>
      <c r="CQB60" s="165"/>
      <c r="CQC60" s="165"/>
      <c r="CQD60" s="165"/>
      <c r="CQE60" s="165"/>
      <c r="CQF60" s="165"/>
      <c r="CQG60" s="165"/>
      <c r="CQH60" s="165"/>
      <c r="CQI60" s="165"/>
      <c r="CQJ60" s="165"/>
      <c r="CQK60" s="165"/>
      <c r="CQL60" s="165"/>
      <c r="CQM60" s="165"/>
      <c r="CQN60" s="165"/>
      <c r="CQO60" s="165"/>
      <c r="CQP60" s="165"/>
      <c r="CQQ60" s="165"/>
      <c r="CQR60" s="165"/>
      <c r="CQS60" s="165"/>
      <c r="CQT60" s="165"/>
      <c r="CQU60" s="165"/>
      <c r="CQV60" s="165"/>
      <c r="CQW60" s="165"/>
      <c r="CQX60" s="165"/>
      <c r="CQY60" s="165"/>
      <c r="CQZ60" s="165"/>
      <c r="CRA60" s="165"/>
      <c r="CRB60" s="165"/>
      <c r="CRC60" s="165"/>
      <c r="CRD60" s="165"/>
      <c r="CRE60" s="165"/>
      <c r="CRF60" s="165"/>
      <c r="CRG60" s="165"/>
      <c r="CRH60" s="165"/>
      <c r="CRI60" s="165"/>
      <c r="CRJ60" s="165"/>
      <c r="CRK60" s="165"/>
      <c r="CRL60" s="165"/>
      <c r="CRM60" s="165"/>
      <c r="CRN60" s="165"/>
      <c r="CRO60" s="165"/>
      <c r="CRP60" s="165"/>
      <c r="CRQ60" s="165"/>
      <c r="CRR60" s="165"/>
      <c r="CRS60" s="165"/>
      <c r="CRT60" s="165"/>
      <c r="CRU60" s="165"/>
      <c r="CRV60" s="165"/>
      <c r="CRW60" s="165"/>
      <c r="CRX60" s="165"/>
      <c r="CRY60" s="165"/>
      <c r="CRZ60" s="165"/>
      <c r="CSA60" s="165"/>
      <c r="CSB60" s="165"/>
      <c r="CSC60" s="165"/>
      <c r="CSD60" s="165"/>
      <c r="CSE60" s="165"/>
      <c r="CSF60" s="165"/>
      <c r="CSG60" s="165"/>
      <c r="CSH60" s="165"/>
      <c r="CSI60" s="165"/>
      <c r="CSJ60" s="165"/>
      <c r="CSK60" s="165"/>
      <c r="CSL60" s="165"/>
      <c r="CSM60" s="165"/>
      <c r="CSN60" s="165"/>
      <c r="CSO60" s="165"/>
      <c r="CSP60" s="165"/>
      <c r="CSQ60" s="165"/>
      <c r="CSR60" s="165"/>
      <c r="CSS60" s="165"/>
      <c r="CST60" s="165"/>
      <c r="CSU60" s="165"/>
      <c r="CSV60" s="165"/>
      <c r="CSW60" s="165"/>
      <c r="CSX60" s="165"/>
      <c r="CSY60" s="165"/>
      <c r="CSZ60" s="165"/>
      <c r="CTA60" s="165"/>
      <c r="CTB60" s="165"/>
      <c r="CTC60" s="165"/>
      <c r="CTD60" s="165"/>
      <c r="CTE60" s="165"/>
      <c r="CTF60" s="165"/>
      <c r="CTG60" s="165"/>
      <c r="CTH60" s="165"/>
      <c r="CTI60" s="165"/>
      <c r="CTJ60" s="165"/>
      <c r="CTK60" s="165"/>
      <c r="CTL60" s="165"/>
      <c r="CTM60" s="165"/>
      <c r="CTN60" s="165"/>
      <c r="CTO60" s="165"/>
      <c r="CTP60" s="165"/>
      <c r="CTQ60" s="165"/>
      <c r="CTR60" s="165"/>
      <c r="CTS60" s="165"/>
      <c r="CTT60" s="165"/>
      <c r="CTU60" s="165"/>
      <c r="CTV60" s="165"/>
      <c r="CTW60" s="165"/>
      <c r="CTX60" s="165"/>
      <c r="CTY60" s="165"/>
      <c r="CTZ60" s="165"/>
      <c r="CUA60" s="165"/>
      <c r="CUB60" s="165"/>
      <c r="CUC60" s="165"/>
      <c r="CUD60" s="165"/>
      <c r="CUE60" s="165"/>
      <c r="CUF60" s="165"/>
      <c r="CUG60" s="165"/>
      <c r="CUH60" s="165"/>
      <c r="CUI60" s="165"/>
      <c r="CUJ60" s="165"/>
      <c r="CUK60" s="165"/>
      <c r="CUL60" s="165"/>
      <c r="CUM60" s="165"/>
      <c r="CUN60" s="165"/>
      <c r="CUO60" s="165"/>
      <c r="CUP60" s="165"/>
      <c r="CUQ60" s="165"/>
      <c r="CUR60" s="165"/>
      <c r="CUS60" s="165"/>
      <c r="CUT60" s="165"/>
      <c r="CUU60" s="165"/>
      <c r="CUV60" s="165"/>
      <c r="CUW60" s="165"/>
      <c r="CUX60" s="165"/>
      <c r="CUY60" s="165"/>
      <c r="CUZ60" s="165"/>
      <c r="CVA60" s="165"/>
      <c r="CVB60" s="165"/>
      <c r="CVC60" s="165"/>
      <c r="CVD60" s="165"/>
      <c r="CVE60" s="165"/>
      <c r="CVF60" s="165"/>
      <c r="CVG60" s="165"/>
      <c r="CVH60" s="165"/>
      <c r="CVI60" s="165"/>
      <c r="CVJ60" s="165"/>
      <c r="CVK60" s="165"/>
      <c r="CVL60" s="165"/>
      <c r="CVM60" s="165"/>
      <c r="CVN60" s="165"/>
      <c r="CVO60" s="165"/>
      <c r="CVP60" s="165"/>
      <c r="CVQ60" s="165"/>
      <c r="CVR60" s="165"/>
      <c r="CVS60" s="165"/>
      <c r="CVT60" s="165"/>
      <c r="CVU60" s="165"/>
      <c r="CVV60" s="165"/>
      <c r="CVW60" s="165"/>
      <c r="CVX60" s="165"/>
      <c r="CVY60" s="165"/>
      <c r="CVZ60" s="165"/>
      <c r="CWA60" s="165"/>
      <c r="CWB60" s="165"/>
      <c r="CWC60" s="165"/>
      <c r="CWD60" s="165"/>
      <c r="CWE60" s="165"/>
      <c r="CWF60" s="165"/>
      <c r="CWG60" s="165"/>
      <c r="CWH60" s="165"/>
      <c r="CWI60" s="165"/>
      <c r="CWJ60" s="165"/>
      <c r="CWK60" s="165"/>
      <c r="CWL60" s="165"/>
      <c r="CWM60" s="165"/>
      <c r="CWN60" s="165"/>
      <c r="CWO60" s="165"/>
      <c r="CWP60" s="165"/>
      <c r="CWQ60" s="165"/>
      <c r="CWR60" s="165"/>
      <c r="CWS60" s="165"/>
      <c r="CWT60" s="165"/>
      <c r="CWU60" s="165"/>
      <c r="CWV60" s="165"/>
      <c r="CWW60" s="165"/>
      <c r="CWX60" s="165"/>
      <c r="CWY60" s="165"/>
      <c r="CWZ60" s="165"/>
      <c r="CXA60" s="165"/>
      <c r="CXB60" s="165"/>
      <c r="CXC60" s="165"/>
      <c r="CXD60" s="165"/>
      <c r="CXE60" s="165"/>
      <c r="CXF60" s="165"/>
      <c r="CXG60" s="165"/>
      <c r="CXH60" s="165"/>
      <c r="CXI60" s="165"/>
      <c r="CXJ60" s="165"/>
      <c r="CXK60" s="165"/>
      <c r="CXL60" s="165"/>
      <c r="CXM60" s="165"/>
      <c r="CXN60" s="165"/>
      <c r="CXO60" s="165"/>
      <c r="CXP60" s="165"/>
      <c r="CXQ60" s="165"/>
      <c r="CXR60" s="165"/>
      <c r="CXS60" s="165"/>
      <c r="CXT60" s="165"/>
      <c r="CXU60" s="165"/>
      <c r="CXV60" s="165"/>
      <c r="CXW60" s="165"/>
      <c r="CXX60" s="165"/>
      <c r="CXY60" s="165"/>
      <c r="CXZ60" s="165"/>
      <c r="CYA60" s="165"/>
      <c r="CYB60" s="165"/>
      <c r="CYC60" s="165"/>
      <c r="CYD60" s="165"/>
      <c r="CYE60" s="165"/>
      <c r="CYF60" s="165"/>
      <c r="CYG60" s="165"/>
      <c r="CYH60" s="165"/>
      <c r="CYI60" s="165"/>
      <c r="CYJ60" s="165"/>
      <c r="CYK60" s="165"/>
      <c r="CYL60" s="165"/>
      <c r="CYM60" s="165"/>
      <c r="CYN60" s="165"/>
      <c r="CYO60" s="165"/>
      <c r="CYP60" s="165"/>
      <c r="CYQ60" s="165"/>
      <c r="CYR60" s="165"/>
      <c r="CYS60" s="165"/>
      <c r="CYT60" s="165"/>
      <c r="CYU60" s="165"/>
      <c r="CYV60" s="165"/>
      <c r="CYW60" s="165"/>
      <c r="CYX60" s="165"/>
      <c r="CYY60" s="165"/>
      <c r="CYZ60" s="165"/>
      <c r="CZA60" s="165"/>
      <c r="CZB60" s="165"/>
      <c r="CZC60" s="165"/>
      <c r="CZD60" s="165"/>
      <c r="CZE60" s="165"/>
      <c r="CZF60" s="165"/>
      <c r="CZG60" s="165"/>
      <c r="CZH60" s="165"/>
      <c r="CZI60" s="165"/>
      <c r="CZJ60" s="165"/>
      <c r="CZK60" s="165"/>
      <c r="CZL60" s="165"/>
      <c r="CZM60" s="165"/>
      <c r="CZN60" s="165"/>
      <c r="CZO60" s="165"/>
      <c r="CZP60" s="165"/>
      <c r="CZQ60" s="165"/>
      <c r="CZR60" s="165"/>
      <c r="CZS60" s="165"/>
      <c r="CZT60" s="165"/>
      <c r="CZU60" s="165"/>
      <c r="CZV60" s="165"/>
      <c r="CZW60" s="165"/>
      <c r="CZX60" s="165"/>
      <c r="CZY60" s="165"/>
      <c r="CZZ60" s="165"/>
      <c r="DAA60" s="165"/>
      <c r="DAB60" s="165"/>
      <c r="DAC60" s="165"/>
      <c r="DAD60" s="165"/>
      <c r="DAE60" s="165"/>
      <c r="DAF60" s="165"/>
      <c r="DAG60" s="165"/>
      <c r="DAH60" s="165"/>
      <c r="DAI60" s="165"/>
      <c r="DAJ60" s="165"/>
      <c r="DAK60" s="165"/>
      <c r="DAL60" s="165"/>
      <c r="DAM60" s="165"/>
      <c r="DAN60" s="165"/>
      <c r="DAO60" s="165"/>
      <c r="DAP60" s="165"/>
      <c r="DAQ60" s="165"/>
      <c r="DAR60" s="165"/>
      <c r="DAS60" s="165"/>
      <c r="DAT60" s="165"/>
      <c r="DAU60" s="165"/>
      <c r="DAV60" s="165"/>
      <c r="DAW60" s="165"/>
      <c r="DAX60" s="165"/>
      <c r="DAY60" s="165"/>
      <c r="DAZ60" s="165"/>
      <c r="DBA60" s="165"/>
      <c r="DBB60" s="165"/>
      <c r="DBC60" s="165"/>
      <c r="DBD60" s="165"/>
      <c r="DBE60" s="165"/>
      <c r="DBF60" s="165"/>
      <c r="DBG60" s="165"/>
      <c r="DBH60" s="165"/>
      <c r="DBI60" s="165"/>
      <c r="DBJ60" s="165"/>
      <c r="DBK60" s="165"/>
      <c r="DBL60" s="165"/>
      <c r="DBM60" s="165"/>
      <c r="DBN60" s="165"/>
      <c r="DBO60" s="165"/>
      <c r="DBP60" s="165"/>
      <c r="DBQ60" s="165"/>
      <c r="DBR60" s="165"/>
      <c r="DBS60" s="165"/>
      <c r="DBT60" s="165"/>
      <c r="DBU60" s="165"/>
      <c r="DBV60" s="165"/>
      <c r="DBW60" s="165"/>
      <c r="DBX60" s="165"/>
      <c r="DBY60" s="165"/>
      <c r="DBZ60" s="165"/>
      <c r="DCA60" s="165"/>
      <c r="DCB60" s="165"/>
      <c r="DCC60" s="165"/>
      <c r="DCD60" s="165"/>
      <c r="DCE60" s="165"/>
      <c r="DCF60" s="165"/>
      <c r="DCG60" s="165"/>
      <c r="DCH60" s="165"/>
      <c r="DCI60" s="165"/>
      <c r="DCJ60" s="165"/>
      <c r="DCK60" s="165"/>
      <c r="DCL60" s="165"/>
      <c r="DCM60" s="165"/>
      <c r="DCN60" s="165"/>
      <c r="DCO60" s="165"/>
      <c r="DCP60" s="165"/>
      <c r="DCQ60" s="165"/>
      <c r="DCR60" s="165"/>
      <c r="DCS60" s="165"/>
      <c r="DCT60" s="165"/>
      <c r="DCU60" s="165"/>
      <c r="DCV60" s="165"/>
      <c r="DCW60" s="165"/>
      <c r="DCX60" s="165"/>
      <c r="DCY60" s="165"/>
      <c r="DCZ60" s="165"/>
      <c r="DDA60" s="165"/>
      <c r="DDB60" s="165"/>
      <c r="DDC60" s="165"/>
      <c r="DDD60" s="165"/>
      <c r="DDE60" s="165"/>
      <c r="DDF60" s="165"/>
      <c r="DDG60" s="165"/>
      <c r="DDH60" s="165"/>
      <c r="DDI60" s="165"/>
      <c r="DDJ60" s="165"/>
      <c r="DDK60" s="165"/>
      <c r="DDL60" s="165"/>
      <c r="DDM60" s="165"/>
      <c r="DDN60" s="165"/>
      <c r="DDO60" s="165"/>
      <c r="DDP60" s="165"/>
      <c r="DDQ60" s="165"/>
      <c r="DDR60" s="165"/>
      <c r="DDS60" s="165"/>
      <c r="DDT60" s="165"/>
      <c r="DDU60" s="165"/>
      <c r="DDV60" s="165"/>
      <c r="DDW60" s="165"/>
      <c r="DDX60" s="165"/>
      <c r="DDY60" s="165"/>
      <c r="DDZ60" s="165"/>
      <c r="DEA60" s="165"/>
      <c r="DEB60" s="165"/>
      <c r="DEC60" s="165"/>
      <c r="DED60" s="165"/>
      <c r="DEE60" s="165"/>
      <c r="DEF60" s="165"/>
      <c r="DEG60" s="165"/>
      <c r="DEH60" s="165"/>
      <c r="DEI60" s="165"/>
      <c r="DEJ60" s="165"/>
      <c r="DEK60" s="165"/>
      <c r="DEL60" s="165"/>
      <c r="DEM60" s="165"/>
      <c r="DEN60" s="165"/>
      <c r="DEO60" s="165"/>
      <c r="DEP60" s="165"/>
      <c r="DEQ60" s="165"/>
      <c r="DER60" s="165"/>
      <c r="DES60" s="165"/>
      <c r="DET60" s="165"/>
      <c r="DEU60" s="165"/>
      <c r="DEV60" s="165"/>
      <c r="DEW60" s="165"/>
      <c r="DEX60" s="165"/>
      <c r="DEY60" s="165"/>
      <c r="DEZ60" s="165"/>
      <c r="DFA60" s="165"/>
      <c r="DFB60" s="165"/>
      <c r="DFC60" s="165"/>
      <c r="DFD60" s="165"/>
      <c r="DFE60" s="165"/>
      <c r="DFF60" s="165"/>
      <c r="DFG60" s="165"/>
      <c r="DFH60" s="165"/>
      <c r="DFI60" s="165"/>
      <c r="DFJ60" s="165"/>
      <c r="DFK60" s="165"/>
      <c r="DFL60" s="165"/>
      <c r="DFM60" s="165"/>
      <c r="DFN60" s="165"/>
      <c r="DFO60" s="165"/>
      <c r="DFP60" s="165"/>
      <c r="DFQ60" s="165"/>
      <c r="DFR60" s="165"/>
      <c r="DFS60" s="165"/>
      <c r="DFT60" s="165"/>
      <c r="DFU60" s="165"/>
      <c r="DFV60" s="165"/>
      <c r="DFW60" s="165"/>
      <c r="DFX60" s="165"/>
      <c r="DFY60" s="165"/>
      <c r="DFZ60" s="165"/>
      <c r="DGA60" s="165"/>
      <c r="DGB60" s="165"/>
      <c r="DGC60" s="165"/>
      <c r="DGD60" s="165"/>
      <c r="DGE60" s="165"/>
      <c r="DGF60" s="165"/>
      <c r="DGG60" s="165"/>
      <c r="DGH60" s="165"/>
      <c r="DGI60" s="165"/>
      <c r="DGJ60" s="165"/>
      <c r="DGK60" s="165"/>
      <c r="DGL60" s="165"/>
      <c r="DGM60" s="165"/>
      <c r="DGN60" s="165"/>
      <c r="DGO60" s="165"/>
      <c r="DGP60" s="165"/>
      <c r="DGQ60" s="165"/>
      <c r="DGR60" s="165"/>
      <c r="DGS60" s="165"/>
      <c r="DGT60" s="165"/>
      <c r="DGU60" s="165"/>
      <c r="DGV60" s="165"/>
      <c r="DGW60" s="165"/>
      <c r="DGX60" s="165"/>
      <c r="DGY60" s="165"/>
      <c r="DGZ60" s="165"/>
      <c r="DHA60" s="165"/>
      <c r="DHB60" s="165"/>
      <c r="DHC60" s="165"/>
      <c r="DHD60" s="165"/>
      <c r="DHE60" s="165"/>
      <c r="DHF60" s="165"/>
      <c r="DHG60" s="165"/>
      <c r="DHH60" s="165"/>
      <c r="DHI60" s="165"/>
      <c r="DHJ60" s="165"/>
      <c r="DHK60" s="165"/>
      <c r="DHL60" s="165"/>
      <c r="DHM60" s="165"/>
      <c r="DHN60" s="165"/>
      <c r="DHO60" s="165"/>
      <c r="DHP60" s="165"/>
      <c r="DHQ60" s="165"/>
      <c r="DHR60" s="165"/>
      <c r="DHS60" s="165"/>
      <c r="DHT60" s="165"/>
      <c r="DHU60" s="165"/>
      <c r="DHV60" s="165"/>
      <c r="DHW60" s="165"/>
      <c r="DHX60" s="165"/>
      <c r="DHY60" s="165"/>
      <c r="DHZ60" s="165"/>
      <c r="DIA60" s="165"/>
      <c r="DIB60" s="165"/>
      <c r="DIC60" s="165"/>
      <c r="DID60" s="165"/>
      <c r="DIE60" s="165"/>
      <c r="DIF60" s="165"/>
      <c r="DIG60" s="165"/>
      <c r="DIH60" s="165"/>
      <c r="DII60" s="165"/>
      <c r="DIJ60" s="165"/>
      <c r="DIK60" s="165"/>
      <c r="DIL60" s="165"/>
      <c r="DIM60" s="165"/>
      <c r="DIN60" s="165"/>
      <c r="DIO60" s="165"/>
      <c r="DIP60" s="165"/>
      <c r="DIQ60" s="165"/>
      <c r="DIR60" s="165"/>
      <c r="DIS60" s="165"/>
      <c r="DIT60" s="165"/>
      <c r="DIU60" s="165"/>
      <c r="DIV60" s="165"/>
      <c r="DIW60" s="165"/>
      <c r="DIX60" s="165"/>
      <c r="DIY60" s="165"/>
      <c r="DIZ60" s="165"/>
      <c r="DJA60" s="165"/>
      <c r="DJB60" s="165"/>
      <c r="DJC60" s="165"/>
      <c r="DJD60" s="165"/>
      <c r="DJE60" s="165"/>
      <c r="DJF60" s="165"/>
      <c r="DJG60" s="165"/>
      <c r="DJH60" s="165"/>
      <c r="DJI60" s="165"/>
      <c r="DJJ60" s="165"/>
      <c r="DJK60" s="165"/>
      <c r="DJL60" s="165"/>
      <c r="DJM60" s="165"/>
      <c r="DJN60" s="165"/>
      <c r="DJO60" s="165"/>
      <c r="DJP60" s="165"/>
      <c r="DJQ60" s="165"/>
      <c r="DJR60" s="165"/>
      <c r="DJS60" s="165"/>
      <c r="DJT60" s="165"/>
      <c r="DJU60" s="165"/>
      <c r="DJV60" s="165"/>
      <c r="DJW60" s="165"/>
      <c r="DJX60" s="165"/>
      <c r="DJY60" s="165"/>
      <c r="DJZ60" s="165"/>
      <c r="DKA60" s="165"/>
      <c r="DKB60" s="165"/>
      <c r="DKC60" s="165"/>
      <c r="DKD60" s="165"/>
      <c r="DKE60" s="165"/>
      <c r="DKF60" s="165"/>
      <c r="DKG60" s="165"/>
      <c r="DKH60" s="165"/>
      <c r="DKI60" s="165"/>
      <c r="DKJ60" s="165"/>
      <c r="DKK60" s="165"/>
      <c r="DKL60" s="165"/>
      <c r="DKM60" s="165"/>
      <c r="DKN60" s="165"/>
      <c r="DKO60" s="165"/>
      <c r="DKP60" s="165"/>
      <c r="DKQ60" s="165"/>
      <c r="DKR60" s="165"/>
      <c r="DKS60" s="165"/>
      <c r="DKT60" s="165"/>
      <c r="DKU60" s="165"/>
      <c r="DKV60" s="165"/>
      <c r="DKW60" s="165"/>
      <c r="DKX60" s="165"/>
      <c r="DKY60" s="165"/>
      <c r="DKZ60" s="165"/>
      <c r="DLA60" s="165"/>
      <c r="DLB60" s="165"/>
      <c r="DLC60" s="165"/>
      <c r="DLD60" s="165"/>
      <c r="DLE60" s="165"/>
      <c r="DLF60" s="165"/>
      <c r="DLG60" s="165"/>
      <c r="DLH60" s="165"/>
      <c r="DLI60" s="165"/>
      <c r="DLJ60" s="165"/>
      <c r="DLK60" s="165"/>
      <c r="DLL60" s="165"/>
      <c r="DLM60" s="165"/>
      <c r="DLN60" s="165"/>
      <c r="DLO60" s="165"/>
      <c r="DLP60" s="165"/>
      <c r="DLQ60" s="165"/>
      <c r="DLR60" s="165"/>
      <c r="DLS60" s="165"/>
      <c r="DLT60" s="165"/>
      <c r="DLU60" s="165"/>
      <c r="DLV60" s="165"/>
      <c r="DLW60" s="165"/>
      <c r="DLX60" s="165"/>
      <c r="DLY60" s="165"/>
      <c r="DLZ60" s="165"/>
      <c r="DMA60" s="165"/>
      <c r="DMB60" s="165"/>
      <c r="DMC60" s="165"/>
      <c r="DMD60" s="165"/>
      <c r="DME60" s="165"/>
      <c r="DMF60" s="165"/>
      <c r="DMG60" s="165"/>
      <c r="DMH60" s="165"/>
      <c r="DMI60" s="165"/>
      <c r="DMJ60" s="165"/>
      <c r="DMK60" s="165"/>
      <c r="DML60" s="165"/>
      <c r="DMM60" s="165"/>
      <c r="DMN60" s="165"/>
      <c r="DMO60" s="165"/>
      <c r="DMP60" s="165"/>
      <c r="DMQ60" s="165"/>
      <c r="DMR60" s="165"/>
      <c r="DMS60" s="165"/>
      <c r="DMT60" s="165"/>
      <c r="DMU60" s="165"/>
      <c r="DMV60" s="165"/>
      <c r="DMW60" s="165"/>
      <c r="DMX60" s="165"/>
      <c r="DMY60" s="165"/>
      <c r="DMZ60" s="165"/>
      <c r="DNA60" s="165"/>
      <c r="DNB60" s="165"/>
      <c r="DNC60" s="165"/>
      <c r="DND60" s="165"/>
      <c r="DNE60" s="165"/>
      <c r="DNF60" s="165"/>
      <c r="DNG60" s="165"/>
      <c r="DNH60" s="165"/>
      <c r="DNI60" s="165"/>
      <c r="DNJ60" s="165"/>
      <c r="DNK60" s="165"/>
      <c r="DNL60" s="165"/>
      <c r="DNM60" s="165"/>
      <c r="DNN60" s="165"/>
      <c r="DNO60" s="165"/>
      <c r="DNP60" s="165"/>
      <c r="DNQ60" s="165"/>
      <c r="DNR60" s="165"/>
      <c r="DNS60" s="165"/>
      <c r="DNT60" s="165"/>
      <c r="DNU60" s="165"/>
      <c r="DNV60" s="165"/>
      <c r="DNW60" s="165"/>
      <c r="DNX60" s="165"/>
      <c r="DNY60" s="165"/>
      <c r="DNZ60" s="165"/>
      <c r="DOA60" s="165"/>
      <c r="DOB60" s="165"/>
      <c r="DOC60" s="165"/>
      <c r="DOD60" s="165"/>
      <c r="DOE60" s="165"/>
      <c r="DOF60" s="165"/>
      <c r="DOG60" s="165"/>
      <c r="DOH60" s="165"/>
      <c r="DOI60" s="165"/>
      <c r="DOJ60" s="165"/>
      <c r="DOK60" s="165"/>
      <c r="DOL60" s="165"/>
      <c r="DOM60" s="165"/>
      <c r="DON60" s="165"/>
      <c r="DOO60" s="165"/>
      <c r="DOP60" s="165"/>
      <c r="DOQ60" s="165"/>
      <c r="DOR60" s="165"/>
      <c r="DOS60" s="165"/>
      <c r="DOT60" s="165"/>
      <c r="DOU60" s="165"/>
      <c r="DOV60" s="165"/>
      <c r="DOW60" s="165"/>
      <c r="DOX60" s="165"/>
      <c r="DOY60" s="165"/>
      <c r="DOZ60" s="165"/>
      <c r="DPA60" s="165"/>
      <c r="DPB60" s="165"/>
      <c r="DPC60" s="165"/>
      <c r="DPD60" s="165"/>
      <c r="DPE60" s="165"/>
      <c r="DPF60" s="165"/>
      <c r="DPG60" s="165"/>
      <c r="DPH60" s="165"/>
      <c r="DPI60" s="165"/>
      <c r="DPJ60" s="165"/>
      <c r="DPK60" s="165"/>
      <c r="DPL60" s="165"/>
      <c r="DPM60" s="165"/>
      <c r="DPN60" s="165"/>
      <c r="DPO60" s="165"/>
      <c r="DPP60" s="165"/>
      <c r="DPQ60" s="165"/>
      <c r="DPR60" s="165"/>
      <c r="DPS60" s="165"/>
      <c r="DPT60" s="165"/>
      <c r="DPU60" s="165"/>
      <c r="DPV60" s="165"/>
      <c r="DPW60" s="165"/>
      <c r="DPX60" s="165"/>
      <c r="DPY60" s="165"/>
      <c r="DPZ60" s="165"/>
      <c r="DQA60" s="165"/>
      <c r="DQB60" s="165"/>
      <c r="DQC60" s="165"/>
      <c r="DQD60" s="165"/>
      <c r="DQE60" s="165"/>
      <c r="DQF60" s="165"/>
      <c r="DQG60" s="165"/>
      <c r="DQH60" s="165"/>
      <c r="DQI60" s="165"/>
      <c r="DQJ60" s="165"/>
      <c r="DQK60" s="165"/>
      <c r="DQL60" s="165"/>
      <c r="DQM60" s="165"/>
      <c r="DQN60" s="165"/>
      <c r="DQO60" s="165"/>
      <c r="DQP60" s="165"/>
      <c r="DQQ60" s="165"/>
      <c r="DQR60" s="165"/>
      <c r="DQS60" s="165"/>
      <c r="DQT60" s="165"/>
      <c r="DQU60" s="165"/>
      <c r="DQV60" s="165"/>
      <c r="DQW60" s="165"/>
      <c r="DQX60" s="165"/>
      <c r="DQY60" s="165"/>
      <c r="DQZ60" s="165"/>
      <c r="DRA60" s="165"/>
      <c r="DRB60" s="165"/>
      <c r="DRC60" s="165"/>
      <c r="DRD60" s="165"/>
      <c r="DRE60" s="165"/>
      <c r="DRF60" s="165"/>
      <c r="DRG60" s="165"/>
      <c r="DRH60" s="165"/>
      <c r="DRI60" s="165"/>
      <c r="DRJ60" s="165"/>
      <c r="DRK60" s="165"/>
      <c r="DRL60" s="165"/>
      <c r="DRM60" s="165"/>
      <c r="DRN60" s="165"/>
      <c r="DRO60" s="165"/>
      <c r="DRP60" s="165"/>
      <c r="DRQ60" s="165"/>
      <c r="DRR60" s="165"/>
      <c r="DRS60" s="165"/>
      <c r="DRT60" s="165"/>
      <c r="DRU60" s="165"/>
      <c r="DRV60" s="165"/>
      <c r="DRW60" s="165"/>
      <c r="DRX60" s="165"/>
      <c r="DRY60" s="165"/>
      <c r="DRZ60" s="165"/>
      <c r="DSA60" s="165"/>
      <c r="DSB60" s="165"/>
      <c r="DSC60" s="165"/>
      <c r="DSD60" s="165"/>
      <c r="DSE60" s="165"/>
      <c r="DSF60" s="165"/>
      <c r="DSG60" s="165"/>
      <c r="DSH60" s="165"/>
      <c r="DSI60" s="165"/>
      <c r="DSJ60" s="165"/>
      <c r="DSK60" s="165"/>
      <c r="DSL60" s="165"/>
      <c r="DSM60" s="165"/>
      <c r="DSN60" s="165"/>
      <c r="DSO60" s="165"/>
      <c r="DSP60" s="165"/>
      <c r="DSQ60" s="165"/>
      <c r="DSR60" s="165"/>
      <c r="DSS60" s="165"/>
      <c r="DST60" s="165"/>
      <c r="DSU60" s="165"/>
      <c r="DSV60" s="165"/>
      <c r="DSW60" s="165"/>
      <c r="DSX60" s="165"/>
      <c r="DSY60" s="165"/>
      <c r="DSZ60" s="165"/>
      <c r="DTA60" s="165"/>
      <c r="DTB60" s="165"/>
      <c r="DTC60" s="165"/>
      <c r="DTD60" s="165"/>
      <c r="DTE60" s="165"/>
      <c r="DTF60" s="165"/>
      <c r="DTG60" s="165"/>
      <c r="DTH60" s="165"/>
      <c r="DTI60" s="165"/>
      <c r="DTJ60" s="165"/>
      <c r="DTK60" s="165"/>
      <c r="DTL60" s="165"/>
      <c r="DTM60" s="165"/>
      <c r="DTN60" s="165"/>
      <c r="DTO60" s="165"/>
      <c r="DTP60" s="165"/>
      <c r="DTQ60" s="165"/>
      <c r="DTR60" s="165"/>
      <c r="DTS60" s="165"/>
      <c r="DTT60" s="165"/>
      <c r="DTU60" s="165"/>
      <c r="DTV60" s="165"/>
      <c r="DTW60" s="165"/>
      <c r="DTX60" s="165"/>
      <c r="DTY60" s="165"/>
      <c r="DTZ60" s="165"/>
      <c r="DUA60" s="165"/>
      <c r="DUB60" s="165"/>
      <c r="DUC60" s="165"/>
      <c r="DUD60" s="165"/>
      <c r="DUE60" s="165"/>
      <c r="DUF60" s="165"/>
      <c r="DUG60" s="165"/>
      <c r="DUH60" s="165"/>
      <c r="DUI60" s="165"/>
      <c r="DUJ60" s="165"/>
      <c r="DUK60" s="165"/>
      <c r="DUL60" s="165"/>
      <c r="DUM60" s="165"/>
      <c r="DUN60" s="165"/>
      <c r="DUO60" s="165"/>
      <c r="DUP60" s="165"/>
      <c r="DUQ60" s="165"/>
      <c r="DUR60" s="165"/>
      <c r="DUS60" s="165"/>
      <c r="DUT60" s="165"/>
      <c r="DUU60" s="165"/>
      <c r="DUV60" s="165"/>
      <c r="DUW60" s="165"/>
      <c r="DUX60" s="165"/>
      <c r="DUY60" s="165"/>
      <c r="DUZ60" s="165"/>
      <c r="DVA60" s="165"/>
      <c r="DVB60" s="165"/>
      <c r="DVC60" s="165"/>
      <c r="DVD60" s="165"/>
      <c r="DVE60" s="165"/>
      <c r="DVF60" s="165"/>
      <c r="DVG60" s="165"/>
      <c r="DVH60" s="165"/>
      <c r="DVI60" s="165"/>
      <c r="DVJ60" s="165"/>
      <c r="DVK60" s="165"/>
      <c r="DVL60" s="165"/>
      <c r="DVM60" s="165"/>
      <c r="DVN60" s="165"/>
      <c r="DVO60" s="165"/>
      <c r="DVP60" s="165"/>
      <c r="DVQ60" s="165"/>
      <c r="DVR60" s="165"/>
      <c r="DVS60" s="165"/>
      <c r="DVT60" s="165"/>
      <c r="DVU60" s="165"/>
      <c r="DVV60" s="165"/>
      <c r="DVW60" s="165"/>
      <c r="DVX60" s="165"/>
      <c r="DVY60" s="165"/>
      <c r="DVZ60" s="165"/>
      <c r="DWA60" s="165"/>
      <c r="DWB60" s="165"/>
      <c r="DWC60" s="165"/>
      <c r="DWD60" s="165"/>
      <c r="DWE60" s="165"/>
      <c r="DWF60" s="165"/>
      <c r="DWG60" s="165"/>
      <c r="DWH60" s="165"/>
      <c r="DWI60" s="165"/>
      <c r="DWJ60" s="165"/>
      <c r="DWK60" s="165"/>
      <c r="DWL60" s="165"/>
      <c r="DWM60" s="165"/>
      <c r="DWN60" s="165"/>
      <c r="DWO60" s="165"/>
      <c r="DWP60" s="165"/>
      <c r="DWQ60" s="165"/>
      <c r="DWR60" s="165"/>
      <c r="DWS60" s="165"/>
      <c r="DWT60" s="165"/>
      <c r="DWU60" s="165"/>
      <c r="DWV60" s="165"/>
      <c r="DWW60" s="165"/>
      <c r="DWX60" s="165"/>
      <c r="DWY60" s="165"/>
      <c r="DWZ60" s="165"/>
      <c r="DXA60" s="165"/>
      <c r="DXB60" s="165"/>
      <c r="DXC60" s="165"/>
      <c r="DXD60" s="165"/>
      <c r="DXE60" s="165"/>
      <c r="DXF60" s="165"/>
      <c r="DXG60" s="165"/>
      <c r="DXH60" s="165"/>
      <c r="DXI60" s="165"/>
      <c r="DXJ60" s="165"/>
      <c r="DXK60" s="165"/>
      <c r="DXL60" s="165"/>
      <c r="DXM60" s="165"/>
      <c r="DXN60" s="165"/>
      <c r="DXO60" s="165"/>
      <c r="DXP60" s="165"/>
      <c r="DXQ60" s="165"/>
      <c r="DXR60" s="165"/>
      <c r="DXS60" s="165"/>
      <c r="DXT60" s="165"/>
      <c r="DXU60" s="165"/>
      <c r="DXV60" s="165"/>
      <c r="DXW60" s="165"/>
      <c r="DXX60" s="165"/>
      <c r="DXY60" s="165"/>
      <c r="DXZ60" s="165"/>
      <c r="DYA60" s="165"/>
      <c r="DYB60" s="165"/>
      <c r="DYC60" s="165"/>
      <c r="DYD60" s="165"/>
      <c r="DYE60" s="165"/>
      <c r="DYF60" s="165"/>
      <c r="DYG60" s="165"/>
      <c r="DYH60" s="165"/>
      <c r="DYI60" s="165"/>
      <c r="DYJ60" s="165"/>
      <c r="DYK60" s="165"/>
      <c r="DYL60" s="165"/>
      <c r="DYM60" s="165"/>
      <c r="DYN60" s="165"/>
      <c r="DYO60" s="165"/>
      <c r="DYP60" s="165"/>
      <c r="DYQ60" s="165"/>
      <c r="DYR60" s="165"/>
      <c r="DYS60" s="165"/>
      <c r="DYT60" s="165"/>
      <c r="DYU60" s="165"/>
      <c r="DYV60" s="165"/>
      <c r="DYW60" s="165"/>
      <c r="DYX60" s="165"/>
      <c r="DYY60" s="165"/>
      <c r="DYZ60" s="165"/>
      <c r="DZA60" s="165"/>
      <c r="DZB60" s="165"/>
      <c r="DZC60" s="165"/>
      <c r="DZD60" s="165"/>
      <c r="DZE60" s="165"/>
      <c r="DZF60" s="165"/>
      <c r="DZG60" s="165"/>
      <c r="DZH60" s="165"/>
      <c r="DZI60" s="165"/>
      <c r="DZJ60" s="165"/>
      <c r="DZK60" s="165"/>
      <c r="DZL60" s="165"/>
      <c r="DZM60" s="165"/>
      <c r="DZN60" s="165"/>
      <c r="DZO60" s="165"/>
      <c r="DZP60" s="165"/>
      <c r="DZQ60" s="165"/>
      <c r="DZR60" s="165"/>
      <c r="DZS60" s="165"/>
      <c r="DZT60" s="165"/>
      <c r="DZU60" s="165"/>
      <c r="DZV60" s="165"/>
      <c r="DZW60" s="165"/>
      <c r="DZX60" s="165"/>
      <c r="DZY60" s="165"/>
      <c r="DZZ60" s="165"/>
      <c r="EAA60" s="165"/>
      <c r="EAB60" s="165"/>
      <c r="EAC60" s="165"/>
      <c r="EAD60" s="165"/>
      <c r="EAE60" s="165"/>
      <c r="EAF60" s="165"/>
      <c r="EAG60" s="165"/>
      <c r="EAH60" s="165"/>
      <c r="EAI60" s="165"/>
      <c r="EAJ60" s="165"/>
      <c r="EAK60" s="165"/>
      <c r="EAL60" s="165"/>
      <c r="EAM60" s="165"/>
      <c r="EAN60" s="165"/>
      <c r="EAO60" s="165"/>
      <c r="EAP60" s="165"/>
      <c r="EAQ60" s="165"/>
      <c r="EAR60" s="165"/>
      <c r="EAS60" s="165"/>
      <c r="EAT60" s="165"/>
      <c r="EAU60" s="165"/>
      <c r="EAV60" s="165"/>
      <c r="EAW60" s="165"/>
      <c r="EAX60" s="165"/>
      <c r="EAY60" s="165"/>
      <c r="EAZ60" s="165"/>
      <c r="EBA60" s="165"/>
      <c r="EBB60" s="165"/>
      <c r="EBC60" s="165"/>
      <c r="EBD60" s="165"/>
      <c r="EBE60" s="165"/>
      <c r="EBF60" s="165"/>
      <c r="EBG60" s="165"/>
      <c r="EBH60" s="165"/>
      <c r="EBI60" s="165"/>
      <c r="EBJ60" s="165"/>
      <c r="EBK60" s="165"/>
      <c r="EBL60" s="165"/>
      <c r="EBM60" s="165"/>
      <c r="EBN60" s="165"/>
      <c r="EBO60" s="165"/>
      <c r="EBP60" s="165"/>
      <c r="EBQ60" s="165"/>
      <c r="EBR60" s="165"/>
      <c r="EBS60" s="165"/>
      <c r="EBT60" s="165"/>
      <c r="EBU60" s="165"/>
      <c r="EBV60" s="165"/>
      <c r="EBW60" s="165"/>
      <c r="EBX60" s="165"/>
      <c r="EBY60" s="165"/>
      <c r="EBZ60" s="165"/>
      <c r="ECA60" s="165"/>
      <c r="ECB60" s="165"/>
      <c r="ECC60" s="165"/>
      <c r="ECD60" s="165"/>
      <c r="ECE60" s="165"/>
      <c r="ECF60" s="165"/>
      <c r="ECG60" s="165"/>
      <c r="ECH60" s="165"/>
      <c r="ECI60" s="165"/>
      <c r="ECJ60" s="165"/>
      <c r="ECK60" s="165"/>
      <c r="ECL60" s="165"/>
      <c r="ECM60" s="165"/>
      <c r="ECN60" s="165"/>
      <c r="ECO60" s="165"/>
      <c r="ECP60" s="165"/>
      <c r="ECQ60" s="165"/>
      <c r="ECR60" s="165"/>
      <c r="ECS60" s="165"/>
      <c r="ECT60" s="165"/>
      <c r="ECU60" s="165"/>
      <c r="ECV60" s="165"/>
      <c r="ECW60" s="165"/>
      <c r="ECX60" s="165"/>
      <c r="ECY60" s="165"/>
      <c r="ECZ60" s="165"/>
      <c r="EDA60" s="165"/>
      <c r="EDB60" s="165"/>
      <c r="EDC60" s="165"/>
      <c r="EDD60" s="165"/>
      <c r="EDE60" s="165"/>
      <c r="EDF60" s="165"/>
      <c r="EDG60" s="165"/>
      <c r="EDH60" s="165"/>
      <c r="EDI60" s="165"/>
      <c r="EDJ60" s="165"/>
      <c r="EDK60" s="165"/>
      <c r="EDL60" s="165"/>
      <c r="EDM60" s="165"/>
      <c r="EDN60" s="165"/>
      <c r="EDO60" s="165"/>
      <c r="EDP60" s="165"/>
      <c r="EDQ60" s="165"/>
      <c r="EDR60" s="165"/>
      <c r="EDS60" s="165"/>
      <c r="EDT60" s="165"/>
      <c r="EDU60" s="165"/>
      <c r="EDV60" s="165"/>
      <c r="EDW60" s="165"/>
      <c r="EDX60" s="165"/>
      <c r="EDY60" s="165"/>
      <c r="EDZ60" s="165"/>
      <c r="EEA60" s="165"/>
      <c r="EEB60" s="165"/>
      <c r="EEC60" s="165"/>
      <c r="EED60" s="165"/>
      <c r="EEE60" s="165"/>
      <c r="EEF60" s="165"/>
      <c r="EEG60" s="165"/>
      <c r="EEH60" s="165"/>
      <c r="EEI60" s="165"/>
      <c r="EEJ60" s="165"/>
      <c r="EEK60" s="165"/>
      <c r="EEL60" s="165"/>
      <c r="EEM60" s="165"/>
      <c r="EEN60" s="165"/>
      <c r="EEO60" s="165"/>
      <c r="EEP60" s="165"/>
      <c r="EEQ60" s="165"/>
      <c r="EER60" s="165"/>
      <c r="EES60" s="165"/>
      <c r="EET60" s="165"/>
      <c r="EEU60" s="165"/>
      <c r="EEV60" s="165"/>
      <c r="EEW60" s="165"/>
      <c r="EEX60" s="165"/>
      <c r="EEY60" s="165"/>
      <c r="EEZ60" s="165"/>
      <c r="EFA60" s="165"/>
      <c r="EFB60" s="165"/>
      <c r="EFC60" s="165"/>
      <c r="EFD60" s="165"/>
      <c r="EFE60" s="165"/>
      <c r="EFF60" s="165"/>
      <c r="EFG60" s="165"/>
      <c r="EFH60" s="165"/>
      <c r="EFI60" s="165"/>
      <c r="EFJ60" s="165"/>
      <c r="EFK60" s="165"/>
      <c r="EFL60" s="165"/>
      <c r="EFM60" s="165"/>
      <c r="EFN60" s="165"/>
      <c r="EFO60" s="165"/>
      <c r="EFP60" s="165"/>
      <c r="EFQ60" s="165"/>
      <c r="EFR60" s="165"/>
      <c r="EFS60" s="165"/>
      <c r="EFT60" s="165"/>
      <c r="EFU60" s="165"/>
      <c r="EFV60" s="165"/>
      <c r="EFW60" s="165"/>
      <c r="EFX60" s="165"/>
      <c r="EFY60" s="165"/>
      <c r="EFZ60" s="165"/>
      <c r="EGA60" s="165"/>
      <c r="EGB60" s="165"/>
      <c r="EGC60" s="165"/>
      <c r="EGD60" s="165"/>
      <c r="EGE60" s="165"/>
      <c r="EGF60" s="165"/>
      <c r="EGG60" s="165"/>
      <c r="EGH60" s="165"/>
      <c r="EGI60" s="165"/>
      <c r="EGJ60" s="165"/>
      <c r="EGK60" s="165"/>
      <c r="EGL60" s="165"/>
      <c r="EGM60" s="165"/>
      <c r="EGN60" s="165"/>
      <c r="EGO60" s="165"/>
      <c r="EGP60" s="165"/>
      <c r="EGQ60" s="165"/>
      <c r="EGR60" s="165"/>
      <c r="EGS60" s="165"/>
      <c r="EGT60" s="165"/>
      <c r="EGU60" s="165"/>
      <c r="EGV60" s="165"/>
      <c r="EGW60" s="165"/>
      <c r="EGX60" s="165"/>
      <c r="EGY60" s="165"/>
      <c r="EGZ60" s="165"/>
      <c r="EHA60" s="165"/>
      <c r="EHB60" s="165"/>
      <c r="EHC60" s="165"/>
      <c r="EHD60" s="165"/>
      <c r="EHE60" s="165"/>
      <c r="EHF60" s="165"/>
      <c r="EHG60" s="165"/>
      <c r="EHH60" s="165"/>
      <c r="EHI60" s="165"/>
      <c r="EHJ60" s="165"/>
      <c r="EHK60" s="165"/>
      <c r="EHL60" s="165"/>
      <c r="EHM60" s="165"/>
      <c r="EHN60" s="165"/>
      <c r="EHO60" s="165"/>
      <c r="EHP60" s="165"/>
      <c r="EHQ60" s="165"/>
      <c r="EHR60" s="165"/>
      <c r="EHS60" s="165"/>
      <c r="EHT60" s="165"/>
      <c r="EHU60" s="165"/>
      <c r="EHV60" s="165"/>
      <c r="EHW60" s="165"/>
      <c r="EHX60" s="165"/>
      <c r="EHY60" s="165"/>
      <c r="EHZ60" s="165"/>
      <c r="EIA60" s="165"/>
      <c r="EIB60" s="165"/>
      <c r="EIC60" s="165"/>
      <c r="EID60" s="165"/>
      <c r="EIE60" s="165"/>
      <c r="EIF60" s="165"/>
      <c r="EIG60" s="165"/>
      <c r="EIH60" s="165"/>
      <c r="EII60" s="165"/>
      <c r="EIJ60" s="165"/>
      <c r="EIK60" s="165"/>
      <c r="EIL60" s="165"/>
      <c r="EIM60" s="165"/>
      <c r="EIN60" s="165"/>
      <c r="EIO60" s="165"/>
      <c r="EIP60" s="165"/>
      <c r="EIQ60" s="165"/>
      <c r="EIR60" s="165"/>
      <c r="EIS60" s="165"/>
      <c r="EIT60" s="165"/>
      <c r="EIU60" s="165"/>
      <c r="EIV60" s="165"/>
      <c r="EIW60" s="165"/>
      <c r="EIX60" s="165"/>
      <c r="EIY60" s="165"/>
      <c r="EIZ60" s="165"/>
      <c r="EJA60" s="165"/>
      <c r="EJB60" s="165"/>
      <c r="EJC60" s="165"/>
      <c r="EJD60" s="165"/>
      <c r="EJE60" s="165"/>
      <c r="EJF60" s="165"/>
      <c r="EJG60" s="165"/>
      <c r="EJH60" s="165"/>
      <c r="EJI60" s="165"/>
      <c r="EJJ60" s="165"/>
      <c r="EJK60" s="165"/>
      <c r="EJL60" s="165"/>
      <c r="EJM60" s="165"/>
      <c r="EJN60" s="165"/>
      <c r="EJO60" s="165"/>
      <c r="EJP60" s="165"/>
      <c r="EJQ60" s="165"/>
      <c r="EJR60" s="165"/>
      <c r="EJS60" s="165"/>
      <c r="EJT60" s="165"/>
      <c r="EJU60" s="165"/>
      <c r="EJV60" s="165"/>
      <c r="EJW60" s="165"/>
      <c r="EJX60" s="165"/>
      <c r="EJY60" s="165"/>
      <c r="EJZ60" s="165"/>
      <c r="EKA60" s="165"/>
      <c r="EKB60" s="165"/>
      <c r="EKC60" s="165"/>
      <c r="EKD60" s="165"/>
      <c r="EKE60" s="165"/>
      <c r="EKF60" s="165"/>
      <c r="EKG60" s="165"/>
      <c r="EKH60" s="165"/>
      <c r="EKI60" s="165"/>
      <c r="EKJ60" s="165"/>
      <c r="EKK60" s="165"/>
      <c r="EKL60" s="165"/>
      <c r="EKM60" s="165"/>
      <c r="EKN60" s="165"/>
      <c r="EKO60" s="165"/>
      <c r="EKP60" s="165"/>
      <c r="EKQ60" s="165"/>
      <c r="EKR60" s="165"/>
      <c r="EKS60" s="165"/>
      <c r="EKT60" s="165"/>
      <c r="EKU60" s="165"/>
      <c r="EKV60" s="165"/>
      <c r="EKW60" s="165"/>
      <c r="EKX60" s="165"/>
      <c r="EKY60" s="165"/>
      <c r="EKZ60" s="165"/>
      <c r="ELA60" s="165"/>
      <c r="ELB60" s="165"/>
      <c r="ELC60" s="165"/>
      <c r="ELD60" s="165"/>
      <c r="ELE60" s="165"/>
      <c r="ELF60" s="165"/>
      <c r="ELG60" s="165"/>
      <c r="ELH60" s="165"/>
      <c r="ELI60" s="165"/>
      <c r="ELJ60" s="165"/>
      <c r="ELK60" s="165"/>
      <c r="ELL60" s="165"/>
      <c r="ELM60" s="165"/>
      <c r="ELN60" s="165"/>
      <c r="ELO60" s="165"/>
      <c r="ELP60" s="165"/>
      <c r="ELQ60" s="165"/>
      <c r="ELR60" s="165"/>
      <c r="ELS60" s="165"/>
      <c r="ELT60" s="165"/>
      <c r="ELU60" s="165"/>
      <c r="ELV60" s="165"/>
      <c r="ELW60" s="165"/>
      <c r="ELX60" s="165"/>
      <c r="ELY60" s="165"/>
      <c r="ELZ60" s="165"/>
      <c r="EMA60" s="165"/>
      <c r="EMB60" s="165"/>
      <c r="EMC60" s="165"/>
      <c r="EMD60" s="165"/>
      <c r="EME60" s="165"/>
      <c r="EMF60" s="165"/>
      <c r="EMG60" s="165"/>
      <c r="EMH60" s="165"/>
      <c r="EMI60" s="165"/>
      <c r="EMJ60" s="165"/>
      <c r="EMK60" s="165"/>
      <c r="EML60" s="165"/>
      <c r="EMM60" s="165"/>
      <c r="EMN60" s="165"/>
      <c r="EMO60" s="165"/>
      <c r="EMP60" s="165"/>
      <c r="EMQ60" s="165"/>
      <c r="EMR60" s="165"/>
      <c r="EMS60" s="165"/>
      <c r="EMT60" s="165"/>
      <c r="EMU60" s="165"/>
      <c r="EMV60" s="165"/>
      <c r="EMW60" s="165"/>
      <c r="EMX60" s="165"/>
      <c r="EMY60" s="165"/>
      <c r="EMZ60" s="165"/>
      <c r="ENA60" s="165"/>
      <c r="ENB60" s="165"/>
      <c r="ENC60" s="165"/>
      <c r="END60" s="165"/>
      <c r="ENE60" s="165"/>
      <c r="ENF60" s="165"/>
      <c r="ENG60" s="165"/>
      <c r="ENH60" s="165"/>
      <c r="ENI60" s="165"/>
      <c r="ENJ60" s="165"/>
      <c r="ENK60" s="165"/>
      <c r="ENL60" s="165"/>
      <c r="ENM60" s="165"/>
      <c r="ENN60" s="165"/>
      <c r="ENO60" s="165"/>
      <c r="ENP60" s="165"/>
      <c r="ENQ60" s="165"/>
      <c r="ENR60" s="165"/>
      <c r="ENS60" s="165"/>
      <c r="ENT60" s="165"/>
      <c r="ENU60" s="165"/>
      <c r="ENV60" s="165"/>
      <c r="ENW60" s="165"/>
      <c r="ENX60" s="165"/>
      <c r="ENY60" s="165"/>
      <c r="ENZ60" s="165"/>
      <c r="EOA60" s="165"/>
      <c r="EOB60" s="165"/>
      <c r="EOC60" s="165"/>
      <c r="EOD60" s="165"/>
      <c r="EOE60" s="165"/>
      <c r="EOF60" s="165"/>
      <c r="EOG60" s="165"/>
      <c r="EOH60" s="165"/>
      <c r="EOI60" s="165"/>
      <c r="EOJ60" s="165"/>
      <c r="EOK60" s="165"/>
      <c r="EOL60" s="165"/>
      <c r="EOM60" s="165"/>
      <c r="EON60" s="165"/>
      <c r="EOO60" s="165"/>
      <c r="EOP60" s="165"/>
      <c r="EOQ60" s="165"/>
      <c r="EOR60" s="165"/>
      <c r="EOS60" s="165"/>
      <c r="EOT60" s="165"/>
      <c r="EOU60" s="165"/>
      <c r="EOV60" s="165"/>
      <c r="EOW60" s="165"/>
      <c r="EOX60" s="165"/>
      <c r="EOY60" s="165"/>
      <c r="EOZ60" s="165"/>
      <c r="EPA60" s="165"/>
      <c r="EPB60" s="165"/>
      <c r="EPC60" s="165"/>
      <c r="EPD60" s="165"/>
      <c r="EPE60" s="165"/>
      <c r="EPF60" s="165"/>
      <c r="EPG60" s="165"/>
      <c r="EPH60" s="165"/>
      <c r="EPI60" s="165"/>
      <c r="EPJ60" s="165"/>
      <c r="EPK60" s="165"/>
      <c r="EPL60" s="165"/>
      <c r="EPM60" s="165"/>
      <c r="EPN60" s="165"/>
      <c r="EPO60" s="165"/>
      <c r="EPP60" s="165"/>
      <c r="EPQ60" s="165"/>
      <c r="EPR60" s="165"/>
      <c r="EPS60" s="165"/>
      <c r="EPT60" s="165"/>
      <c r="EPU60" s="165"/>
      <c r="EPV60" s="165"/>
      <c r="EPW60" s="165"/>
      <c r="EPX60" s="165"/>
      <c r="EPY60" s="165"/>
      <c r="EPZ60" s="165"/>
      <c r="EQA60" s="165"/>
      <c r="EQB60" s="165"/>
      <c r="EQC60" s="165"/>
      <c r="EQD60" s="165"/>
      <c r="EQE60" s="165"/>
      <c r="EQF60" s="165"/>
      <c r="EQG60" s="165"/>
      <c r="EQH60" s="165"/>
      <c r="EQI60" s="165"/>
      <c r="EQJ60" s="165"/>
      <c r="EQK60" s="165"/>
      <c r="EQL60" s="165"/>
      <c r="EQM60" s="165"/>
      <c r="EQN60" s="165"/>
      <c r="EQO60" s="165"/>
      <c r="EQP60" s="165"/>
      <c r="EQQ60" s="165"/>
      <c r="EQR60" s="165"/>
      <c r="EQS60" s="165"/>
      <c r="EQT60" s="165"/>
      <c r="EQU60" s="165"/>
      <c r="EQV60" s="165"/>
      <c r="EQW60" s="165"/>
      <c r="EQX60" s="165"/>
      <c r="EQY60" s="165"/>
      <c r="EQZ60" s="165"/>
      <c r="ERA60" s="165"/>
      <c r="ERB60" s="165"/>
      <c r="ERC60" s="165"/>
      <c r="ERD60" s="165"/>
      <c r="ERE60" s="165"/>
      <c r="ERF60" s="165"/>
      <c r="ERG60" s="165"/>
      <c r="ERH60" s="165"/>
      <c r="ERI60" s="165"/>
      <c r="ERJ60" s="165"/>
      <c r="ERK60" s="165"/>
      <c r="ERL60" s="165"/>
      <c r="ERM60" s="165"/>
      <c r="ERN60" s="165"/>
      <c r="ERO60" s="165"/>
      <c r="ERP60" s="165"/>
      <c r="ERQ60" s="165"/>
      <c r="ERR60" s="165"/>
      <c r="ERS60" s="165"/>
      <c r="ERT60" s="165"/>
      <c r="ERU60" s="165"/>
      <c r="ERV60" s="165"/>
      <c r="ERW60" s="165"/>
      <c r="ERX60" s="165"/>
      <c r="ERY60" s="165"/>
      <c r="ERZ60" s="165"/>
      <c r="ESA60" s="165"/>
      <c r="ESB60" s="165"/>
      <c r="ESC60" s="165"/>
      <c r="ESD60" s="165"/>
      <c r="ESE60" s="165"/>
      <c r="ESF60" s="165"/>
      <c r="ESG60" s="165"/>
      <c r="ESH60" s="165"/>
      <c r="ESI60" s="165"/>
      <c r="ESJ60" s="165"/>
      <c r="ESK60" s="165"/>
      <c r="ESL60" s="165"/>
      <c r="ESM60" s="165"/>
      <c r="ESN60" s="165"/>
      <c r="ESO60" s="165"/>
      <c r="ESP60" s="165"/>
      <c r="ESQ60" s="165"/>
      <c r="ESR60" s="165"/>
      <c r="ESS60" s="165"/>
      <c r="EST60" s="165"/>
      <c r="ESU60" s="165"/>
      <c r="ESV60" s="165"/>
      <c r="ESW60" s="165"/>
      <c r="ESX60" s="165"/>
      <c r="ESY60" s="165"/>
      <c r="ESZ60" s="165"/>
      <c r="ETA60" s="165"/>
      <c r="ETB60" s="165"/>
      <c r="ETC60" s="165"/>
      <c r="ETD60" s="165"/>
      <c r="ETE60" s="165"/>
      <c r="ETF60" s="165"/>
      <c r="ETG60" s="165"/>
      <c r="ETH60" s="165"/>
      <c r="ETI60" s="165"/>
      <c r="ETJ60" s="165"/>
      <c r="ETK60" s="165"/>
      <c r="ETL60" s="165"/>
      <c r="ETM60" s="165"/>
      <c r="ETN60" s="165"/>
      <c r="ETO60" s="165"/>
      <c r="ETP60" s="165"/>
      <c r="ETQ60" s="165"/>
      <c r="ETR60" s="165"/>
      <c r="ETS60" s="165"/>
      <c r="ETT60" s="165"/>
      <c r="ETU60" s="165"/>
      <c r="ETV60" s="165"/>
      <c r="ETW60" s="165"/>
      <c r="ETX60" s="165"/>
      <c r="ETY60" s="165"/>
      <c r="ETZ60" s="165"/>
      <c r="EUA60" s="165"/>
      <c r="EUB60" s="165"/>
      <c r="EUC60" s="165"/>
      <c r="EUD60" s="165"/>
      <c r="EUE60" s="165"/>
      <c r="EUF60" s="165"/>
      <c r="EUG60" s="165"/>
      <c r="EUH60" s="165"/>
      <c r="EUI60" s="165"/>
      <c r="EUJ60" s="165"/>
      <c r="EUK60" s="165"/>
      <c r="EUL60" s="165"/>
      <c r="EUM60" s="165"/>
      <c r="EUN60" s="165"/>
      <c r="EUO60" s="165"/>
      <c r="EUP60" s="165"/>
      <c r="EUQ60" s="165"/>
      <c r="EUR60" s="165"/>
      <c r="EUS60" s="165"/>
      <c r="EUT60" s="165"/>
      <c r="EUU60" s="165"/>
      <c r="EUV60" s="165"/>
      <c r="EUW60" s="165"/>
      <c r="EUX60" s="165"/>
      <c r="EUY60" s="165"/>
      <c r="EUZ60" s="165"/>
      <c r="EVA60" s="165"/>
      <c r="EVB60" s="165"/>
      <c r="EVC60" s="165"/>
      <c r="EVD60" s="165"/>
      <c r="EVE60" s="165"/>
      <c r="EVF60" s="165"/>
      <c r="EVG60" s="165"/>
      <c r="EVH60" s="165"/>
      <c r="EVI60" s="165"/>
      <c r="EVJ60" s="165"/>
      <c r="EVK60" s="165"/>
      <c r="EVL60" s="165"/>
      <c r="EVM60" s="165"/>
      <c r="EVN60" s="165"/>
      <c r="EVO60" s="165"/>
      <c r="EVP60" s="165"/>
      <c r="EVQ60" s="165"/>
      <c r="EVR60" s="165"/>
      <c r="EVS60" s="165"/>
      <c r="EVT60" s="165"/>
      <c r="EVU60" s="165"/>
      <c r="EVV60" s="165"/>
      <c r="EVW60" s="165"/>
      <c r="EVX60" s="165"/>
      <c r="EVY60" s="165"/>
      <c r="EVZ60" s="165"/>
      <c r="EWA60" s="165"/>
      <c r="EWB60" s="165"/>
      <c r="EWC60" s="165"/>
      <c r="EWD60" s="165"/>
      <c r="EWE60" s="165"/>
      <c r="EWF60" s="165"/>
      <c r="EWG60" s="165"/>
      <c r="EWH60" s="165"/>
      <c r="EWI60" s="165"/>
      <c r="EWJ60" s="165"/>
      <c r="EWK60" s="165"/>
      <c r="EWL60" s="165"/>
      <c r="EWM60" s="165"/>
      <c r="EWN60" s="165"/>
      <c r="EWO60" s="165"/>
      <c r="EWP60" s="165"/>
      <c r="EWQ60" s="165"/>
      <c r="EWR60" s="165"/>
      <c r="EWS60" s="165"/>
      <c r="EWT60" s="165"/>
      <c r="EWU60" s="165"/>
      <c r="EWV60" s="165"/>
      <c r="EWW60" s="165"/>
      <c r="EWX60" s="165"/>
      <c r="EWY60" s="165"/>
      <c r="EWZ60" s="165"/>
      <c r="EXA60" s="165"/>
      <c r="EXB60" s="165"/>
      <c r="EXC60" s="165"/>
      <c r="EXD60" s="165"/>
      <c r="EXE60" s="165"/>
      <c r="EXF60" s="165"/>
      <c r="EXG60" s="165"/>
      <c r="EXH60" s="165"/>
      <c r="EXI60" s="165"/>
      <c r="EXJ60" s="165"/>
      <c r="EXK60" s="165"/>
      <c r="EXL60" s="165"/>
      <c r="EXM60" s="165"/>
      <c r="EXN60" s="165"/>
      <c r="EXO60" s="165"/>
      <c r="EXP60" s="165"/>
      <c r="EXQ60" s="165"/>
      <c r="EXR60" s="165"/>
      <c r="EXS60" s="165"/>
      <c r="EXT60" s="165"/>
      <c r="EXU60" s="165"/>
      <c r="EXV60" s="165"/>
      <c r="EXW60" s="165"/>
      <c r="EXX60" s="165"/>
      <c r="EXY60" s="165"/>
      <c r="EXZ60" s="165"/>
      <c r="EYA60" s="165"/>
      <c r="EYB60" s="165"/>
      <c r="EYC60" s="165"/>
      <c r="EYD60" s="165"/>
      <c r="EYE60" s="165"/>
      <c r="EYF60" s="165"/>
      <c r="EYG60" s="165"/>
      <c r="EYH60" s="165"/>
      <c r="EYI60" s="165"/>
      <c r="EYJ60" s="165"/>
      <c r="EYK60" s="165"/>
      <c r="EYL60" s="165"/>
      <c r="EYM60" s="165"/>
      <c r="EYN60" s="165"/>
      <c r="EYO60" s="165"/>
      <c r="EYP60" s="165"/>
      <c r="EYQ60" s="165"/>
      <c r="EYR60" s="165"/>
      <c r="EYS60" s="165"/>
      <c r="EYT60" s="165"/>
      <c r="EYU60" s="165"/>
      <c r="EYV60" s="165"/>
      <c r="EYW60" s="165"/>
      <c r="EYX60" s="165"/>
      <c r="EYY60" s="165"/>
      <c r="EYZ60" s="165"/>
      <c r="EZA60" s="165"/>
      <c r="EZB60" s="165"/>
      <c r="EZC60" s="165"/>
      <c r="EZD60" s="165"/>
      <c r="EZE60" s="165"/>
      <c r="EZF60" s="165"/>
      <c r="EZG60" s="165"/>
      <c r="EZH60" s="165"/>
      <c r="EZI60" s="165"/>
      <c r="EZJ60" s="165"/>
      <c r="EZK60" s="165"/>
      <c r="EZL60" s="165"/>
      <c r="EZM60" s="165"/>
      <c r="EZN60" s="165"/>
      <c r="EZO60" s="165"/>
      <c r="EZP60" s="165"/>
      <c r="EZQ60" s="165"/>
      <c r="EZR60" s="165"/>
      <c r="EZS60" s="165"/>
      <c r="EZT60" s="165"/>
      <c r="EZU60" s="165"/>
      <c r="EZV60" s="165"/>
      <c r="EZW60" s="165"/>
      <c r="EZX60" s="165"/>
      <c r="EZY60" s="165"/>
      <c r="EZZ60" s="165"/>
      <c r="FAA60" s="165"/>
      <c r="FAB60" s="165"/>
      <c r="FAC60" s="165"/>
      <c r="FAD60" s="165"/>
      <c r="FAE60" s="165"/>
      <c r="FAF60" s="165"/>
      <c r="FAG60" s="165"/>
      <c r="FAH60" s="165"/>
      <c r="FAI60" s="165"/>
      <c r="FAJ60" s="165"/>
      <c r="FAK60" s="165"/>
      <c r="FAL60" s="165"/>
      <c r="FAM60" s="165"/>
      <c r="FAN60" s="165"/>
      <c r="FAO60" s="165"/>
      <c r="FAP60" s="165"/>
      <c r="FAQ60" s="165"/>
      <c r="FAR60" s="165"/>
      <c r="FAS60" s="165"/>
      <c r="FAT60" s="165"/>
      <c r="FAU60" s="165"/>
      <c r="FAV60" s="165"/>
      <c r="FAW60" s="165"/>
      <c r="FAX60" s="165"/>
      <c r="FAY60" s="165"/>
      <c r="FAZ60" s="165"/>
      <c r="FBA60" s="165"/>
      <c r="FBB60" s="165"/>
      <c r="FBC60" s="165"/>
      <c r="FBD60" s="165"/>
      <c r="FBE60" s="165"/>
      <c r="FBF60" s="165"/>
      <c r="FBG60" s="165"/>
      <c r="FBH60" s="165"/>
      <c r="FBI60" s="165"/>
      <c r="FBJ60" s="165"/>
      <c r="FBK60" s="165"/>
      <c r="FBL60" s="165"/>
      <c r="FBM60" s="165"/>
      <c r="FBN60" s="165"/>
      <c r="FBO60" s="165"/>
      <c r="FBP60" s="165"/>
      <c r="FBQ60" s="165"/>
      <c r="FBR60" s="165"/>
      <c r="FBS60" s="165"/>
      <c r="FBT60" s="165"/>
      <c r="FBU60" s="165"/>
      <c r="FBV60" s="165"/>
      <c r="FBW60" s="165"/>
      <c r="FBX60" s="165"/>
      <c r="FBY60" s="165"/>
      <c r="FBZ60" s="165"/>
      <c r="FCA60" s="165"/>
      <c r="FCB60" s="165"/>
      <c r="FCC60" s="165"/>
      <c r="FCD60" s="165"/>
      <c r="FCE60" s="165"/>
      <c r="FCF60" s="165"/>
      <c r="FCG60" s="165"/>
      <c r="FCH60" s="165"/>
      <c r="FCI60" s="165"/>
      <c r="FCJ60" s="165"/>
      <c r="FCK60" s="165"/>
      <c r="FCL60" s="165"/>
      <c r="FCM60" s="165"/>
      <c r="FCN60" s="165"/>
      <c r="FCO60" s="165"/>
      <c r="FCP60" s="165"/>
      <c r="FCQ60" s="165"/>
      <c r="FCR60" s="165"/>
      <c r="FCS60" s="165"/>
      <c r="FCT60" s="165"/>
      <c r="FCU60" s="165"/>
      <c r="FCV60" s="165"/>
      <c r="FCW60" s="165"/>
      <c r="FCX60" s="165"/>
      <c r="FCY60" s="165"/>
      <c r="FCZ60" s="165"/>
      <c r="FDA60" s="165"/>
      <c r="FDB60" s="165"/>
      <c r="FDC60" s="165"/>
      <c r="FDD60" s="165"/>
      <c r="FDE60" s="165"/>
      <c r="FDF60" s="165"/>
      <c r="FDG60" s="165"/>
      <c r="FDH60" s="165"/>
      <c r="FDI60" s="165"/>
      <c r="FDJ60" s="165"/>
      <c r="FDK60" s="165"/>
      <c r="FDL60" s="165"/>
      <c r="FDM60" s="165"/>
      <c r="FDN60" s="165"/>
      <c r="FDO60" s="165"/>
      <c r="FDP60" s="165"/>
      <c r="FDQ60" s="165"/>
      <c r="FDR60" s="165"/>
      <c r="FDS60" s="165"/>
      <c r="FDT60" s="165"/>
      <c r="FDU60" s="165"/>
      <c r="FDV60" s="165"/>
      <c r="FDW60" s="165"/>
      <c r="FDX60" s="165"/>
      <c r="FDY60" s="165"/>
      <c r="FDZ60" s="165"/>
      <c r="FEA60" s="165"/>
      <c r="FEB60" s="165"/>
      <c r="FEC60" s="165"/>
      <c r="FED60" s="165"/>
      <c r="FEE60" s="165"/>
      <c r="FEF60" s="165"/>
      <c r="FEG60" s="165"/>
      <c r="FEH60" s="165"/>
      <c r="FEI60" s="165"/>
      <c r="FEJ60" s="165"/>
      <c r="FEK60" s="165"/>
      <c r="FEL60" s="165"/>
      <c r="FEM60" s="165"/>
      <c r="FEN60" s="165"/>
      <c r="FEO60" s="165"/>
      <c r="FEP60" s="165"/>
      <c r="FEQ60" s="165"/>
      <c r="FER60" s="165"/>
      <c r="FES60" s="165"/>
      <c r="FET60" s="165"/>
      <c r="FEU60" s="165"/>
      <c r="FEV60" s="165"/>
      <c r="FEW60" s="165"/>
      <c r="FEX60" s="165"/>
      <c r="FEY60" s="165"/>
      <c r="FEZ60" s="165"/>
      <c r="FFA60" s="165"/>
      <c r="FFB60" s="165"/>
      <c r="FFC60" s="165"/>
      <c r="FFD60" s="165"/>
      <c r="FFE60" s="165"/>
      <c r="FFF60" s="165"/>
      <c r="FFG60" s="165"/>
      <c r="FFH60" s="165"/>
      <c r="FFI60" s="165"/>
      <c r="FFJ60" s="165"/>
      <c r="FFK60" s="165"/>
      <c r="FFL60" s="165"/>
      <c r="FFM60" s="165"/>
      <c r="FFN60" s="165"/>
      <c r="FFO60" s="165"/>
      <c r="FFP60" s="165"/>
      <c r="FFQ60" s="165"/>
      <c r="FFR60" s="165"/>
      <c r="FFS60" s="165"/>
      <c r="FFT60" s="165"/>
      <c r="FFU60" s="165"/>
      <c r="FFV60" s="165"/>
      <c r="FFW60" s="165"/>
      <c r="FFX60" s="165"/>
      <c r="FFY60" s="165"/>
      <c r="FFZ60" s="165"/>
      <c r="FGA60" s="165"/>
      <c r="FGB60" s="165"/>
      <c r="FGC60" s="165"/>
      <c r="FGD60" s="165"/>
      <c r="FGE60" s="165"/>
      <c r="FGF60" s="165"/>
      <c r="FGG60" s="165"/>
      <c r="FGH60" s="165"/>
      <c r="FGI60" s="165"/>
      <c r="FGJ60" s="165"/>
      <c r="FGK60" s="165"/>
      <c r="FGL60" s="165"/>
      <c r="FGM60" s="165"/>
      <c r="FGN60" s="165"/>
      <c r="FGO60" s="165"/>
      <c r="FGP60" s="165"/>
      <c r="FGQ60" s="165"/>
      <c r="FGR60" s="165"/>
      <c r="FGS60" s="165"/>
      <c r="FGT60" s="165"/>
      <c r="FGU60" s="165"/>
      <c r="FGV60" s="165"/>
      <c r="FGW60" s="165"/>
      <c r="FGX60" s="165"/>
      <c r="FGY60" s="165"/>
      <c r="FGZ60" s="165"/>
      <c r="FHA60" s="165"/>
      <c r="FHB60" s="165"/>
      <c r="FHC60" s="165"/>
      <c r="FHD60" s="165"/>
      <c r="FHE60" s="165"/>
      <c r="FHF60" s="165"/>
      <c r="FHG60" s="165"/>
      <c r="FHH60" s="165"/>
      <c r="FHI60" s="165"/>
      <c r="FHJ60" s="165"/>
      <c r="FHK60" s="165"/>
      <c r="FHL60" s="165"/>
      <c r="FHM60" s="165"/>
      <c r="FHN60" s="165"/>
      <c r="FHO60" s="165"/>
      <c r="FHP60" s="165"/>
      <c r="FHQ60" s="165"/>
      <c r="FHR60" s="165"/>
      <c r="FHS60" s="165"/>
      <c r="FHT60" s="165"/>
      <c r="FHU60" s="165"/>
      <c r="FHV60" s="165"/>
      <c r="FHW60" s="165"/>
      <c r="FHX60" s="165"/>
      <c r="FHY60" s="165"/>
      <c r="FHZ60" s="165"/>
      <c r="FIA60" s="165"/>
      <c r="FIB60" s="165"/>
      <c r="FIC60" s="165"/>
      <c r="FID60" s="165"/>
      <c r="FIE60" s="165"/>
      <c r="FIF60" s="165"/>
      <c r="FIG60" s="165"/>
      <c r="FIH60" s="165"/>
      <c r="FII60" s="165"/>
      <c r="FIJ60" s="165"/>
      <c r="FIK60" s="165"/>
      <c r="FIL60" s="165"/>
      <c r="FIM60" s="165"/>
      <c r="FIN60" s="165"/>
      <c r="FIO60" s="165"/>
      <c r="FIP60" s="165"/>
      <c r="FIQ60" s="165"/>
      <c r="FIR60" s="165"/>
      <c r="FIS60" s="165"/>
      <c r="FIT60" s="165"/>
      <c r="FIU60" s="165"/>
      <c r="FIV60" s="165"/>
      <c r="FIW60" s="165"/>
      <c r="FIX60" s="165"/>
      <c r="FIY60" s="165"/>
      <c r="FIZ60" s="165"/>
      <c r="FJA60" s="165"/>
      <c r="FJB60" s="165"/>
      <c r="FJC60" s="165"/>
      <c r="FJD60" s="165"/>
      <c r="FJE60" s="165"/>
      <c r="FJF60" s="165"/>
      <c r="FJG60" s="165"/>
      <c r="FJH60" s="165"/>
      <c r="FJI60" s="165"/>
      <c r="FJJ60" s="165"/>
      <c r="FJK60" s="165"/>
      <c r="FJL60" s="165"/>
      <c r="FJM60" s="165"/>
      <c r="FJN60" s="165"/>
      <c r="FJO60" s="165"/>
      <c r="FJP60" s="165"/>
      <c r="FJQ60" s="165"/>
      <c r="FJR60" s="165"/>
      <c r="FJS60" s="165"/>
      <c r="FJT60" s="165"/>
      <c r="FJU60" s="165"/>
      <c r="FJV60" s="165"/>
      <c r="FJW60" s="165"/>
      <c r="FJX60" s="165"/>
      <c r="FJY60" s="165"/>
      <c r="FJZ60" s="165"/>
      <c r="FKA60" s="165"/>
      <c r="FKB60" s="165"/>
      <c r="FKC60" s="165"/>
      <c r="FKD60" s="165"/>
      <c r="FKE60" s="165"/>
      <c r="FKF60" s="165"/>
      <c r="FKG60" s="165"/>
      <c r="FKH60" s="165"/>
      <c r="FKI60" s="165"/>
      <c r="FKJ60" s="165"/>
      <c r="FKK60" s="165"/>
      <c r="FKL60" s="165"/>
      <c r="FKM60" s="165"/>
      <c r="FKN60" s="165"/>
      <c r="FKO60" s="165"/>
      <c r="FKP60" s="165"/>
      <c r="FKQ60" s="165"/>
      <c r="FKR60" s="165"/>
      <c r="FKS60" s="165"/>
      <c r="FKT60" s="165"/>
      <c r="FKU60" s="165"/>
      <c r="FKV60" s="165"/>
      <c r="FKW60" s="165"/>
      <c r="FKX60" s="165"/>
      <c r="FKY60" s="165"/>
      <c r="FKZ60" s="165"/>
      <c r="FLA60" s="165"/>
      <c r="FLB60" s="165"/>
      <c r="FLC60" s="165"/>
      <c r="FLD60" s="165"/>
      <c r="FLE60" s="165"/>
      <c r="FLF60" s="165"/>
      <c r="FLG60" s="165"/>
      <c r="FLH60" s="165"/>
      <c r="FLI60" s="165"/>
      <c r="FLJ60" s="165"/>
      <c r="FLK60" s="165"/>
      <c r="FLL60" s="165"/>
      <c r="FLM60" s="165"/>
      <c r="FLN60" s="165"/>
      <c r="FLO60" s="165"/>
      <c r="FLP60" s="165"/>
      <c r="FLQ60" s="165"/>
      <c r="FLR60" s="165"/>
      <c r="FLS60" s="165"/>
      <c r="FLT60" s="165"/>
      <c r="FLU60" s="165"/>
      <c r="FLV60" s="165"/>
      <c r="FLW60" s="165"/>
      <c r="FLX60" s="165"/>
      <c r="FLY60" s="165"/>
      <c r="FLZ60" s="165"/>
      <c r="FMA60" s="165"/>
      <c r="FMB60" s="165"/>
      <c r="FMC60" s="165"/>
      <c r="FMD60" s="165"/>
      <c r="FME60" s="165"/>
      <c r="FMF60" s="165"/>
      <c r="FMG60" s="165"/>
      <c r="FMH60" s="165"/>
      <c r="FMI60" s="165"/>
      <c r="FMJ60" s="165"/>
      <c r="FMK60" s="165"/>
      <c r="FML60" s="165"/>
      <c r="FMM60" s="165"/>
      <c r="FMN60" s="165"/>
      <c r="FMO60" s="165"/>
      <c r="FMP60" s="165"/>
      <c r="FMQ60" s="165"/>
      <c r="FMR60" s="165"/>
      <c r="FMS60" s="165"/>
      <c r="FMT60" s="165"/>
      <c r="FMU60" s="165"/>
      <c r="FMV60" s="165"/>
      <c r="FMW60" s="165"/>
      <c r="FMX60" s="165"/>
      <c r="FMY60" s="165"/>
      <c r="FMZ60" s="165"/>
      <c r="FNA60" s="165"/>
      <c r="FNB60" s="165"/>
      <c r="FNC60" s="165"/>
      <c r="FND60" s="165"/>
      <c r="FNE60" s="165"/>
      <c r="FNF60" s="165"/>
      <c r="FNG60" s="165"/>
      <c r="FNH60" s="165"/>
      <c r="FNI60" s="165"/>
      <c r="FNJ60" s="165"/>
      <c r="FNK60" s="165"/>
      <c r="FNL60" s="165"/>
      <c r="FNM60" s="165"/>
      <c r="FNN60" s="165"/>
      <c r="FNO60" s="165"/>
      <c r="FNP60" s="165"/>
      <c r="FNQ60" s="165"/>
      <c r="FNR60" s="165"/>
      <c r="FNS60" s="165"/>
      <c r="FNT60" s="165"/>
      <c r="FNU60" s="165"/>
      <c r="FNV60" s="165"/>
      <c r="FNW60" s="165"/>
      <c r="FNX60" s="165"/>
      <c r="FNY60" s="165"/>
      <c r="FNZ60" s="165"/>
      <c r="FOA60" s="165"/>
      <c r="FOB60" s="165"/>
      <c r="FOC60" s="165"/>
      <c r="FOD60" s="165"/>
      <c r="FOE60" s="165"/>
      <c r="FOF60" s="165"/>
      <c r="FOG60" s="165"/>
      <c r="FOH60" s="165"/>
      <c r="FOI60" s="165"/>
      <c r="FOJ60" s="165"/>
      <c r="FOK60" s="165"/>
      <c r="FOL60" s="165"/>
      <c r="FOM60" s="165"/>
      <c r="FON60" s="165"/>
      <c r="FOO60" s="165"/>
      <c r="FOP60" s="165"/>
      <c r="FOQ60" s="165"/>
      <c r="FOR60" s="165"/>
      <c r="FOS60" s="165"/>
      <c r="FOT60" s="165"/>
      <c r="FOU60" s="165"/>
      <c r="FOV60" s="165"/>
      <c r="FOW60" s="165"/>
      <c r="FOX60" s="165"/>
      <c r="FOY60" s="165"/>
      <c r="FOZ60" s="165"/>
      <c r="FPA60" s="165"/>
      <c r="FPB60" s="165"/>
      <c r="FPC60" s="165"/>
      <c r="FPD60" s="165"/>
      <c r="FPE60" s="165"/>
      <c r="FPF60" s="165"/>
      <c r="FPG60" s="165"/>
      <c r="FPH60" s="165"/>
      <c r="FPI60" s="165"/>
      <c r="FPJ60" s="165"/>
      <c r="FPK60" s="165"/>
      <c r="FPL60" s="165"/>
      <c r="FPM60" s="165"/>
      <c r="FPN60" s="165"/>
      <c r="FPO60" s="165"/>
      <c r="FPP60" s="165"/>
      <c r="FPQ60" s="165"/>
      <c r="FPR60" s="165"/>
      <c r="FPS60" s="165"/>
      <c r="FPT60" s="165"/>
      <c r="FPU60" s="165"/>
      <c r="FPV60" s="165"/>
      <c r="FPW60" s="165"/>
      <c r="FPX60" s="165"/>
      <c r="FPY60" s="165"/>
      <c r="FPZ60" s="165"/>
      <c r="FQA60" s="165"/>
      <c r="FQB60" s="165"/>
      <c r="FQC60" s="165"/>
      <c r="FQD60" s="165"/>
      <c r="FQE60" s="165"/>
      <c r="FQF60" s="165"/>
      <c r="FQG60" s="165"/>
      <c r="FQH60" s="165"/>
      <c r="FQI60" s="165"/>
      <c r="FQJ60" s="165"/>
      <c r="FQK60" s="165"/>
      <c r="FQL60" s="165"/>
      <c r="FQM60" s="165"/>
      <c r="FQN60" s="165"/>
      <c r="FQO60" s="165"/>
      <c r="FQP60" s="165"/>
      <c r="FQQ60" s="165"/>
      <c r="FQR60" s="165"/>
      <c r="FQS60" s="165"/>
      <c r="FQT60" s="165"/>
      <c r="FQU60" s="165"/>
      <c r="FQV60" s="165"/>
      <c r="FQW60" s="165"/>
      <c r="FQX60" s="165"/>
      <c r="FQY60" s="165"/>
      <c r="FQZ60" s="165"/>
      <c r="FRA60" s="165"/>
      <c r="FRB60" s="165"/>
      <c r="FRC60" s="165"/>
      <c r="FRD60" s="165"/>
      <c r="FRE60" s="165"/>
      <c r="FRF60" s="165"/>
      <c r="FRG60" s="165"/>
      <c r="FRH60" s="165"/>
      <c r="FRI60" s="165"/>
      <c r="FRJ60" s="165"/>
      <c r="FRK60" s="165"/>
      <c r="FRL60" s="165"/>
      <c r="FRM60" s="165"/>
      <c r="FRN60" s="165"/>
      <c r="FRO60" s="165"/>
      <c r="FRP60" s="165"/>
      <c r="FRQ60" s="165"/>
      <c r="FRR60" s="165"/>
      <c r="FRS60" s="165"/>
      <c r="FRT60" s="165"/>
      <c r="FRU60" s="165"/>
      <c r="FRV60" s="165"/>
      <c r="FRW60" s="165"/>
      <c r="FRX60" s="165"/>
      <c r="FRY60" s="165"/>
      <c r="FRZ60" s="165"/>
      <c r="FSA60" s="165"/>
      <c r="FSB60" s="165"/>
      <c r="FSC60" s="165"/>
      <c r="FSD60" s="165"/>
      <c r="FSE60" s="165"/>
      <c r="FSF60" s="165"/>
      <c r="FSG60" s="165"/>
      <c r="FSH60" s="165"/>
      <c r="FSI60" s="165"/>
      <c r="FSJ60" s="165"/>
      <c r="FSK60" s="165"/>
      <c r="FSL60" s="165"/>
      <c r="FSM60" s="165"/>
      <c r="FSN60" s="165"/>
      <c r="FSO60" s="165"/>
      <c r="FSP60" s="165"/>
      <c r="FSQ60" s="165"/>
      <c r="FSR60" s="165"/>
      <c r="FSS60" s="165"/>
      <c r="FST60" s="165"/>
      <c r="FSU60" s="165"/>
      <c r="FSV60" s="165"/>
      <c r="FSW60" s="165"/>
      <c r="FSX60" s="165"/>
      <c r="FSY60" s="165"/>
      <c r="FSZ60" s="165"/>
      <c r="FTA60" s="165"/>
      <c r="FTB60" s="165"/>
      <c r="FTC60" s="165"/>
      <c r="FTD60" s="165"/>
      <c r="FTE60" s="165"/>
      <c r="FTF60" s="165"/>
      <c r="FTG60" s="165"/>
      <c r="FTH60" s="165"/>
      <c r="FTI60" s="165"/>
      <c r="FTJ60" s="165"/>
      <c r="FTK60" s="165"/>
      <c r="FTL60" s="165"/>
      <c r="FTM60" s="165"/>
      <c r="FTN60" s="165"/>
      <c r="FTO60" s="165"/>
      <c r="FTP60" s="165"/>
      <c r="FTQ60" s="165"/>
      <c r="FTR60" s="165"/>
      <c r="FTS60" s="165"/>
      <c r="FTT60" s="165"/>
      <c r="FTU60" s="165"/>
      <c r="FTV60" s="165"/>
      <c r="FTW60" s="165"/>
      <c r="FTX60" s="165"/>
      <c r="FTY60" s="165"/>
      <c r="FTZ60" s="165"/>
      <c r="FUA60" s="165"/>
      <c r="FUB60" s="165"/>
      <c r="FUC60" s="165"/>
      <c r="FUD60" s="165"/>
      <c r="FUE60" s="165"/>
      <c r="FUF60" s="165"/>
      <c r="FUG60" s="165"/>
      <c r="FUH60" s="165"/>
      <c r="FUI60" s="165"/>
      <c r="FUJ60" s="165"/>
      <c r="FUK60" s="165"/>
      <c r="FUL60" s="165"/>
      <c r="FUM60" s="165"/>
      <c r="FUN60" s="165"/>
      <c r="FUO60" s="165"/>
      <c r="FUP60" s="165"/>
      <c r="FUQ60" s="165"/>
      <c r="FUR60" s="165"/>
      <c r="FUS60" s="165"/>
      <c r="FUT60" s="165"/>
      <c r="FUU60" s="165"/>
      <c r="FUV60" s="165"/>
      <c r="FUW60" s="165"/>
      <c r="FUX60" s="165"/>
      <c r="FUY60" s="165"/>
      <c r="FUZ60" s="165"/>
      <c r="FVA60" s="165"/>
      <c r="FVB60" s="165"/>
      <c r="FVC60" s="165"/>
      <c r="FVD60" s="165"/>
      <c r="FVE60" s="165"/>
      <c r="FVF60" s="165"/>
      <c r="FVG60" s="165"/>
      <c r="FVH60" s="165"/>
      <c r="FVI60" s="165"/>
      <c r="FVJ60" s="165"/>
      <c r="FVK60" s="165"/>
      <c r="FVL60" s="165"/>
      <c r="FVM60" s="165"/>
      <c r="FVN60" s="165"/>
      <c r="FVO60" s="165"/>
      <c r="FVP60" s="165"/>
      <c r="FVQ60" s="165"/>
      <c r="FVR60" s="165"/>
      <c r="FVS60" s="165"/>
      <c r="FVT60" s="165"/>
      <c r="FVU60" s="165"/>
      <c r="FVV60" s="165"/>
      <c r="FVW60" s="165"/>
      <c r="FVX60" s="165"/>
      <c r="FVY60" s="165"/>
      <c r="FVZ60" s="165"/>
      <c r="FWA60" s="165"/>
      <c r="FWB60" s="165"/>
      <c r="FWC60" s="165"/>
      <c r="FWD60" s="165"/>
      <c r="FWE60" s="165"/>
      <c r="FWF60" s="165"/>
      <c r="FWG60" s="165"/>
      <c r="FWH60" s="165"/>
      <c r="FWI60" s="165"/>
      <c r="FWJ60" s="165"/>
      <c r="FWK60" s="165"/>
      <c r="FWL60" s="165"/>
      <c r="FWM60" s="165"/>
      <c r="FWN60" s="165"/>
      <c r="FWO60" s="165"/>
      <c r="FWP60" s="165"/>
      <c r="FWQ60" s="165"/>
      <c r="FWR60" s="165"/>
      <c r="FWS60" s="165"/>
      <c r="FWT60" s="165"/>
      <c r="FWU60" s="165"/>
      <c r="FWV60" s="165"/>
      <c r="FWW60" s="165"/>
      <c r="FWX60" s="165"/>
      <c r="FWY60" s="165"/>
      <c r="FWZ60" s="165"/>
      <c r="FXA60" s="165"/>
      <c r="FXB60" s="165"/>
      <c r="FXC60" s="165"/>
      <c r="FXD60" s="165"/>
      <c r="FXE60" s="165"/>
      <c r="FXF60" s="165"/>
      <c r="FXG60" s="165"/>
      <c r="FXH60" s="165"/>
      <c r="FXI60" s="165"/>
      <c r="FXJ60" s="165"/>
      <c r="FXK60" s="165"/>
      <c r="FXL60" s="165"/>
      <c r="FXM60" s="165"/>
      <c r="FXN60" s="165"/>
      <c r="FXO60" s="165"/>
      <c r="FXP60" s="165"/>
      <c r="FXQ60" s="165"/>
      <c r="FXR60" s="165"/>
      <c r="FXS60" s="165"/>
      <c r="FXT60" s="165"/>
      <c r="FXU60" s="165"/>
      <c r="FXV60" s="165"/>
      <c r="FXW60" s="165"/>
      <c r="FXX60" s="165"/>
      <c r="FXY60" s="165"/>
      <c r="FXZ60" s="165"/>
      <c r="FYA60" s="165"/>
      <c r="FYB60" s="165"/>
      <c r="FYC60" s="165"/>
      <c r="FYD60" s="165"/>
      <c r="FYE60" s="165"/>
      <c r="FYF60" s="165"/>
      <c r="FYG60" s="165"/>
      <c r="FYH60" s="165"/>
      <c r="FYI60" s="165"/>
      <c r="FYJ60" s="165"/>
      <c r="FYK60" s="165"/>
      <c r="FYL60" s="165"/>
      <c r="FYM60" s="165"/>
      <c r="FYN60" s="165"/>
      <c r="FYO60" s="165"/>
      <c r="FYP60" s="165"/>
      <c r="FYQ60" s="165"/>
      <c r="FYR60" s="165"/>
      <c r="FYS60" s="165"/>
      <c r="FYT60" s="165"/>
      <c r="FYU60" s="165"/>
      <c r="FYV60" s="165"/>
      <c r="FYW60" s="165"/>
      <c r="FYX60" s="165"/>
      <c r="FYY60" s="165"/>
      <c r="FYZ60" s="165"/>
      <c r="FZA60" s="165"/>
      <c r="FZB60" s="165"/>
      <c r="FZC60" s="165"/>
      <c r="FZD60" s="165"/>
      <c r="FZE60" s="165"/>
      <c r="FZF60" s="165"/>
      <c r="FZG60" s="165"/>
      <c r="FZH60" s="165"/>
      <c r="FZI60" s="165"/>
      <c r="FZJ60" s="165"/>
      <c r="FZK60" s="165"/>
      <c r="FZL60" s="165"/>
      <c r="FZM60" s="165"/>
      <c r="FZN60" s="165"/>
      <c r="FZO60" s="165"/>
      <c r="FZP60" s="165"/>
      <c r="FZQ60" s="165"/>
      <c r="FZR60" s="165"/>
      <c r="FZS60" s="165"/>
      <c r="FZT60" s="165"/>
      <c r="FZU60" s="165"/>
      <c r="FZV60" s="165"/>
      <c r="FZW60" s="165"/>
      <c r="FZX60" s="165"/>
      <c r="FZY60" s="165"/>
      <c r="FZZ60" s="165"/>
      <c r="GAA60" s="165"/>
      <c r="GAB60" s="165"/>
      <c r="GAC60" s="165"/>
      <c r="GAD60" s="165"/>
      <c r="GAE60" s="165"/>
      <c r="GAF60" s="165"/>
      <c r="GAG60" s="165"/>
      <c r="GAH60" s="165"/>
      <c r="GAI60" s="165"/>
      <c r="GAJ60" s="165"/>
      <c r="GAK60" s="165"/>
      <c r="GAL60" s="165"/>
      <c r="GAM60" s="165"/>
      <c r="GAN60" s="165"/>
      <c r="GAO60" s="165"/>
      <c r="GAP60" s="165"/>
      <c r="GAQ60" s="165"/>
      <c r="GAR60" s="165"/>
      <c r="GAS60" s="165"/>
      <c r="GAT60" s="165"/>
      <c r="GAU60" s="165"/>
      <c r="GAV60" s="165"/>
      <c r="GAW60" s="165"/>
      <c r="GAX60" s="165"/>
      <c r="GAY60" s="165"/>
      <c r="GAZ60" s="165"/>
      <c r="GBA60" s="165"/>
      <c r="GBB60" s="165"/>
      <c r="GBC60" s="165"/>
      <c r="GBD60" s="165"/>
      <c r="GBE60" s="165"/>
      <c r="GBF60" s="165"/>
      <c r="GBG60" s="165"/>
      <c r="GBH60" s="165"/>
      <c r="GBI60" s="165"/>
      <c r="GBJ60" s="165"/>
      <c r="GBK60" s="165"/>
      <c r="GBL60" s="165"/>
      <c r="GBM60" s="165"/>
      <c r="GBN60" s="165"/>
      <c r="GBO60" s="165"/>
      <c r="GBP60" s="165"/>
      <c r="GBQ60" s="165"/>
      <c r="GBR60" s="165"/>
      <c r="GBS60" s="165"/>
      <c r="GBT60" s="165"/>
      <c r="GBU60" s="165"/>
      <c r="GBV60" s="165"/>
      <c r="GBW60" s="165"/>
      <c r="GBX60" s="165"/>
      <c r="GBY60" s="165"/>
      <c r="GBZ60" s="165"/>
      <c r="GCA60" s="165"/>
      <c r="GCB60" s="165"/>
      <c r="GCC60" s="165"/>
      <c r="GCD60" s="165"/>
      <c r="GCE60" s="165"/>
      <c r="GCF60" s="165"/>
      <c r="GCG60" s="165"/>
      <c r="GCH60" s="165"/>
      <c r="GCI60" s="165"/>
      <c r="GCJ60" s="165"/>
      <c r="GCK60" s="165"/>
      <c r="GCL60" s="165"/>
      <c r="GCM60" s="165"/>
      <c r="GCN60" s="165"/>
      <c r="GCO60" s="165"/>
      <c r="GCP60" s="165"/>
      <c r="GCQ60" s="165"/>
      <c r="GCR60" s="165"/>
      <c r="GCS60" s="165"/>
      <c r="GCT60" s="165"/>
      <c r="GCU60" s="165"/>
      <c r="GCV60" s="165"/>
      <c r="GCW60" s="165"/>
      <c r="GCX60" s="165"/>
      <c r="GCY60" s="165"/>
      <c r="GCZ60" s="165"/>
      <c r="GDA60" s="165"/>
      <c r="GDB60" s="165"/>
      <c r="GDC60" s="165"/>
      <c r="GDD60" s="165"/>
      <c r="GDE60" s="165"/>
      <c r="GDF60" s="165"/>
      <c r="GDG60" s="165"/>
      <c r="GDH60" s="165"/>
      <c r="GDI60" s="165"/>
      <c r="GDJ60" s="165"/>
      <c r="GDK60" s="165"/>
      <c r="GDL60" s="165"/>
      <c r="GDM60" s="165"/>
      <c r="GDN60" s="165"/>
      <c r="GDO60" s="165"/>
      <c r="GDP60" s="165"/>
      <c r="GDQ60" s="165"/>
      <c r="GDR60" s="165"/>
      <c r="GDS60" s="165"/>
      <c r="GDT60" s="165"/>
      <c r="GDU60" s="165"/>
      <c r="GDV60" s="165"/>
      <c r="GDW60" s="165"/>
      <c r="GDX60" s="165"/>
      <c r="GDY60" s="165"/>
      <c r="GDZ60" s="165"/>
      <c r="GEA60" s="165"/>
      <c r="GEB60" s="165"/>
      <c r="GEC60" s="165"/>
      <c r="GED60" s="165"/>
      <c r="GEE60" s="165"/>
      <c r="GEF60" s="165"/>
      <c r="GEG60" s="165"/>
      <c r="GEH60" s="165"/>
      <c r="GEI60" s="165"/>
      <c r="GEJ60" s="165"/>
      <c r="GEK60" s="165"/>
      <c r="GEL60" s="165"/>
      <c r="GEM60" s="165"/>
      <c r="GEN60" s="165"/>
      <c r="GEO60" s="165"/>
      <c r="GEP60" s="165"/>
      <c r="GEQ60" s="165"/>
      <c r="GER60" s="165"/>
      <c r="GES60" s="165"/>
      <c r="GET60" s="165"/>
      <c r="GEU60" s="165"/>
      <c r="GEV60" s="165"/>
      <c r="GEW60" s="165"/>
      <c r="GEX60" s="165"/>
      <c r="GEY60" s="165"/>
      <c r="GEZ60" s="165"/>
      <c r="GFA60" s="165"/>
      <c r="GFB60" s="165"/>
      <c r="GFC60" s="165"/>
      <c r="GFD60" s="165"/>
      <c r="GFE60" s="165"/>
      <c r="GFF60" s="165"/>
      <c r="GFG60" s="165"/>
      <c r="GFH60" s="165"/>
      <c r="GFI60" s="165"/>
      <c r="GFJ60" s="165"/>
      <c r="GFK60" s="165"/>
      <c r="GFL60" s="165"/>
      <c r="GFM60" s="165"/>
      <c r="GFN60" s="165"/>
      <c r="GFO60" s="165"/>
      <c r="GFP60" s="165"/>
      <c r="GFQ60" s="165"/>
      <c r="GFR60" s="165"/>
      <c r="GFS60" s="165"/>
      <c r="GFT60" s="165"/>
      <c r="GFU60" s="165"/>
      <c r="GFV60" s="165"/>
      <c r="GFW60" s="165"/>
      <c r="GFX60" s="165"/>
      <c r="GFY60" s="165"/>
      <c r="GFZ60" s="165"/>
      <c r="GGA60" s="165"/>
      <c r="GGB60" s="165"/>
      <c r="GGC60" s="165"/>
      <c r="GGD60" s="165"/>
      <c r="GGE60" s="165"/>
      <c r="GGF60" s="165"/>
      <c r="GGG60" s="165"/>
      <c r="GGH60" s="165"/>
      <c r="GGI60" s="165"/>
      <c r="GGJ60" s="165"/>
      <c r="GGK60" s="165"/>
      <c r="GGL60" s="165"/>
      <c r="GGM60" s="165"/>
      <c r="GGN60" s="165"/>
      <c r="GGO60" s="165"/>
      <c r="GGP60" s="165"/>
      <c r="GGQ60" s="165"/>
      <c r="GGR60" s="165"/>
      <c r="GGS60" s="165"/>
      <c r="GGT60" s="165"/>
      <c r="GGU60" s="165"/>
      <c r="GGV60" s="165"/>
      <c r="GGW60" s="165"/>
      <c r="GGX60" s="165"/>
      <c r="GGY60" s="165"/>
      <c r="GGZ60" s="165"/>
      <c r="GHA60" s="165"/>
      <c r="GHB60" s="165"/>
      <c r="GHC60" s="165"/>
      <c r="GHD60" s="165"/>
      <c r="GHE60" s="165"/>
      <c r="GHF60" s="165"/>
      <c r="GHG60" s="165"/>
      <c r="GHH60" s="165"/>
      <c r="GHI60" s="165"/>
      <c r="GHJ60" s="165"/>
      <c r="GHK60" s="165"/>
      <c r="GHL60" s="165"/>
      <c r="GHM60" s="165"/>
      <c r="GHN60" s="165"/>
      <c r="GHO60" s="165"/>
      <c r="GHP60" s="165"/>
      <c r="GHQ60" s="165"/>
      <c r="GHR60" s="165"/>
      <c r="GHS60" s="165"/>
      <c r="GHT60" s="165"/>
      <c r="GHU60" s="165"/>
      <c r="GHV60" s="165"/>
      <c r="GHW60" s="165"/>
      <c r="GHX60" s="165"/>
      <c r="GHY60" s="165"/>
      <c r="GHZ60" s="165"/>
      <c r="GIA60" s="165"/>
      <c r="GIB60" s="165"/>
      <c r="GIC60" s="165"/>
      <c r="GID60" s="165"/>
      <c r="GIE60" s="165"/>
      <c r="GIF60" s="165"/>
      <c r="GIG60" s="165"/>
      <c r="GIH60" s="165"/>
      <c r="GII60" s="165"/>
      <c r="GIJ60" s="165"/>
      <c r="GIK60" s="165"/>
      <c r="GIL60" s="165"/>
      <c r="GIM60" s="165"/>
      <c r="GIN60" s="165"/>
      <c r="GIO60" s="165"/>
      <c r="GIP60" s="165"/>
      <c r="GIQ60" s="165"/>
      <c r="GIR60" s="165"/>
      <c r="GIS60" s="165"/>
      <c r="GIT60" s="165"/>
      <c r="GIU60" s="165"/>
      <c r="GIV60" s="165"/>
      <c r="GIW60" s="165"/>
      <c r="GIX60" s="165"/>
      <c r="GIY60" s="165"/>
      <c r="GIZ60" s="165"/>
      <c r="GJA60" s="165"/>
      <c r="GJB60" s="165"/>
      <c r="GJC60" s="165"/>
      <c r="GJD60" s="165"/>
      <c r="GJE60" s="165"/>
      <c r="GJF60" s="165"/>
      <c r="GJG60" s="165"/>
      <c r="GJH60" s="165"/>
      <c r="GJI60" s="165"/>
      <c r="GJJ60" s="165"/>
      <c r="GJK60" s="165"/>
      <c r="GJL60" s="165"/>
      <c r="GJM60" s="165"/>
      <c r="GJN60" s="165"/>
      <c r="GJO60" s="165"/>
      <c r="GJP60" s="165"/>
      <c r="GJQ60" s="165"/>
      <c r="GJR60" s="165"/>
      <c r="GJS60" s="165"/>
      <c r="GJT60" s="165"/>
      <c r="GJU60" s="165"/>
      <c r="GJV60" s="165"/>
      <c r="GJW60" s="165"/>
      <c r="GJX60" s="165"/>
      <c r="GJY60" s="165"/>
      <c r="GJZ60" s="165"/>
      <c r="GKA60" s="165"/>
      <c r="GKB60" s="165"/>
      <c r="GKC60" s="165"/>
      <c r="GKD60" s="165"/>
      <c r="GKE60" s="165"/>
      <c r="GKF60" s="165"/>
      <c r="GKG60" s="165"/>
      <c r="GKH60" s="165"/>
      <c r="GKI60" s="165"/>
      <c r="GKJ60" s="165"/>
      <c r="GKK60" s="165"/>
      <c r="GKL60" s="165"/>
      <c r="GKM60" s="165"/>
      <c r="GKN60" s="165"/>
      <c r="GKO60" s="165"/>
      <c r="GKP60" s="165"/>
      <c r="GKQ60" s="165"/>
      <c r="GKR60" s="165"/>
      <c r="GKS60" s="165"/>
      <c r="GKT60" s="165"/>
      <c r="GKU60" s="165"/>
      <c r="GKV60" s="165"/>
      <c r="GKW60" s="165"/>
      <c r="GKX60" s="165"/>
      <c r="GKY60" s="165"/>
      <c r="GKZ60" s="165"/>
      <c r="GLA60" s="165"/>
      <c r="GLB60" s="165"/>
      <c r="GLC60" s="165"/>
      <c r="GLD60" s="165"/>
      <c r="GLE60" s="165"/>
      <c r="GLF60" s="165"/>
      <c r="GLG60" s="165"/>
      <c r="GLH60" s="165"/>
      <c r="GLI60" s="165"/>
      <c r="GLJ60" s="165"/>
      <c r="GLK60" s="165"/>
      <c r="GLL60" s="165"/>
      <c r="GLM60" s="165"/>
      <c r="GLN60" s="165"/>
      <c r="GLO60" s="165"/>
      <c r="GLP60" s="165"/>
      <c r="GLQ60" s="165"/>
      <c r="GLR60" s="165"/>
      <c r="GLS60" s="165"/>
      <c r="GLT60" s="165"/>
      <c r="GLU60" s="165"/>
      <c r="GLV60" s="165"/>
      <c r="GLW60" s="165"/>
      <c r="GLX60" s="165"/>
      <c r="GLY60" s="165"/>
      <c r="GLZ60" s="165"/>
      <c r="GMA60" s="165"/>
      <c r="GMB60" s="165"/>
      <c r="GMC60" s="165"/>
      <c r="GMD60" s="165"/>
      <c r="GME60" s="165"/>
      <c r="GMF60" s="165"/>
      <c r="GMG60" s="165"/>
      <c r="GMH60" s="165"/>
      <c r="GMI60" s="165"/>
      <c r="GMJ60" s="165"/>
      <c r="GMK60" s="165"/>
      <c r="GML60" s="165"/>
      <c r="GMM60" s="165"/>
      <c r="GMN60" s="165"/>
      <c r="GMO60" s="165"/>
      <c r="GMP60" s="165"/>
      <c r="GMQ60" s="165"/>
      <c r="GMR60" s="165"/>
      <c r="GMS60" s="165"/>
      <c r="GMT60" s="165"/>
      <c r="GMU60" s="165"/>
      <c r="GMV60" s="165"/>
      <c r="GMW60" s="165"/>
      <c r="GMX60" s="165"/>
      <c r="GMY60" s="165"/>
      <c r="GMZ60" s="165"/>
      <c r="GNA60" s="165"/>
      <c r="GNB60" s="165"/>
      <c r="GNC60" s="165"/>
      <c r="GND60" s="165"/>
      <c r="GNE60" s="165"/>
      <c r="GNF60" s="165"/>
      <c r="GNG60" s="165"/>
      <c r="GNH60" s="165"/>
      <c r="GNI60" s="165"/>
      <c r="GNJ60" s="165"/>
      <c r="GNK60" s="165"/>
      <c r="GNL60" s="165"/>
      <c r="GNM60" s="165"/>
      <c r="GNN60" s="165"/>
      <c r="GNO60" s="165"/>
      <c r="GNP60" s="165"/>
      <c r="GNQ60" s="165"/>
      <c r="GNR60" s="165"/>
      <c r="GNS60" s="165"/>
      <c r="GNT60" s="165"/>
      <c r="GNU60" s="165"/>
      <c r="GNV60" s="165"/>
      <c r="GNW60" s="165"/>
      <c r="GNX60" s="165"/>
      <c r="GNY60" s="165"/>
      <c r="GNZ60" s="165"/>
      <c r="GOA60" s="165"/>
      <c r="GOB60" s="165"/>
      <c r="GOC60" s="165"/>
      <c r="GOD60" s="165"/>
      <c r="GOE60" s="165"/>
      <c r="GOF60" s="165"/>
      <c r="GOG60" s="165"/>
      <c r="GOH60" s="165"/>
      <c r="GOI60" s="165"/>
      <c r="GOJ60" s="165"/>
      <c r="GOK60" s="165"/>
      <c r="GOL60" s="165"/>
      <c r="GOM60" s="165"/>
      <c r="GON60" s="165"/>
      <c r="GOO60" s="165"/>
      <c r="GOP60" s="165"/>
      <c r="GOQ60" s="165"/>
      <c r="GOR60" s="165"/>
      <c r="GOS60" s="165"/>
      <c r="GOT60" s="165"/>
      <c r="GOU60" s="165"/>
      <c r="GOV60" s="165"/>
      <c r="GOW60" s="165"/>
      <c r="GOX60" s="165"/>
      <c r="GOY60" s="165"/>
      <c r="GOZ60" s="165"/>
      <c r="GPA60" s="165"/>
      <c r="GPB60" s="165"/>
      <c r="GPC60" s="165"/>
      <c r="GPD60" s="165"/>
      <c r="GPE60" s="165"/>
      <c r="GPF60" s="165"/>
      <c r="GPG60" s="165"/>
      <c r="GPH60" s="165"/>
      <c r="GPI60" s="165"/>
      <c r="GPJ60" s="165"/>
      <c r="GPK60" s="165"/>
      <c r="GPL60" s="165"/>
      <c r="GPM60" s="165"/>
      <c r="GPN60" s="165"/>
      <c r="GPO60" s="165"/>
      <c r="GPP60" s="165"/>
      <c r="GPQ60" s="165"/>
      <c r="GPR60" s="165"/>
      <c r="GPS60" s="165"/>
      <c r="GPT60" s="165"/>
      <c r="GPU60" s="165"/>
      <c r="GPV60" s="165"/>
      <c r="GPW60" s="165"/>
      <c r="GPX60" s="165"/>
      <c r="GPY60" s="165"/>
      <c r="GPZ60" s="165"/>
      <c r="GQA60" s="165"/>
      <c r="GQB60" s="165"/>
      <c r="GQC60" s="165"/>
      <c r="GQD60" s="165"/>
      <c r="GQE60" s="165"/>
      <c r="GQF60" s="165"/>
      <c r="GQG60" s="165"/>
      <c r="GQH60" s="165"/>
      <c r="GQI60" s="165"/>
      <c r="GQJ60" s="165"/>
      <c r="GQK60" s="165"/>
      <c r="GQL60" s="165"/>
      <c r="GQM60" s="165"/>
      <c r="GQN60" s="165"/>
      <c r="GQO60" s="165"/>
      <c r="GQP60" s="165"/>
      <c r="GQQ60" s="165"/>
      <c r="GQR60" s="165"/>
      <c r="GQS60" s="165"/>
      <c r="GQT60" s="165"/>
      <c r="GQU60" s="165"/>
      <c r="GQV60" s="165"/>
      <c r="GQW60" s="165"/>
      <c r="GQX60" s="165"/>
      <c r="GQY60" s="165"/>
      <c r="GQZ60" s="165"/>
      <c r="GRA60" s="165"/>
      <c r="GRB60" s="165"/>
      <c r="GRC60" s="165"/>
      <c r="GRD60" s="165"/>
      <c r="GRE60" s="165"/>
      <c r="GRF60" s="165"/>
      <c r="GRG60" s="165"/>
      <c r="GRH60" s="165"/>
      <c r="GRI60" s="165"/>
      <c r="GRJ60" s="165"/>
      <c r="GRK60" s="165"/>
      <c r="GRL60" s="165"/>
      <c r="GRM60" s="165"/>
      <c r="GRN60" s="165"/>
      <c r="GRO60" s="165"/>
      <c r="GRP60" s="165"/>
      <c r="GRQ60" s="165"/>
      <c r="GRR60" s="165"/>
      <c r="GRS60" s="165"/>
      <c r="GRT60" s="165"/>
      <c r="GRU60" s="165"/>
      <c r="GRV60" s="165"/>
      <c r="GRW60" s="165"/>
      <c r="GRX60" s="165"/>
      <c r="GRY60" s="165"/>
      <c r="GRZ60" s="165"/>
      <c r="GSA60" s="165"/>
      <c r="GSB60" s="165"/>
      <c r="GSC60" s="165"/>
      <c r="GSD60" s="165"/>
      <c r="GSE60" s="165"/>
      <c r="GSF60" s="165"/>
      <c r="GSG60" s="165"/>
      <c r="GSH60" s="165"/>
      <c r="GSI60" s="165"/>
      <c r="GSJ60" s="165"/>
      <c r="GSK60" s="165"/>
      <c r="GSL60" s="165"/>
      <c r="GSM60" s="165"/>
      <c r="GSN60" s="165"/>
      <c r="GSO60" s="165"/>
      <c r="GSP60" s="165"/>
      <c r="GSQ60" s="165"/>
      <c r="GSR60" s="165"/>
      <c r="GSS60" s="165"/>
      <c r="GST60" s="165"/>
      <c r="GSU60" s="165"/>
      <c r="GSV60" s="165"/>
      <c r="GSW60" s="165"/>
      <c r="GSX60" s="165"/>
      <c r="GSY60" s="165"/>
      <c r="GSZ60" s="165"/>
      <c r="GTA60" s="165"/>
      <c r="GTB60" s="165"/>
      <c r="GTC60" s="165"/>
      <c r="GTD60" s="165"/>
      <c r="GTE60" s="165"/>
      <c r="GTF60" s="165"/>
      <c r="GTG60" s="165"/>
      <c r="GTH60" s="165"/>
      <c r="GTI60" s="165"/>
      <c r="GTJ60" s="165"/>
      <c r="GTK60" s="165"/>
      <c r="GTL60" s="165"/>
      <c r="GTM60" s="165"/>
      <c r="GTN60" s="165"/>
      <c r="GTO60" s="165"/>
      <c r="GTP60" s="165"/>
      <c r="GTQ60" s="165"/>
      <c r="GTR60" s="165"/>
      <c r="GTS60" s="165"/>
      <c r="GTT60" s="165"/>
      <c r="GTU60" s="165"/>
      <c r="GTV60" s="165"/>
      <c r="GTW60" s="165"/>
      <c r="GTX60" s="165"/>
      <c r="GTY60" s="165"/>
      <c r="GTZ60" s="165"/>
      <c r="GUA60" s="165"/>
      <c r="GUB60" s="165"/>
      <c r="GUC60" s="165"/>
      <c r="GUD60" s="165"/>
      <c r="GUE60" s="165"/>
      <c r="GUF60" s="165"/>
      <c r="GUG60" s="165"/>
      <c r="GUH60" s="165"/>
      <c r="GUI60" s="165"/>
      <c r="GUJ60" s="165"/>
      <c r="GUK60" s="165"/>
      <c r="GUL60" s="165"/>
      <c r="GUM60" s="165"/>
      <c r="GUN60" s="165"/>
      <c r="GUO60" s="165"/>
      <c r="GUP60" s="165"/>
      <c r="GUQ60" s="165"/>
      <c r="GUR60" s="165"/>
      <c r="GUS60" s="165"/>
      <c r="GUT60" s="165"/>
      <c r="GUU60" s="165"/>
      <c r="GUV60" s="165"/>
      <c r="GUW60" s="165"/>
      <c r="GUX60" s="165"/>
      <c r="GUY60" s="165"/>
      <c r="GUZ60" s="165"/>
      <c r="GVA60" s="165"/>
      <c r="GVB60" s="165"/>
      <c r="GVC60" s="165"/>
      <c r="GVD60" s="165"/>
      <c r="GVE60" s="165"/>
      <c r="GVF60" s="165"/>
      <c r="GVG60" s="165"/>
      <c r="GVH60" s="165"/>
      <c r="GVI60" s="165"/>
      <c r="GVJ60" s="165"/>
      <c r="GVK60" s="165"/>
      <c r="GVL60" s="165"/>
      <c r="GVM60" s="165"/>
      <c r="GVN60" s="165"/>
      <c r="GVO60" s="165"/>
      <c r="GVP60" s="165"/>
      <c r="GVQ60" s="165"/>
      <c r="GVR60" s="165"/>
      <c r="GVS60" s="165"/>
      <c r="GVT60" s="165"/>
      <c r="GVU60" s="165"/>
      <c r="GVV60" s="165"/>
      <c r="GVW60" s="165"/>
      <c r="GVX60" s="165"/>
      <c r="GVY60" s="165"/>
      <c r="GVZ60" s="165"/>
      <c r="GWA60" s="165"/>
      <c r="GWB60" s="165"/>
      <c r="GWC60" s="165"/>
      <c r="GWD60" s="165"/>
      <c r="GWE60" s="165"/>
      <c r="GWF60" s="165"/>
      <c r="GWG60" s="165"/>
      <c r="GWH60" s="165"/>
      <c r="GWI60" s="165"/>
      <c r="GWJ60" s="165"/>
      <c r="GWK60" s="165"/>
      <c r="GWL60" s="165"/>
      <c r="GWM60" s="165"/>
      <c r="GWN60" s="165"/>
      <c r="GWO60" s="165"/>
      <c r="GWP60" s="165"/>
      <c r="GWQ60" s="165"/>
      <c r="GWR60" s="165"/>
      <c r="GWS60" s="165"/>
      <c r="GWT60" s="165"/>
      <c r="GWU60" s="165"/>
      <c r="GWV60" s="165"/>
      <c r="GWW60" s="165"/>
      <c r="GWX60" s="165"/>
      <c r="GWY60" s="165"/>
      <c r="GWZ60" s="165"/>
      <c r="GXA60" s="165"/>
      <c r="GXB60" s="165"/>
      <c r="GXC60" s="165"/>
      <c r="GXD60" s="165"/>
      <c r="GXE60" s="165"/>
      <c r="GXF60" s="165"/>
      <c r="GXG60" s="165"/>
      <c r="GXH60" s="165"/>
      <c r="GXI60" s="165"/>
      <c r="GXJ60" s="165"/>
      <c r="GXK60" s="165"/>
      <c r="GXL60" s="165"/>
      <c r="GXM60" s="165"/>
      <c r="GXN60" s="165"/>
      <c r="GXO60" s="165"/>
      <c r="GXP60" s="165"/>
      <c r="GXQ60" s="165"/>
      <c r="GXR60" s="165"/>
      <c r="GXS60" s="165"/>
      <c r="GXT60" s="165"/>
      <c r="GXU60" s="165"/>
      <c r="GXV60" s="165"/>
      <c r="GXW60" s="165"/>
      <c r="GXX60" s="165"/>
      <c r="GXY60" s="165"/>
      <c r="GXZ60" s="165"/>
      <c r="GYA60" s="165"/>
      <c r="GYB60" s="165"/>
      <c r="GYC60" s="165"/>
      <c r="GYD60" s="165"/>
      <c r="GYE60" s="165"/>
      <c r="GYF60" s="165"/>
      <c r="GYG60" s="165"/>
      <c r="GYH60" s="165"/>
      <c r="GYI60" s="165"/>
      <c r="GYJ60" s="165"/>
      <c r="GYK60" s="165"/>
      <c r="GYL60" s="165"/>
      <c r="GYM60" s="165"/>
      <c r="GYN60" s="165"/>
      <c r="GYO60" s="165"/>
      <c r="GYP60" s="165"/>
      <c r="GYQ60" s="165"/>
      <c r="GYR60" s="165"/>
      <c r="GYS60" s="165"/>
      <c r="GYT60" s="165"/>
      <c r="GYU60" s="165"/>
      <c r="GYV60" s="165"/>
      <c r="GYW60" s="165"/>
      <c r="GYX60" s="165"/>
      <c r="GYY60" s="165"/>
      <c r="GYZ60" s="165"/>
      <c r="GZA60" s="165"/>
      <c r="GZB60" s="165"/>
      <c r="GZC60" s="165"/>
      <c r="GZD60" s="165"/>
      <c r="GZE60" s="165"/>
      <c r="GZF60" s="165"/>
      <c r="GZG60" s="165"/>
      <c r="GZH60" s="165"/>
      <c r="GZI60" s="165"/>
      <c r="GZJ60" s="165"/>
      <c r="GZK60" s="165"/>
      <c r="GZL60" s="165"/>
      <c r="GZM60" s="165"/>
      <c r="GZN60" s="165"/>
      <c r="GZO60" s="165"/>
      <c r="GZP60" s="165"/>
      <c r="GZQ60" s="165"/>
      <c r="GZR60" s="165"/>
      <c r="GZS60" s="165"/>
      <c r="GZT60" s="165"/>
      <c r="GZU60" s="165"/>
      <c r="GZV60" s="165"/>
      <c r="GZW60" s="165"/>
      <c r="GZX60" s="165"/>
      <c r="GZY60" s="165"/>
      <c r="GZZ60" s="165"/>
      <c r="HAA60" s="165"/>
      <c r="HAB60" s="165"/>
      <c r="HAC60" s="165"/>
      <c r="HAD60" s="165"/>
      <c r="HAE60" s="165"/>
      <c r="HAF60" s="165"/>
      <c r="HAG60" s="165"/>
      <c r="HAH60" s="165"/>
      <c r="HAI60" s="165"/>
      <c r="HAJ60" s="165"/>
      <c r="HAK60" s="165"/>
      <c r="HAL60" s="165"/>
      <c r="HAM60" s="165"/>
      <c r="HAN60" s="165"/>
      <c r="HAO60" s="165"/>
      <c r="HAP60" s="165"/>
      <c r="HAQ60" s="165"/>
      <c r="HAR60" s="165"/>
      <c r="HAS60" s="165"/>
      <c r="HAT60" s="165"/>
      <c r="HAU60" s="165"/>
      <c r="HAV60" s="165"/>
      <c r="HAW60" s="165"/>
      <c r="HAX60" s="165"/>
      <c r="HAY60" s="165"/>
      <c r="HAZ60" s="165"/>
      <c r="HBA60" s="165"/>
      <c r="HBB60" s="165"/>
      <c r="HBC60" s="165"/>
      <c r="HBD60" s="165"/>
      <c r="HBE60" s="165"/>
      <c r="HBF60" s="165"/>
      <c r="HBG60" s="165"/>
      <c r="HBH60" s="165"/>
      <c r="HBI60" s="165"/>
      <c r="HBJ60" s="165"/>
      <c r="HBK60" s="165"/>
      <c r="HBL60" s="165"/>
      <c r="HBM60" s="165"/>
      <c r="HBN60" s="165"/>
      <c r="HBO60" s="165"/>
      <c r="HBP60" s="165"/>
      <c r="HBQ60" s="165"/>
      <c r="HBR60" s="165"/>
      <c r="HBS60" s="165"/>
      <c r="HBT60" s="165"/>
      <c r="HBU60" s="165"/>
      <c r="HBV60" s="165"/>
      <c r="HBW60" s="165"/>
      <c r="HBX60" s="165"/>
      <c r="HBY60" s="165"/>
      <c r="HBZ60" s="165"/>
      <c r="HCA60" s="165"/>
      <c r="HCB60" s="165"/>
      <c r="HCC60" s="165"/>
      <c r="HCD60" s="165"/>
      <c r="HCE60" s="165"/>
      <c r="HCF60" s="165"/>
      <c r="HCG60" s="165"/>
      <c r="HCH60" s="165"/>
      <c r="HCI60" s="165"/>
      <c r="HCJ60" s="165"/>
      <c r="HCK60" s="165"/>
      <c r="HCL60" s="165"/>
      <c r="HCM60" s="165"/>
      <c r="HCN60" s="165"/>
      <c r="HCO60" s="165"/>
      <c r="HCP60" s="165"/>
      <c r="HCQ60" s="165"/>
      <c r="HCR60" s="165"/>
      <c r="HCS60" s="165"/>
      <c r="HCT60" s="165"/>
      <c r="HCU60" s="165"/>
      <c r="HCV60" s="165"/>
      <c r="HCW60" s="165"/>
      <c r="HCX60" s="165"/>
      <c r="HCY60" s="165"/>
      <c r="HCZ60" s="165"/>
      <c r="HDA60" s="165"/>
      <c r="HDB60" s="165"/>
      <c r="HDC60" s="165"/>
      <c r="HDD60" s="165"/>
      <c r="HDE60" s="165"/>
      <c r="HDF60" s="165"/>
      <c r="HDG60" s="165"/>
      <c r="HDH60" s="165"/>
      <c r="HDI60" s="165"/>
      <c r="HDJ60" s="165"/>
      <c r="HDK60" s="165"/>
      <c r="HDL60" s="165"/>
      <c r="HDM60" s="165"/>
      <c r="HDN60" s="165"/>
      <c r="HDO60" s="165"/>
      <c r="HDP60" s="165"/>
      <c r="HDQ60" s="165"/>
      <c r="HDR60" s="165"/>
      <c r="HDS60" s="165"/>
      <c r="HDT60" s="165"/>
      <c r="HDU60" s="165"/>
      <c r="HDV60" s="165"/>
      <c r="HDW60" s="165"/>
      <c r="HDX60" s="165"/>
      <c r="HDY60" s="165"/>
      <c r="HDZ60" s="165"/>
      <c r="HEA60" s="165"/>
      <c r="HEB60" s="165"/>
      <c r="HEC60" s="165"/>
      <c r="HED60" s="165"/>
      <c r="HEE60" s="165"/>
      <c r="HEF60" s="165"/>
      <c r="HEG60" s="165"/>
      <c r="HEH60" s="165"/>
      <c r="HEI60" s="165"/>
      <c r="HEJ60" s="165"/>
      <c r="HEK60" s="165"/>
      <c r="HEL60" s="165"/>
      <c r="HEM60" s="165"/>
      <c r="HEN60" s="165"/>
      <c r="HEO60" s="165"/>
      <c r="HEP60" s="165"/>
      <c r="HEQ60" s="165"/>
      <c r="HER60" s="165"/>
      <c r="HES60" s="165"/>
      <c r="HET60" s="165"/>
      <c r="HEU60" s="165"/>
      <c r="HEV60" s="165"/>
      <c r="HEW60" s="165"/>
      <c r="HEX60" s="165"/>
      <c r="HEY60" s="165"/>
      <c r="HEZ60" s="165"/>
      <c r="HFA60" s="165"/>
      <c r="HFB60" s="165"/>
      <c r="HFC60" s="165"/>
      <c r="HFD60" s="165"/>
      <c r="HFE60" s="165"/>
      <c r="HFF60" s="165"/>
      <c r="HFG60" s="165"/>
      <c r="HFH60" s="165"/>
      <c r="HFI60" s="165"/>
      <c r="HFJ60" s="165"/>
      <c r="HFK60" s="165"/>
      <c r="HFL60" s="165"/>
      <c r="HFM60" s="165"/>
      <c r="HFN60" s="165"/>
      <c r="HFO60" s="165"/>
      <c r="HFP60" s="165"/>
      <c r="HFQ60" s="165"/>
      <c r="HFR60" s="165"/>
      <c r="HFS60" s="165"/>
      <c r="HFT60" s="165"/>
      <c r="HFU60" s="165"/>
      <c r="HFV60" s="165"/>
      <c r="HFW60" s="165"/>
      <c r="HFX60" s="165"/>
      <c r="HFY60" s="165"/>
      <c r="HFZ60" s="165"/>
      <c r="HGA60" s="165"/>
      <c r="HGB60" s="165"/>
      <c r="HGC60" s="165"/>
      <c r="HGD60" s="165"/>
      <c r="HGE60" s="165"/>
      <c r="HGF60" s="165"/>
      <c r="HGG60" s="165"/>
      <c r="HGH60" s="165"/>
      <c r="HGI60" s="165"/>
      <c r="HGJ60" s="165"/>
      <c r="HGK60" s="165"/>
      <c r="HGL60" s="165"/>
      <c r="HGM60" s="165"/>
      <c r="HGN60" s="165"/>
      <c r="HGO60" s="165"/>
      <c r="HGP60" s="165"/>
      <c r="HGQ60" s="165"/>
      <c r="HGR60" s="165"/>
      <c r="HGS60" s="165"/>
      <c r="HGT60" s="165"/>
      <c r="HGU60" s="165"/>
      <c r="HGV60" s="165"/>
      <c r="HGW60" s="165"/>
      <c r="HGX60" s="165"/>
      <c r="HGY60" s="165"/>
      <c r="HGZ60" s="165"/>
      <c r="HHA60" s="165"/>
      <c r="HHB60" s="165"/>
      <c r="HHC60" s="165"/>
      <c r="HHD60" s="165"/>
      <c r="HHE60" s="165"/>
      <c r="HHF60" s="165"/>
      <c r="HHG60" s="165"/>
      <c r="HHH60" s="165"/>
      <c r="HHI60" s="165"/>
      <c r="HHJ60" s="165"/>
      <c r="HHK60" s="165"/>
      <c r="HHL60" s="165"/>
      <c r="HHM60" s="165"/>
      <c r="HHN60" s="165"/>
      <c r="HHO60" s="165"/>
      <c r="HHP60" s="165"/>
      <c r="HHQ60" s="165"/>
      <c r="HHR60" s="165"/>
      <c r="HHS60" s="165"/>
      <c r="HHT60" s="165"/>
      <c r="HHU60" s="165"/>
      <c r="HHV60" s="165"/>
      <c r="HHW60" s="165"/>
      <c r="HHX60" s="165"/>
      <c r="HHY60" s="165"/>
      <c r="HHZ60" s="165"/>
      <c r="HIA60" s="165"/>
      <c r="HIB60" s="165"/>
      <c r="HIC60" s="165"/>
      <c r="HID60" s="165"/>
      <c r="HIE60" s="165"/>
      <c r="HIF60" s="165"/>
      <c r="HIG60" s="165"/>
      <c r="HIH60" s="165"/>
      <c r="HII60" s="165"/>
      <c r="HIJ60" s="165"/>
      <c r="HIK60" s="165"/>
      <c r="HIL60" s="165"/>
      <c r="HIM60" s="165"/>
      <c r="HIN60" s="165"/>
      <c r="HIO60" s="165"/>
      <c r="HIP60" s="165"/>
      <c r="HIQ60" s="165"/>
      <c r="HIR60" s="165"/>
      <c r="HIS60" s="165"/>
      <c r="HIT60" s="165"/>
      <c r="HIU60" s="165"/>
      <c r="HIV60" s="165"/>
      <c r="HIW60" s="165"/>
      <c r="HIX60" s="165"/>
      <c r="HIY60" s="165"/>
      <c r="HIZ60" s="165"/>
      <c r="HJA60" s="165"/>
      <c r="HJB60" s="165"/>
      <c r="HJC60" s="165"/>
      <c r="HJD60" s="165"/>
      <c r="HJE60" s="165"/>
      <c r="HJF60" s="165"/>
      <c r="HJG60" s="165"/>
      <c r="HJH60" s="165"/>
      <c r="HJI60" s="165"/>
      <c r="HJJ60" s="165"/>
      <c r="HJK60" s="165"/>
      <c r="HJL60" s="165"/>
      <c r="HJM60" s="165"/>
      <c r="HJN60" s="165"/>
      <c r="HJO60" s="165"/>
      <c r="HJP60" s="165"/>
      <c r="HJQ60" s="165"/>
      <c r="HJR60" s="165"/>
      <c r="HJS60" s="165"/>
      <c r="HJT60" s="165"/>
      <c r="HJU60" s="165"/>
      <c r="HJV60" s="165"/>
      <c r="HJW60" s="165"/>
      <c r="HJX60" s="165"/>
      <c r="HJY60" s="165"/>
      <c r="HJZ60" s="165"/>
      <c r="HKA60" s="165"/>
      <c r="HKB60" s="165"/>
      <c r="HKC60" s="165"/>
      <c r="HKD60" s="165"/>
      <c r="HKE60" s="165"/>
      <c r="HKF60" s="165"/>
      <c r="HKG60" s="165"/>
      <c r="HKH60" s="165"/>
      <c r="HKI60" s="165"/>
      <c r="HKJ60" s="165"/>
      <c r="HKK60" s="165"/>
      <c r="HKL60" s="165"/>
      <c r="HKM60" s="165"/>
      <c r="HKN60" s="165"/>
      <c r="HKO60" s="165"/>
      <c r="HKP60" s="165"/>
      <c r="HKQ60" s="165"/>
      <c r="HKR60" s="165"/>
      <c r="HKS60" s="165"/>
      <c r="HKT60" s="165"/>
      <c r="HKU60" s="165"/>
      <c r="HKV60" s="165"/>
      <c r="HKW60" s="165"/>
      <c r="HKX60" s="165"/>
      <c r="HKY60" s="165"/>
      <c r="HKZ60" s="165"/>
      <c r="HLA60" s="165"/>
      <c r="HLB60" s="165"/>
      <c r="HLC60" s="165"/>
      <c r="HLD60" s="165"/>
      <c r="HLE60" s="165"/>
      <c r="HLF60" s="165"/>
      <c r="HLG60" s="165"/>
      <c r="HLH60" s="165"/>
      <c r="HLI60" s="165"/>
      <c r="HLJ60" s="165"/>
      <c r="HLK60" s="165"/>
      <c r="HLL60" s="165"/>
      <c r="HLM60" s="165"/>
      <c r="HLN60" s="165"/>
      <c r="HLO60" s="165"/>
      <c r="HLP60" s="165"/>
      <c r="HLQ60" s="165"/>
      <c r="HLR60" s="165"/>
      <c r="HLS60" s="165"/>
      <c r="HLT60" s="165"/>
      <c r="HLU60" s="165"/>
      <c r="HLV60" s="165"/>
      <c r="HLW60" s="165"/>
      <c r="HLX60" s="165"/>
      <c r="HLY60" s="165"/>
      <c r="HLZ60" s="165"/>
      <c r="HMA60" s="165"/>
      <c r="HMB60" s="165"/>
      <c r="HMC60" s="165"/>
      <c r="HMD60" s="165"/>
      <c r="HME60" s="165"/>
      <c r="HMF60" s="165"/>
      <c r="HMG60" s="165"/>
      <c r="HMH60" s="165"/>
      <c r="HMI60" s="165"/>
      <c r="HMJ60" s="165"/>
      <c r="HMK60" s="165"/>
      <c r="HML60" s="165"/>
      <c r="HMM60" s="165"/>
      <c r="HMN60" s="165"/>
      <c r="HMO60" s="165"/>
      <c r="HMP60" s="165"/>
      <c r="HMQ60" s="165"/>
      <c r="HMR60" s="165"/>
      <c r="HMS60" s="165"/>
      <c r="HMT60" s="165"/>
      <c r="HMU60" s="165"/>
      <c r="HMV60" s="165"/>
      <c r="HMW60" s="165"/>
      <c r="HMX60" s="165"/>
      <c r="HMY60" s="165"/>
      <c r="HMZ60" s="165"/>
      <c r="HNA60" s="165"/>
      <c r="HNB60" s="165"/>
      <c r="HNC60" s="165"/>
      <c r="HND60" s="165"/>
      <c r="HNE60" s="165"/>
      <c r="HNF60" s="165"/>
      <c r="HNG60" s="165"/>
      <c r="HNH60" s="165"/>
      <c r="HNI60" s="165"/>
      <c r="HNJ60" s="165"/>
      <c r="HNK60" s="165"/>
      <c r="HNL60" s="165"/>
      <c r="HNM60" s="165"/>
      <c r="HNN60" s="165"/>
      <c r="HNO60" s="165"/>
      <c r="HNP60" s="165"/>
      <c r="HNQ60" s="165"/>
      <c r="HNR60" s="165"/>
      <c r="HNS60" s="165"/>
      <c r="HNT60" s="165"/>
      <c r="HNU60" s="165"/>
      <c r="HNV60" s="165"/>
      <c r="HNW60" s="165"/>
      <c r="HNX60" s="165"/>
      <c r="HNY60" s="165"/>
      <c r="HNZ60" s="165"/>
      <c r="HOA60" s="165"/>
      <c r="HOB60" s="165"/>
      <c r="HOC60" s="165"/>
      <c r="HOD60" s="165"/>
      <c r="HOE60" s="165"/>
      <c r="HOF60" s="165"/>
      <c r="HOG60" s="165"/>
      <c r="HOH60" s="165"/>
      <c r="HOI60" s="165"/>
      <c r="HOJ60" s="165"/>
      <c r="HOK60" s="165"/>
      <c r="HOL60" s="165"/>
      <c r="HOM60" s="165"/>
      <c r="HON60" s="165"/>
      <c r="HOO60" s="165"/>
      <c r="HOP60" s="165"/>
      <c r="HOQ60" s="165"/>
      <c r="HOR60" s="165"/>
      <c r="HOS60" s="165"/>
      <c r="HOT60" s="165"/>
      <c r="HOU60" s="165"/>
      <c r="HOV60" s="165"/>
      <c r="HOW60" s="165"/>
      <c r="HOX60" s="165"/>
      <c r="HOY60" s="165"/>
      <c r="HOZ60" s="165"/>
      <c r="HPA60" s="165"/>
      <c r="HPB60" s="165"/>
      <c r="HPC60" s="165"/>
      <c r="HPD60" s="165"/>
      <c r="HPE60" s="165"/>
      <c r="HPF60" s="165"/>
      <c r="HPG60" s="165"/>
      <c r="HPH60" s="165"/>
      <c r="HPI60" s="165"/>
      <c r="HPJ60" s="165"/>
      <c r="HPK60" s="165"/>
      <c r="HPL60" s="165"/>
      <c r="HPM60" s="165"/>
      <c r="HPN60" s="165"/>
      <c r="HPO60" s="165"/>
      <c r="HPP60" s="165"/>
      <c r="HPQ60" s="165"/>
      <c r="HPR60" s="165"/>
      <c r="HPS60" s="165"/>
      <c r="HPT60" s="165"/>
      <c r="HPU60" s="165"/>
      <c r="HPV60" s="165"/>
      <c r="HPW60" s="165"/>
      <c r="HPX60" s="165"/>
      <c r="HPY60" s="165"/>
      <c r="HPZ60" s="165"/>
      <c r="HQA60" s="165"/>
      <c r="HQB60" s="165"/>
      <c r="HQC60" s="165"/>
      <c r="HQD60" s="165"/>
      <c r="HQE60" s="165"/>
      <c r="HQF60" s="165"/>
      <c r="HQG60" s="165"/>
      <c r="HQH60" s="165"/>
      <c r="HQI60" s="165"/>
      <c r="HQJ60" s="165"/>
      <c r="HQK60" s="165"/>
      <c r="HQL60" s="165"/>
      <c r="HQM60" s="165"/>
      <c r="HQN60" s="165"/>
      <c r="HQO60" s="165"/>
      <c r="HQP60" s="165"/>
      <c r="HQQ60" s="165"/>
      <c r="HQR60" s="165"/>
      <c r="HQS60" s="165"/>
      <c r="HQT60" s="165"/>
      <c r="HQU60" s="165"/>
      <c r="HQV60" s="165"/>
      <c r="HQW60" s="165"/>
      <c r="HQX60" s="165"/>
      <c r="HQY60" s="165"/>
      <c r="HQZ60" s="165"/>
      <c r="HRA60" s="165"/>
      <c r="HRB60" s="165"/>
      <c r="HRC60" s="165"/>
      <c r="HRD60" s="165"/>
      <c r="HRE60" s="165"/>
      <c r="HRF60" s="165"/>
      <c r="HRG60" s="165"/>
      <c r="HRH60" s="165"/>
      <c r="HRI60" s="165"/>
      <c r="HRJ60" s="165"/>
      <c r="HRK60" s="165"/>
      <c r="HRL60" s="165"/>
      <c r="HRM60" s="165"/>
      <c r="HRN60" s="165"/>
      <c r="HRO60" s="165"/>
      <c r="HRP60" s="165"/>
      <c r="HRQ60" s="165"/>
      <c r="HRR60" s="165"/>
      <c r="HRS60" s="165"/>
      <c r="HRT60" s="165"/>
      <c r="HRU60" s="165"/>
      <c r="HRV60" s="165"/>
      <c r="HRW60" s="165"/>
      <c r="HRX60" s="165"/>
      <c r="HRY60" s="165"/>
      <c r="HRZ60" s="165"/>
      <c r="HSA60" s="165"/>
      <c r="HSB60" s="165"/>
      <c r="HSC60" s="165"/>
      <c r="HSD60" s="165"/>
      <c r="HSE60" s="165"/>
      <c r="HSF60" s="165"/>
      <c r="HSG60" s="165"/>
      <c r="HSH60" s="165"/>
      <c r="HSI60" s="165"/>
      <c r="HSJ60" s="165"/>
      <c r="HSK60" s="165"/>
      <c r="HSL60" s="165"/>
      <c r="HSM60" s="165"/>
      <c r="HSN60" s="165"/>
      <c r="HSO60" s="165"/>
      <c r="HSP60" s="165"/>
      <c r="HSQ60" s="165"/>
      <c r="HSR60" s="165"/>
      <c r="HSS60" s="165"/>
      <c r="HST60" s="165"/>
      <c r="HSU60" s="165"/>
      <c r="HSV60" s="165"/>
      <c r="HSW60" s="165"/>
      <c r="HSX60" s="165"/>
      <c r="HSY60" s="165"/>
      <c r="HSZ60" s="165"/>
      <c r="HTA60" s="165"/>
      <c r="HTB60" s="165"/>
      <c r="HTC60" s="165"/>
      <c r="HTD60" s="165"/>
      <c r="HTE60" s="165"/>
      <c r="HTF60" s="165"/>
      <c r="HTG60" s="165"/>
      <c r="HTH60" s="165"/>
      <c r="HTI60" s="165"/>
      <c r="HTJ60" s="165"/>
      <c r="HTK60" s="165"/>
      <c r="HTL60" s="165"/>
      <c r="HTM60" s="165"/>
      <c r="HTN60" s="165"/>
      <c r="HTO60" s="165"/>
      <c r="HTP60" s="165"/>
      <c r="HTQ60" s="165"/>
      <c r="HTR60" s="165"/>
      <c r="HTS60" s="165"/>
      <c r="HTT60" s="165"/>
      <c r="HTU60" s="165"/>
      <c r="HTV60" s="165"/>
      <c r="HTW60" s="165"/>
      <c r="HTX60" s="165"/>
      <c r="HTY60" s="165"/>
      <c r="HTZ60" s="165"/>
      <c r="HUA60" s="165"/>
      <c r="HUB60" s="165"/>
      <c r="HUC60" s="165"/>
      <c r="HUD60" s="165"/>
      <c r="HUE60" s="165"/>
      <c r="HUF60" s="165"/>
      <c r="HUG60" s="165"/>
      <c r="HUH60" s="165"/>
      <c r="HUI60" s="165"/>
      <c r="HUJ60" s="165"/>
      <c r="HUK60" s="165"/>
      <c r="HUL60" s="165"/>
      <c r="HUM60" s="165"/>
      <c r="HUN60" s="165"/>
      <c r="HUO60" s="165"/>
      <c r="HUP60" s="165"/>
      <c r="HUQ60" s="165"/>
      <c r="HUR60" s="165"/>
      <c r="HUS60" s="165"/>
      <c r="HUT60" s="165"/>
      <c r="HUU60" s="165"/>
      <c r="HUV60" s="165"/>
      <c r="HUW60" s="165"/>
      <c r="HUX60" s="165"/>
      <c r="HUY60" s="165"/>
      <c r="HUZ60" s="165"/>
      <c r="HVA60" s="165"/>
      <c r="HVB60" s="165"/>
      <c r="HVC60" s="165"/>
      <c r="HVD60" s="165"/>
      <c r="HVE60" s="165"/>
      <c r="HVF60" s="165"/>
      <c r="HVG60" s="165"/>
      <c r="HVH60" s="165"/>
      <c r="HVI60" s="165"/>
      <c r="HVJ60" s="165"/>
      <c r="HVK60" s="165"/>
      <c r="HVL60" s="165"/>
      <c r="HVM60" s="165"/>
      <c r="HVN60" s="165"/>
      <c r="HVO60" s="165"/>
      <c r="HVP60" s="165"/>
      <c r="HVQ60" s="165"/>
      <c r="HVR60" s="165"/>
      <c r="HVS60" s="165"/>
      <c r="HVT60" s="165"/>
      <c r="HVU60" s="165"/>
      <c r="HVV60" s="165"/>
      <c r="HVW60" s="165"/>
      <c r="HVX60" s="165"/>
      <c r="HVY60" s="165"/>
      <c r="HVZ60" s="165"/>
      <c r="HWA60" s="165"/>
      <c r="HWB60" s="165"/>
      <c r="HWC60" s="165"/>
      <c r="HWD60" s="165"/>
      <c r="HWE60" s="165"/>
      <c r="HWF60" s="165"/>
      <c r="HWG60" s="165"/>
      <c r="HWH60" s="165"/>
      <c r="HWI60" s="165"/>
      <c r="HWJ60" s="165"/>
      <c r="HWK60" s="165"/>
      <c r="HWL60" s="165"/>
      <c r="HWM60" s="165"/>
      <c r="HWN60" s="165"/>
      <c r="HWO60" s="165"/>
      <c r="HWP60" s="165"/>
      <c r="HWQ60" s="165"/>
      <c r="HWR60" s="165"/>
      <c r="HWS60" s="165"/>
      <c r="HWT60" s="165"/>
      <c r="HWU60" s="165"/>
      <c r="HWV60" s="165"/>
      <c r="HWW60" s="165"/>
      <c r="HWX60" s="165"/>
      <c r="HWY60" s="165"/>
      <c r="HWZ60" s="165"/>
      <c r="HXA60" s="165"/>
      <c r="HXB60" s="165"/>
      <c r="HXC60" s="165"/>
      <c r="HXD60" s="165"/>
      <c r="HXE60" s="165"/>
      <c r="HXF60" s="165"/>
      <c r="HXG60" s="165"/>
      <c r="HXH60" s="165"/>
      <c r="HXI60" s="165"/>
      <c r="HXJ60" s="165"/>
      <c r="HXK60" s="165"/>
      <c r="HXL60" s="165"/>
      <c r="HXM60" s="165"/>
      <c r="HXN60" s="165"/>
      <c r="HXO60" s="165"/>
      <c r="HXP60" s="165"/>
      <c r="HXQ60" s="165"/>
      <c r="HXR60" s="165"/>
      <c r="HXS60" s="165"/>
      <c r="HXT60" s="165"/>
      <c r="HXU60" s="165"/>
      <c r="HXV60" s="165"/>
      <c r="HXW60" s="165"/>
      <c r="HXX60" s="165"/>
      <c r="HXY60" s="165"/>
      <c r="HXZ60" s="165"/>
      <c r="HYA60" s="165"/>
      <c r="HYB60" s="165"/>
      <c r="HYC60" s="165"/>
      <c r="HYD60" s="165"/>
      <c r="HYE60" s="165"/>
      <c r="HYF60" s="165"/>
      <c r="HYG60" s="165"/>
      <c r="HYH60" s="165"/>
      <c r="HYI60" s="165"/>
      <c r="HYJ60" s="165"/>
      <c r="HYK60" s="165"/>
      <c r="HYL60" s="165"/>
      <c r="HYM60" s="165"/>
      <c r="HYN60" s="165"/>
      <c r="HYO60" s="165"/>
      <c r="HYP60" s="165"/>
      <c r="HYQ60" s="165"/>
      <c r="HYR60" s="165"/>
      <c r="HYS60" s="165"/>
      <c r="HYT60" s="165"/>
      <c r="HYU60" s="165"/>
      <c r="HYV60" s="165"/>
      <c r="HYW60" s="165"/>
      <c r="HYX60" s="165"/>
      <c r="HYY60" s="165"/>
      <c r="HYZ60" s="165"/>
      <c r="HZA60" s="165"/>
      <c r="HZB60" s="165"/>
      <c r="HZC60" s="165"/>
      <c r="HZD60" s="165"/>
      <c r="HZE60" s="165"/>
      <c r="HZF60" s="165"/>
      <c r="HZG60" s="165"/>
      <c r="HZH60" s="165"/>
      <c r="HZI60" s="165"/>
      <c r="HZJ60" s="165"/>
      <c r="HZK60" s="165"/>
      <c r="HZL60" s="165"/>
      <c r="HZM60" s="165"/>
      <c r="HZN60" s="165"/>
      <c r="HZO60" s="165"/>
      <c r="HZP60" s="165"/>
      <c r="HZQ60" s="165"/>
      <c r="HZR60" s="165"/>
      <c r="HZS60" s="165"/>
      <c r="HZT60" s="165"/>
      <c r="HZU60" s="165"/>
      <c r="HZV60" s="165"/>
      <c r="HZW60" s="165"/>
      <c r="HZX60" s="165"/>
      <c r="HZY60" s="165"/>
      <c r="HZZ60" s="165"/>
      <c r="IAA60" s="165"/>
      <c r="IAB60" s="165"/>
      <c r="IAC60" s="165"/>
      <c r="IAD60" s="165"/>
      <c r="IAE60" s="165"/>
      <c r="IAF60" s="165"/>
      <c r="IAG60" s="165"/>
      <c r="IAH60" s="165"/>
      <c r="IAI60" s="165"/>
      <c r="IAJ60" s="165"/>
      <c r="IAK60" s="165"/>
      <c r="IAL60" s="165"/>
      <c r="IAM60" s="165"/>
      <c r="IAN60" s="165"/>
      <c r="IAO60" s="165"/>
      <c r="IAP60" s="165"/>
      <c r="IAQ60" s="165"/>
      <c r="IAR60" s="165"/>
      <c r="IAS60" s="165"/>
      <c r="IAT60" s="165"/>
      <c r="IAU60" s="165"/>
      <c r="IAV60" s="165"/>
      <c r="IAW60" s="165"/>
      <c r="IAX60" s="165"/>
      <c r="IAY60" s="165"/>
      <c r="IAZ60" s="165"/>
      <c r="IBA60" s="165"/>
      <c r="IBB60" s="165"/>
      <c r="IBC60" s="165"/>
      <c r="IBD60" s="165"/>
      <c r="IBE60" s="165"/>
      <c r="IBF60" s="165"/>
      <c r="IBG60" s="165"/>
      <c r="IBH60" s="165"/>
      <c r="IBI60" s="165"/>
      <c r="IBJ60" s="165"/>
      <c r="IBK60" s="165"/>
      <c r="IBL60" s="165"/>
      <c r="IBM60" s="165"/>
      <c r="IBN60" s="165"/>
      <c r="IBO60" s="165"/>
      <c r="IBP60" s="165"/>
      <c r="IBQ60" s="165"/>
      <c r="IBR60" s="165"/>
      <c r="IBS60" s="165"/>
      <c r="IBT60" s="165"/>
      <c r="IBU60" s="165"/>
      <c r="IBV60" s="165"/>
      <c r="IBW60" s="165"/>
      <c r="IBX60" s="165"/>
      <c r="IBY60" s="165"/>
      <c r="IBZ60" s="165"/>
      <c r="ICA60" s="165"/>
      <c r="ICB60" s="165"/>
      <c r="ICC60" s="165"/>
      <c r="ICD60" s="165"/>
      <c r="ICE60" s="165"/>
      <c r="ICF60" s="165"/>
      <c r="ICG60" s="165"/>
      <c r="ICH60" s="165"/>
      <c r="ICI60" s="165"/>
      <c r="ICJ60" s="165"/>
      <c r="ICK60" s="165"/>
      <c r="ICL60" s="165"/>
      <c r="ICM60" s="165"/>
      <c r="ICN60" s="165"/>
      <c r="ICO60" s="165"/>
      <c r="ICP60" s="165"/>
      <c r="ICQ60" s="165"/>
      <c r="ICR60" s="165"/>
      <c r="ICS60" s="165"/>
      <c r="ICT60" s="165"/>
      <c r="ICU60" s="165"/>
      <c r="ICV60" s="165"/>
      <c r="ICW60" s="165"/>
      <c r="ICX60" s="165"/>
      <c r="ICY60" s="165"/>
      <c r="ICZ60" s="165"/>
      <c r="IDA60" s="165"/>
      <c r="IDB60" s="165"/>
      <c r="IDC60" s="165"/>
      <c r="IDD60" s="165"/>
      <c r="IDE60" s="165"/>
      <c r="IDF60" s="165"/>
      <c r="IDG60" s="165"/>
      <c r="IDH60" s="165"/>
      <c r="IDI60" s="165"/>
      <c r="IDJ60" s="165"/>
      <c r="IDK60" s="165"/>
      <c r="IDL60" s="165"/>
      <c r="IDM60" s="165"/>
      <c r="IDN60" s="165"/>
      <c r="IDO60" s="165"/>
      <c r="IDP60" s="165"/>
      <c r="IDQ60" s="165"/>
      <c r="IDR60" s="165"/>
      <c r="IDS60" s="165"/>
      <c r="IDT60" s="165"/>
      <c r="IDU60" s="165"/>
      <c r="IDV60" s="165"/>
      <c r="IDW60" s="165"/>
      <c r="IDX60" s="165"/>
      <c r="IDY60" s="165"/>
      <c r="IDZ60" s="165"/>
      <c r="IEA60" s="165"/>
      <c r="IEB60" s="165"/>
      <c r="IEC60" s="165"/>
      <c r="IED60" s="165"/>
      <c r="IEE60" s="165"/>
      <c r="IEF60" s="165"/>
      <c r="IEG60" s="165"/>
      <c r="IEH60" s="165"/>
      <c r="IEI60" s="165"/>
      <c r="IEJ60" s="165"/>
      <c r="IEK60" s="165"/>
      <c r="IEL60" s="165"/>
      <c r="IEM60" s="165"/>
      <c r="IEN60" s="165"/>
      <c r="IEO60" s="165"/>
      <c r="IEP60" s="165"/>
      <c r="IEQ60" s="165"/>
      <c r="IER60" s="165"/>
      <c r="IES60" s="165"/>
      <c r="IET60" s="165"/>
      <c r="IEU60" s="165"/>
      <c r="IEV60" s="165"/>
      <c r="IEW60" s="165"/>
      <c r="IEX60" s="165"/>
      <c r="IEY60" s="165"/>
      <c r="IEZ60" s="165"/>
      <c r="IFA60" s="165"/>
      <c r="IFB60" s="165"/>
      <c r="IFC60" s="165"/>
      <c r="IFD60" s="165"/>
      <c r="IFE60" s="165"/>
      <c r="IFF60" s="165"/>
      <c r="IFG60" s="165"/>
      <c r="IFH60" s="165"/>
      <c r="IFI60" s="165"/>
      <c r="IFJ60" s="165"/>
      <c r="IFK60" s="165"/>
      <c r="IFL60" s="165"/>
      <c r="IFM60" s="165"/>
      <c r="IFN60" s="165"/>
      <c r="IFO60" s="165"/>
      <c r="IFP60" s="165"/>
      <c r="IFQ60" s="165"/>
      <c r="IFR60" s="165"/>
      <c r="IFS60" s="165"/>
      <c r="IFT60" s="165"/>
      <c r="IFU60" s="165"/>
      <c r="IFV60" s="165"/>
      <c r="IFW60" s="165"/>
      <c r="IFX60" s="165"/>
      <c r="IFY60" s="165"/>
      <c r="IFZ60" s="165"/>
      <c r="IGA60" s="165"/>
      <c r="IGB60" s="165"/>
      <c r="IGC60" s="165"/>
      <c r="IGD60" s="165"/>
      <c r="IGE60" s="165"/>
      <c r="IGF60" s="165"/>
      <c r="IGG60" s="165"/>
      <c r="IGH60" s="165"/>
      <c r="IGI60" s="165"/>
      <c r="IGJ60" s="165"/>
      <c r="IGK60" s="165"/>
      <c r="IGL60" s="165"/>
      <c r="IGM60" s="165"/>
      <c r="IGN60" s="165"/>
      <c r="IGO60" s="165"/>
      <c r="IGP60" s="165"/>
      <c r="IGQ60" s="165"/>
      <c r="IGR60" s="165"/>
      <c r="IGS60" s="165"/>
      <c r="IGT60" s="165"/>
      <c r="IGU60" s="165"/>
      <c r="IGV60" s="165"/>
      <c r="IGW60" s="165"/>
      <c r="IGX60" s="165"/>
      <c r="IGY60" s="165"/>
      <c r="IGZ60" s="165"/>
      <c r="IHA60" s="165"/>
      <c r="IHB60" s="165"/>
      <c r="IHC60" s="165"/>
      <c r="IHD60" s="165"/>
      <c r="IHE60" s="165"/>
      <c r="IHF60" s="165"/>
      <c r="IHG60" s="165"/>
      <c r="IHH60" s="165"/>
      <c r="IHI60" s="165"/>
      <c r="IHJ60" s="165"/>
      <c r="IHK60" s="165"/>
      <c r="IHL60" s="165"/>
      <c r="IHM60" s="165"/>
      <c r="IHN60" s="165"/>
      <c r="IHO60" s="165"/>
      <c r="IHP60" s="165"/>
      <c r="IHQ60" s="165"/>
      <c r="IHR60" s="165"/>
      <c r="IHS60" s="165"/>
      <c r="IHT60" s="165"/>
      <c r="IHU60" s="165"/>
      <c r="IHV60" s="165"/>
      <c r="IHW60" s="165"/>
      <c r="IHX60" s="165"/>
      <c r="IHY60" s="165"/>
      <c r="IHZ60" s="165"/>
      <c r="IIA60" s="165"/>
      <c r="IIB60" s="165"/>
      <c r="IIC60" s="165"/>
      <c r="IID60" s="165"/>
      <c r="IIE60" s="165"/>
      <c r="IIF60" s="165"/>
      <c r="IIG60" s="165"/>
      <c r="IIH60" s="165"/>
      <c r="III60" s="165"/>
      <c r="IIJ60" s="165"/>
      <c r="IIK60" s="165"/>
      <c r="IIL60" s="165"/>
      <c r="IIM60" s="165"/>
      <c r="IIN60" s="165"/>
      <c r="IIO60" s="165"/>
      <c r="IIP60" s="165"/>
      <c r="IIQ60" s="165"/>
      <c r="IIR60" s="165"/>
      <c r="IIS60" s="165"/>
      <c r="IIT60" s="165"/>
      <c r="IIU60" s="165"/>
      <c r="IIV60" s="165"/>
      <c r="IIW60" s="165"/>
      <c r="IIX60" s="165"/>
      <c r="IIY60" s="165"/>
      <c r="IIZ60" s="165"/>
      <c r="IJA60" s="165"/>
      <c r="IJB60" s="165"/>
      <c r="IJC60" s="165"/>
      <c r="IJD60" s="165"/>
      <c r="IJE60" s="165"/>
      <c r="IJF60" s="165"/>
      <c r="IJG60" s="165"/>
      <c r="IJH60" s="165"/>
      <c r="IJI60" s="165"/>
      <c r="IJJ60" s="165"/>
      <c r="IJK60" s="165"/>
      <c r="IJL60" s="165"/>
      <c r="IJM60" s="165"/>
      <c r="IJN60" s="165"/>
      <c r="IJO60" s="165"/>
      <c r="IJP60" s="165"/>
      <c r="IJQ60" s="165"/>
      <c r="IJR60" s="165"/>
      <c r="IJS60" s="165"/>
      <c r="IJT60" s="165"/>
      <c r="IJU60" s="165"/>
      <c r="IJV60" s="165"/>
      <c r="IJW60" s="165"/>
      <c r="IJX60" s="165"/>
      <c r="IJY60" s="165"/>
      <c r="IJZ60" s="165"/>
      <c r="IKA60" s="165"/>
      <c r="IKB60" s="165"/>
      <c r="IKC60" s="165"/>
      <c r="IKD60" s="165"/>
      <c r="IKE60" s="165"/>
      <c r="IKF60" s="165"/>
      <c r="IKG60" s="165"/>
      <c r="IKH60" s="165"/>
      <c r="IKI60" s="165"/>
      <c r="IKJ60" s="165"/>
      <c r="IKK60" s="165"/>
      <c r="IKL60" s="165"/>
      <c r="IKM60" s="165"/>
      <c r="IKN60" s="165"/>
      <c r="IKO60" s="165"/>
      <c r="IKP60" s="165"/>
      <c r="IKQ60" s="165"/>
      <c r="IKR60" s="165"/>
      <c r="IKS60" s="165"/>
      <c r="IKT60" s="165"/>
      <c r="IKU60" s="165"/>
      <c r="IKV60" s="165"/>
      <c r="IKW60" s="165"/>
      <c r="IKX60" s="165"/>
      <c r="IKY60" s="165"/>
      <c r="IKZ60" s="165"/>
      <c r="ILA60" s="165"/>
      <c r="ILB60" s="165"/>
      <c r="ILC60" s="165"/>
      <c r="ILD60" s="165"/>
      <c r="ILE60" s="165"/>
      <c r="ILF60" s="165"/>
      <c r="ILG60" s="165"/>
      <c r="ILH60" s="165"/>
      <c r="ILI60" s="165"/>
      <c r="ILJ60" s="165"/>
      <c r="ILK60" s="165"/>
      <c r="ILL60" s="165"/>
      <c r="ILM60" s="165"/>
      <c r="ILN60" s="165"/>
      <c r="ILO60" s="165"/>
      <c r="ILP60" s="165"/>
      <c r="ILQ60" s="165"/>
      <c r="ILR60" s="165"/>
      <c r="ILS60" s="165"/>
      <c r="ILT60" s="165"/>
      <c r="ILU60" s="165"/>
      <c r="ILV60" s="165"/>
      <c r="ILW60" s="165"/>
      <c r="ILX60" s="165"/>
      <c r="ILY60" s="165"/>
      <c r="ILZ60" s="165"/>
      <c r="IMA60" s="165"/>
      <c r="IMB60" s="165"/>
      <c r="IMC60" s="165"/>
      <c r="IMD60" s="165"/>
      <c r="IME60" s="165"/>
      <c r="IMF60" s="165"/>
      <c r="IMG60" s="165"/>
      <c r="IMH60" s="165"/>
      <c r="IMI60" s="165"/>
      <c r="IMJ60" s="165"/>
      <c r="IMK60" s="165"/>
      <c r="IML60" s="165"/>
      <c r="IMM60" s="165"/>
      <c r="IMN60" s="165"/>
      <c r="IMO60" s="165"/>
      <c r="IMP60" s="165"/>
      <c r="IMQ60" s="165"/>
      <c r="IMR60" s="165"/>
      <c r="IMS60" s="165"/>
      <c r="IMT60" s="165"/>
      <c r="IMU60" s="165"/>
      <c r="IMV60" s="165"/>
      <c r="IMW60" s="165"/>
      <c r="IMX60" s="165"/>
      <c r="IMY60" s="165"/>
      <c r="IMZ60" s="165"/>
      <c r="INA60" s="165"/>
      <c r="INB60" s="165"/>
      <c r="INC60" s="165"/>
      <c r="IND60" s="165"/>
      <c r="INE60" s="165"/>
      <c r="INF60" s="165"/>
      <c r="ING60" s="165"/>
      <c r="INH60" s="165"/>
      <c r="INI60" s="165"/>
      <c r="INJ60" s="165"/>
      <c r="INK60" s="165"/>
      <c r="INL60" s="165"/>
      <c r="INM60" s="165"/>
      <c r="INN60" s="165"/>
      <c r="INO60" s="165"/>
      <c r="INP60" s="165"/>
      <c r="INQ60" s="165"/>
      <c r="INR60" s="165"/>
      <c r="INS60" s="165"/>
      <c r="INT60" s="165"/>
      <c r="INU60" s="165"/>
      <c r="INV60" s="165"/>
      <c r="INW60" s="165"/>
      <c r="INX60" s="165"/>
      <c r="INY60" s="165"/>
      <c r="INZ60" s="165"/>
      <c r="IOA60" s="165"/>
      <c r="IOB60" s="165"/>
      <c r="IOC60" s="165"/>
      <c r="IOD60" s="165"/>
      <c r="IOE60" s="165"/>
      <c r="IOF60" s="165"/>
      <c r="IOG60" s="165"/>
      <c r="IOH60" s="165"/>
      <c r="IOI60" s="165"/>
      <c r="IOJ60" s="165"/>
      <c r="IOK60" s="165"/>
      <c r="IOL60" s="165"/>
      <c r="IOM60" s="165"/>
      <c r="ION60" s="165"/>
      <c r="IOO60" s="165"/>
      <c r="IOP60" s="165"/>
      <c r="IOQ60" s="165"/>
      <c r="IOR60" s="165"/>
      <c r="IOS60" s="165"/>
      <c r="IOT60" s="165"/>
      <c r="IOU60" s="165"/>
      <c r="IOV60" s="165"/>
      <c r="IOW60" s="165"/>
      <c r="IOX60" s="165"/>
      <c r="IOY60" s="165"/>
      <c r="IOZ60" s="165"/>
      <c r="IPA60" s="165"/>
      <c r="IPB60" s="165"/>
      <c r="IPC60" s="165"/>
      <c r="IPD60" s="165"/>
      <c r="IPE60" s="165"/>
      <c r="IPF60" s="165"/>
      <c r="IPG60" s="165"/>
      <c r="IPH60" s="165"/>
      <c r="IPI60" s="165"/>
      <c r="IPJ60" s="165"/>
      <c r="IPK60" s="165"/>
      <c r="IPL60" s="165"/>
      <c r="IPM60" s="165"/>
      <c r="IPN60" s="165"/>
      <c r="IPO60" s="165"/>
      <c r="IPP60" s="165"/>
      <c r="IPQ60" s="165"/>
      <c r="IPR60" s="165"/>
      <c r="IPS60" s="165"/>
      <c r="IPT60" s="165"/>
      <c r="IPU60" s="165"/>
      <c r="IPV60" s="165"/>
      <c r="IPW60" s="165"/>
      <c r="IPX60" s="165"/>
      <c r="IPY60" s="165"/>
      <c r="IPZ60" s="165"/>
      <c r="IQA60" s="165"/>
      <c r="IQB60" s="165"/>
      <c r="IQC60" s="165"/>
      <c r="IQD60" s="165"/>
      <c r="IQE60" s="165"/>
      <c r="IQF60" s="165"/>
      <c r="IQG60" s="165"/>
      <c r="IQH60" s="165"/>
      <c r="IQI60" s="165"/>
      <c r="IQJ60" s="165"/>
      <c r="IQK60" s="165"/>
      <c r="IQL60" s="165"/>
      <c r="IQM60" s="165"/>
      <c r="IQN60" s="165"/>
      <c r="IQO60" s="165"/>
      <c r="IQP60" s="165"/>
      <c r="IQQ60" s="165"/>
      <c r="IQR60" s="165"/>
      <c r="IQS60" s="165"/>
      <c r="IQT60" s="165"/>
      <c r="IQU60" s="165"/>
      <c r="IQV60" s="165"/>
      <c r="IQW60" s="165"/>
      <c r="IQX60" s="165"/>
      <c r="IQY60" s="165"/>
      <c r="IQZ60" s="165"/>
      <c r="IRA60" s="165"/>
      <c r="IRB60" s="165"/>
      <c r="IRC60" s="165"/>
      <c r="IRD60" s="165"/>
      <c r="IRE60" s="165"/>
      <c r="IRF60" s="165"/>
      <c r="IRG60" s="165"/>
      <c r="IRH60" s="165"/>
      <c r="IRI60" s="165"/>
      <c r="IRJ60" s="165"/>
      <c r="IRK60" s="165"/>
      <c r="IRL60" s="165"/>
      <c r="IRM60" s="165"/>
      <c r="IRN60" s="165"/>
      <c r="IRO60" s="165"/>
      <c r="IRP60" s="165"/>
      <c r="IRQ60" s="165"/>
      <c r="IRR60" s="165"/>
      <c r="IRS60" s="165"/>
      <c r="IRT60" s="165"/>
      <c r="IRU60" s="165"/>
      <c r="IRV60" s="165"/>
      <c r="IRW60" s="165"/>
      <c r="IRX60" s="165"/>
      <c r="IRY60" s="165"/>
      <c r="IRZ60" s="165"/>
      <c r="ISA60" s="165"/>
      <c r="ISB60" s="165"/>
      <c r="ISC60" s="165"/>
      <c r="ISD60" s="165"/>
      <c r="ISE60" s="165"/>
      <c r="ISF60" s="165"/>
      <c r="ISG60" s="165"/>
      <c r="ISH60" s="165"/>
      <c r="ISI60" s="165"/>
      <c r="ISJ60" s="165"/>
      <c r="ISK60" s="165"/>
      <c r="ISL60" s="165"/>
      <c r="ISM60" s="165"/>
      <c r="ISN60" s="165"/>
      <c r="ISO60" s="165"/>
      <c r="ISP60" s="165"/>
      <c r="ISQ60" s="165"/>
      <c r="ISR60" s="165"/>
      <c r="ISS60" s="165"/>
      <c r="IST60" s="165"/>
      <c r="ISU60" s="165"/>
      <c r="ISV60" s="165"/>
      <c r="ISW60" s="165"/>
      <c r="ISX60" s="165"/>
      <c r="ISY60" s="165"/>
      <c r="ISZ60" s="165"/>
      <c r="ITA60" s="165"/>
      <c r="ITB60" s="165"/>
      <c r="ITC60" s="165"/>
      <c r="ITD60" s="165"/>
      <c r="ITE60" s="165"/>
      <c r="ITF60" s="165"/>
      <c r="ITG60" s="165"/>
      <c r="ITH60" s="165"/>
      <c r="ITI60" s="165"/>
      <c r="ITJ60" s="165"/>
      <c r="ITK60" s="165"/>
      <c r="ITL60" s="165"/>
      <c r="ITM60" s="165"/>
      <c r="ITN60" s="165"/>
      <c r="ITO60" s="165"/>
      <c r="ITP60" s="165"/>
      <c r="ITQ60" s="165"/>
      <c r="ITR60" s="165"/>
      <c r="ITS60" s="165"/>
      <c r="ITT60" s="165"/>
      <c r="ITU60" s="165"/>
      <c r="ITV60" s="165"/>
      <c r="ITW60" s="165"/>
      <c r="ITX60" s="165"/>
      <c r="ITY60" s="165"/>
      <c r="ITZ60" s="165"/>
      <c r="IUA60" s="165"/>
      <c r="IUB60" s="165"/>
      <c r="IUC60" s="165"/>
      <c r="IUD60" s="165"/>
      <c r="IUE60" s="165"/>
      <c r="IUF60" s="165"/>
      <c r="IUG60" s="165"/>
      <c r="IUH60" s="165"/>
      <c r="IUI60" s="165"/>
      <c r="IUJ60" s="165"/>
      <c r="IUK60" s="165"/>
      <c r="IUL60" s="165"/>
      <c r="IUM60" s="165"/>
      <c r="IUN60" s="165"/>
      <c r="IUO60" s="165"/>
      <c r="IUP60" s="165"/>
      <c r="IUQ60" s="165"/>
      <c r="IUR60" s="165"/>
      <c r="IUS60" s="165"/>
      <c r="IUT60" s="165"/>
      <c r="IUU60" s="165"/>
      <c r="IUV60" s="165"/>
      <c r="IUW60" s="165"/>
      <c r="IUX60" s="165"/>
      <c r="IUY60" s="165"/>
      <c r="IUZ60" s="165"/>
      <c r="IVA60" s="165"/>
      <c r="IVB60" s="165"/>
      <c r="IVC60" s="165"/>
      <c r="IVD60" s="165"/>
      <c r="IVE60" s="165"/>
      <c r="IVF60" s="165"/>
      <c r="IVG60" s="165"/>
      <c r="IVH60" s="165"/>
      <c r="IVI60" s="165"/>
      <c r="IVJ60" s="165"/>
      <c r="IVK60" s="165"/>
      <c r="IVL60" s="165"/>
      <c r="IVM60" s="165"/>
      <c r="IVN60" s="165"/>
      <c r="IVO60" s="165"/>
      <c r="IVP60" s="165"/>
      <c r="IVQ60" s="165"/>
      <c r="IVR60" s="165"/>
      <c r="IVS60" s="165"/>
      <c r="IVT60" s="165"/>
      <c r="IVU60" s="165"/>
      <c r="IVV60" s="165"/>
      <c r="IVW60" s="165"/>
      <c r="IVX60" s="165"/>
      <c r="IVY60" s="165"/>
      <c r="IVZ60" s="165"/>
      <c r="IWA60" s="165"/>
      <c r="IWB60" s="165"/>
      <c r="IWC60" s="165"/>
      <c r="IWD60" s="165"/>
      <c r="IWE60" s="165"/>
      <c r="IWF60" s="165"/>
      <c r="IWG60" s="165"/>
      <c r="IWH60" s="165"/>
      <c r="IWI60" s="165"/>
      <c r="IWJ60" s="165"/>
      <c r="IWK60" s="165"/>
      <c r="IWL60" s="165"/>
      <c r="IWM60" s="165"/>
      <c r="IWN60" s="165"/>
      <c r="IWO60" s="165"/>
      <c r="IWP60" s="165"/>
      <c r="IWQ60" s="165"/>
      <c r="IWR60" s="165"/>
      <c r="IWS60" s="165"/>
      <c r="IWT60" s="165"/>
      <c r="IWU60" s="165"/>
      <c r="IWV60" s="165"/>
      <c r="IWW60" s="165"/>
      <c r="IWX60" s="165"/>
      <c r="IWY60" s="165"/>
      <c r="IWZ60" s="165"/>
      <c r="IXA60" s="165"/>
      <c r="IXB60" s="165"/>
      <c r="IXC60" s="165"/>
      <c r="IXD60" s="165"/>
      <c r="IXE60" s="165"/>
      <c r="IXF60" s="165"/>
      <c r="IXG60" s="165"/>
      <c r="IXH60" s="165"/>
      <c r="IXI60" s="165"/>
      <c r="IXJ60" s="165"/>
      <c r="IXK60" s="165"/>
      <c r="IXL60" s="165"/>
      <c r="IXM60" s="165"/>
      <c r="IXN60" s="165"/>
      <c r="IXO60" s="165"/>
      <c r="IXP60" s="165"/>
      <c r="IXQ60" s="165"/>
      <c r="IXR60" s="165"/>
      <c r="IXS60" s="165"/>
      <c r="IXT60" s="165"/>
      <c r="IXU60" s="165"/>
      <c r="IXV60" s="165"/>
      <c r="IXW60" s="165"/>
      <c r="IXX60" s="165"/>
      <c r="IXY60" s="165"/>
      <c r="IXZ60" s="165"/>
      <c r="IYA60" s="165"/>
      <c r="IYB60" s="165"/>
      <c r="IYC60" s="165"/>
      <c r="IYD60" s="165"/>
      <c r="IYE60" s="165"/>
      <c r="IYF60" s="165"/>
      <c r="IYG60" s="165"/>
      <c r="IYH60" s="165"/>
      <c r="IYI60" s="165"/>
      <c r="IYJ60" s="165"/>
      <c r="IYK60" s="165"/>
      <c r="IYL60" s="165"/>
      <c r="IYM60" s="165"/>
      <c r="IYN60" s="165"/>
      <c r="IYO60" s="165"/>
      <c r="IYP60" s="165"/>
      <c r="IYQ60" s="165"/>
      <c r="IYR60" s="165"/>
      <c r="IYS60" s="165"/>
      <c r="IYT60" s="165"/>
      <c r="IYU60" s="165"/>
      <c r="IYV60" s="165"/>
      <c r="IYW60" s="165"/>
      <c r="IYX60" s="165"/>
      <c r="IYY60" s="165"/>
      <c r="IYZ60" s="165"/>
      <c r="IZA60" s="165"/>
      <c r="IZB60" s="165"/>
      <c r="IZC60" s="165"/>
      <c r="IZD60" s="165"/>
      <c r="IZE60" s="165"/>
      <c r="IZF60" s="165"/>
      <c r="IZG60" s="165"/>
      <c r="IZH60" s="165"/>
      <c r="IZI60" s="165"/>
      <c r="IZJ60" s="165"/>
      <c r="IZK60" s="165"/>
      <c r="IZL60" s="165"/>
      <c r="IZM60" s="165"/>
      <c r="IZN60" s="165"/>
      <c r="IZO60" s="165"/>
      <c r="IZP60" s="165"/>
      <c r="IZQ60" s="165"/>
      <c r="IZR60" s="165"/>
      <c r="IZS60" s="165"/>
      <c r="IZT60" s="165"/>
      <c r="IZU60" s="165"/>
      <c r="IZV60" s="165"/>
      <c r="IZW60" s="165"/>
      <c r="IZX60" s="165"/>
      <c r="IZY60" s="165"/>
      <c r="IZZ60" s="165"/>
      <c r="JAA60" s="165"/>
      <c r="JAB60" s="165"/>
      <c r="JAC60" s="165"/>
      <c r="JAD60" s="165"/>
      <c r="JAE60" s="165"/>
      <c r="JAF60" s="165"/>
      <c r="JAG60" s="165"/>
      <c r="JAH60" s="165"/>
      <c r="JAI60" s="165"/>
      <c r="JAJ60" s="165"/>
      <c r="JAK60" s="165"/>
      <c r="JAL60" s="165"/>
      <c r="JAM60" s="165"/>
      <c r="JAN60" s="165"/>
      <c r="JAO60" s="165"/>
      <c r="JAP60" s="165"/>
      <c r="JAQ60" s="165"/>
      <c r="JAR60" s="165"/>
      <c r="JAS60" s="165"/>
      <c r="JAT60" s="165"/>
      <c r="JAU60" s="165"/>
      <c r="JAV60" s="165"/>
      <c r="JAW60" s="165"/>
      <c r="JAX60" s="165"/>
      <c r="JAY60" s="165"/>
      <c r="JAZ60" s="165"/>
      <c r="JBA60" s="165"/>
      <c r="JBB60" s="165"/>
      <c r="JBC60" s="165"/>
      <c r="JBD60" s="165"/>
      <c r="JBE60" s="165"/>
      <c r="JBF60" s="165"/>
      <c r="JBG60" s="165"/>
      <c r="JBH60" s="165"/>
      <c r="JBI60" s="165"/>
      <c r="JBJ60" s="165"/>
      <c r="JBK60" s="165"/>
      <c r="JBL60" s="165"/>
      <c r="JBM60" s="165"/>
      <c r="JBN60" s="165"/>
      <c r="JBO60" s="165"/>
      <c r="JBP60" s="165"/>
      <c r="JBQ60" s="165"/>
      <c r="JBR60" s="165"/>
      <c r="JBS60" s="165"/>
      <c r="JBT60" s="165"/>
      <c r="JBU60" s="165"/>
      <c r="JBV60" s="165"/>
      <c r="JBW60" s="165"/>
      <c r="JBX60" s="165"/>
      <c r="JBY60" s="165"/>
      <c r="JBZ60" s="165"/>
      <c r="JCA60" s="165"/>
      <c r="JCB60" s="165"/>
      <c r="JCC60" s="165"/>
      <c r="JCD60" s="165"/>
      <c r="JCE60" s="165"/>
      <c r="JCF60" s="165"/>
      <c r="JCG60" s="165"/>
      <c r="JCH60" s="165"/>
      <c r="JCI60" s="165"/>
      <c r="JCJ60" s="165"/>
      <c r="JCK60" s="165"/>
      <c r="JCL60" s="165"/>
      <c r="JCM60" s="165"/>
      <c r="JCN60" s="165"/>
      <c r="JCO60" s="165"/>
      <c r="JCP60" s="165"/>
      <c r="JCQ60" s="165"/>
      <c r="JCR60" s="165"/>
      <c r="JCS60" s="165"/>
      <c r="JCT60" s="165"/>
      <c r="JCU60" s="165"/>
      <c r="JCV60" s="165"/>
      <c r="JCW60" s="165"/>
      <c r="JCX60" s="165"/>
      <c r="JCY60" s="165"/>
      <c r="JCZ60" s="165"/>
      <c r="JDA60" s="165"/>
      <c r="JDB60" s="165"/>
      <c r="JDC60" s="165"/>
      <c r="JDD60" s="165"/>
      <c r="JDE60" s="165"/>
      <c r="JDF60" s="165"/>
      <c r="JDG60" s="165"/>
      <c r="JDH60" s="165"/>
      <c r="JDI60" s="165"/>
      <c r="JDJ60" s="165"/>
      <c r="JDK60" s="165"/>
      <c r="JDL60" s="165"/>
      <c r="JDM60" s="165"/>
      <c r="JDN60" s="165"/>
      <c r="JDO60" s="165"/>
      <c r="JDP60" s="165"/>
      <c r="JDQ60" s="165"/>
      <c r="JDR60" s="165"/>
      <c r="JDS60" s="165"/>
      <c r="JDT60" s="165"/>
      <c r="JDU60" s="165"/>
      <c r="JDV60" s="165"/>
      <c r="JDW60" s="165"/>
      <c r="JDX60" s="165"/>
      <c r="JDY60" s="165"/>
      <c r="JDZ60" s="165"/>
      <c r="JEA60" s="165"/>
      <c r="JEB60" s="165"/>
      <c r="JEC60" s="165"/>
      <c r="JED60" s="165"/>
      <c r="JEE60" s="165"/>
      <c r="JEF60" s="165"/>
      <c r="JEG60" s="165"/>
      <c r="JEH60" s="165"/>
      <c r="JEI60" s="165"/>
      <c r="JEJ60" s="165"/>
      <c r="JEK60" s="165"/>
      <c r="JEL60" s="165"/>
      <c r="JEM60" s="165"/>
      <c r="JEN60" s="165"/>
      <c r="JEO60" s="165"/>
      <c r="JEP60" s="165"/>
      <c r="JEQ60" s="165"/>
      <c r="JER60" s="165"/>
      <c r="JES60" s="165"/>
      <c r="JET60" s="165"/>
      <c r="JEU60" s="165"/>
      <c r="JEV60" s="165"/>
      <c r="JEW60" s="165"/>
      <c r="JEX60" s="165"/>
      <c r="JEY60" s="165"/>
      <c r="JEZ60" s="165"/>
      <c r="JFA60" s="165"/>
      <c r="JFB60" s="165"/>
      <c r="JFC60" s="165"/>
      <c r="JFD60" s="165"/>
      <c r="JFE60" s="165"/>
      <c r="JFF60" s="165"/>
      <c r="JFG60" s="165"/>
      <c r="JFH60" s="165"/>
      <c r="JFI60" s="165"/>
      <c r="JFJ60" s="165"/>
      <c r="JFK60" s="165"/>
      <c r="JFL60" s="165"/>
      <c r="JFM60" s="165"/>
      <c r="JFN60" s="165"/>
      <c r="JFO60" s="165"/>
      <c r="JFP60" s="165"/>
      <c r="JFQ60" s="165"/>
      <c r="JFR60" s="165"/>
      <c r="JFS60" s="165"/>
      <c r="JFT60" s="165"/>
      <c r="JFU60" s="165"/>
      <c r="JFV60" s="165"/>
      <c r="JFW60" s="165"/>
      <c r="JFX60" s="165"/>
      <c r="JFY60" s="165"/>
      <c r="JFZ60" s="165"/>
      <c r="JGA60" s="165"/>
      <c r="JGB60" s="165"/>
      <c r="JGC60" s="165"/>
      <c r="JGD60" s="165"/>
      <c r="JGE60" s="165"/>
      <c r="JGF60" s="165"/>
      <c r="JGG60" s="165"/>
      <c r="JGH60" s="165"/>
      <c r="JGI60" s="165"/>
      <c r="JGJ60" s="165"/>
      <c r="JGK60" s="165"/>
      <c r="JGL60" s="165"/>
      <c r="JGM60" s="165"/>
      <c r="JGN60" s="165"/>
      <c r="JGO60" s="165"/>
      <c r="JGP60" s="165"/>
      <c r="JGQ60" s="165"/>
      <c r="JGR60" s="165"/>
      <c r="JGS60" s="165"/>
      <c r="JGT60" s="165"/>
      <c r="JGU60" s="165"/>
      <c r="JGV60" s="165"/>
      <c r="JGW60" s="165"/>
      <c r="JGX60" s="165"/>
      <c r="JGY60" s="165"/>
      <c r="JGZ60" s="165"/>
      <c r="JHA60" s="165"/>
      <c r="JHB60" s="165"/>
      <c r="JHC60" s="165"/>
      <c r="JHD60" s="165"/>
      <c r="JHE60" s="165"/>
      <c r="JHF60" s="165"/>
      <c r="JHG60" s="165"/>
      <c r="JHH60" s="165"/>
      <c r="JHI60" s="165"/>
      <c r="JHJ60" s="165"/>
      <c r="JHK60" s="165"/>
      <c r="JHL60" s="165"/>
      <c r="JHM60" s="165"/>
      <c r="JHN60" s="165"/>
      <c r="JHO60" s="165"/>
      <c r="JHP60" s="165"/>
      <c r="JHQ60" s="165"/>
      <c r="JHR60" s="165"/>
      <c r="JHS60" s="165"/>
      <c r="JHT60" s="165"/>
      <c r="JHU60" s="165"/>
      <c r="JHV60" s="165"/>
      <c r="JHW60" s="165"/>
      <c r="JHX60" s="165"/>
      <c r="JHY60" s="165"/>
      <c r="JHZ60" s="165"/>
      <c r="JIA60" s="165"/>
      <c r="JIB60" s="165"/>
      <c r="JIC60" s="165"/>
      <c r="JID60" s="165"/>
      <c r="JIE60" s="165"/>
      <c r="JIF60" s="165"/>
      <c r="JIG60" s="165"/>
      <c r="JIH60" s="165"/>
      <c r="JII60" s="165"/>
      <c r="JIJ60" s="165"/>
      <c r="JIK60" s="165"/>
      <c r="JIL60" s="165"/>
      <c r="JIM60" s="165"/>
      <c r="JIN60" s="165"/>
      <c r="JIO60" s="165"/>
      <c r="JIP60" s="165"/>
      <c r="JIQ60" s="165"/>
      <c r="JIR60" s="165"/>
      <c r="JIS60" s="165"/>
      <c r="JIT60" s="165"/>
      <c r="JIU60" s="165"/>
      <c r="JIV60" s="165"/>
      <c r="JIW60" s="165"/>
      <c r="JIX60" s="165"/>
      <c r="JIY60" s="165"/>
      <c r="JIZ60" s="165"/>
      <c r="JJA60" s="165"/>
      <c r="JJB60" s="165"/>
      <c r="JJC60" s="165"/>
      <c r="JJD60" s="165"/>
      <c r="JJE60" s="165"/>
      <c r="JJF60" s="165"/>
      <c r="JJG60" s="165"/>
      <c r="JJH60" s="165"/>
      <c r="JJI60" s="165"/>
      <c r="JJJ60" s="165"/>
      <c r="JJK60" s="165"/>
      <c r="JJL60" s="165"/>
      <c r="JJM60" s="165"/>
      <c r="JJN60" s="165"/>
      <c r="JJO60" s="165"/>
      <c r="JJP60" s="165"/>
      <c r="JJQ60" s="165"/>
      <c r="JJR60" s="165"/>
      <c r="JJS60" s="165"/>
      <c r="JJT60" s="165"/>
      <c r="JJU60" s="165"/>
      <c r="JJV60" s="165"/>
      <c r="JJW60" s="165"/>
      <c r="JJX60" s="165"/>
      <c r="JJY60" s="165"/>
      <c r="JJZ60" s="165"/>
      <c r="JKA60" s="165"/>
      <c r="JKB60" s="165"/>
      <c r="JKC60" s="165"/>
      <c r="JKD60" s="165"/>
      <c r="JKE60" s="165"/>
      <c r="JKF60" s="165"/>
      <c r="JKG60" s="165"/>
      <c r="JKH60" s="165"/>
      <c r="JKI60" s="165"/>
      <c r="JKJ60" s="165"/>
      <c r="JKK60" s="165"/>
      <c r="JKL60" s="165"/>
      <c r="JKM60" s="165"/>
      <c r="JKN60" s="165"/>
      <c r="JKO60" s="165"/>
      <c r="JKP60" s="165"/>
      <c r="JKQ60" s="165"/>
      <c r="JKR60" s="165"/>
      <c r="JKS60" s="165"/>
      <c r="JKT60" s="165"/>
      <c r="JKU60" s="165"/>
      <c r="JKV60" s="165"/>
      <c r="JKW60" s="165"/>
      <c r="JKX60" s="165"/>
      <c r="JKY60" s="165"/>
      <c r="JKZ60" s="165"/>
      <c r="JLA60" s="165"/>
      <c r="JLB60" s="165"/>
      <c r="JLC60" s="165"/>
      <c r="JLD60" s="165"/>
      <c r="JLE60" s="165"/>
      <c r="JLF60" s="165"/>
      <c r="JLG60" s="165"/>
      <c r="JLH60" s="165"/>
      <c r="JLI60" s="165"/>
      <c r="JLJ60" s="165"/>
      <c r="JLK60" s="165"/>
      <c r="JLL60" s="165"/>
      <c r="JLM60" s="165"/>
      <c r="JLN60" s="165"/>
      <c r="JLO60" s="165"/>
      <c r="JLP60" s="165"/>
      <c r="JLQ60" s="165"/>
      <c r="JLR60" s="165"/>
      <c r="JLS60" s="165"/>
      <c r="JLT60" s="165"/>
      <c r="JLU60" s="165"/>
      <c r="JLV60" s="165"/>
      <c r="JLW60" s="165"/>
      <c r="JLX60" s="165"/>
      <c r="JLY60" s="165"/>
      <c r="JLZ60" s="165"/>
      <c r="JMA60" s="165"/>
      <c r="JMB60" s="165"/>
      <c r="JMC60" s="165"/>
      <c r="JMD60" s="165"/>
      <c r="JME60" s="165"/>
      <c r="JMF60" s="165"/>
      <c r="JMG60" s="165"/>
      <c r="JMH60" s="165"/>
      <c r="JMI60" s="165"/>
      <c r="JMJ60" s="165"/>
      <c r="JMK60" s="165"/>
      <c r="JML60" s="165"/>
      <c r="JMM60" s="165"/>
      <c r="JMN60" s="165"/>
      <c r="JMO60" s="165"/>
      <c r="JMP60" s="165"/>
      <c r="JMQ60" s="165"/>
      <c r="JMR60" s="165"/>
      <c r="JMS60" s="165"/>
      <c r="JMT60" s="165"/>
      <c r="JMU60" s="165"/>
      <c r="JMV60" s="165"/>
      <c r="JMW60" s="165"/>
      <c r="JMX60" s="165"/>
      <c r="JMY60" s="165"/>
      <c r="JMZ60" s="165"/>
      <c r="JNA60" s="165"/>
      <c r="JNB60" s="165"/>
      <c r="JNC60" s="165"/>
      <c r="JND60" s="165"/>
      <c r="JNE60" s="165"/>
      <c r="JNF60" s="165"/>
      <c r="JNG60" s="165"/>
      <c r="JNH60" s="165"/>
      <c r="JNI60" s="165"/>
      <c r="JNJ60" s="165"/>
      <c r="JNK60" s="165"/>
      <c r="JNL60" s="165"/>
      <c r="JNM60" s="165"/>
      <c r="JNN60" s="165"/>
      <c r="JNO60" s="165"/>
      <c r="JNP60" s="165"/>
      <c r="JNQ60" s="165"/>
      <c r="JNR60" s="165"/>
      <c r="JNS60" s="165"/>
      <c r="JNT60" s="165"/>
      <c r="JNU60" s="165"/>
      <c r="JNV60" s="165"/>
      <c r="JNW60" s="165"/>
      <c r="JNX60" s="165"/>
      <c r="JNY60" s="165"/>
      <c r="JNZ60" s="165"/>
      <c r="JOA60" s="165"/>
      <c r="JOB60" s="165"/>
      <c r="JOC60" s="165"/>
      <c r="JOD60" s="165"/>
      <c r="JOE60" s="165"/>
      <c r="JOF60" s="165"/>
      <c r="JOG60" s="165"/>
      <c r="JOH60" s="165"/>
      <c r="JOI60" s="165"/>
      <c r="JOJ60" s="165"/>
      <c r="JOK60" s="165"/>
      <c r="JOL60" s="165"/>
      <c r="JOM60" s="165"/>
      <c r="JON60" s="165"/>
      <c r="JOO60" s="165"/>
      <c r="JOP60" s="165"/>
      <c r="JOQ60" s="165"/>
      <c r="JOR60" s="165"/>
      <c r="JOS60" s="165"/>
      <c r="JOT60" s="165"/>
      <c r="JOU60" s="165"/>
      <c r="JOV60" s="165"/>
      <c r="JOW60" s="165"/>
      <c r="JOX60" s="165"/>
      <c r="JOY60" s="165"/>
      <c r="JOZ60" s="165"/>
      <c r="JPA60" s="165"/>
      <c r="JPB60" s="165"/>
      <c r="JPC60" s="165"/>
      <c r="JPD60" s="165"/>
      <c r="JPE60" s="165"/>
      <c r="JPF60" s="165"/>
      <c r="JPG60" s="165"/>
      <c r="JPH60" s="165"/>
      <c r="JPI60" s="165"/>
      <c r="JPJ60" s="165"/>
      <c r="JPK60" s="165"/>
      <c r="JPL60" s="165"/>
      <c r="JPM60" s="165"/>
      <c r="JPN60" s="165"/>
      <c r="JPO60" s="165"/>
      <c r="JPP60" s="165"/>
      <c r="JPQ60" s="165"/>
      <c r="JPR60" s="165"/>
      <c r="JPS60" s="165"/>
      <c r="JPT60" s="165"/>
      <c r="JPU60" s="165"/>
      <c r="JPV60" s="165"/>
      <c r="JPW60" s="165"/>
      <c r="JPX60" s="165"/>
      <c r="JPY60" s="165"/>
      <c r="JPZ60" s="165"/>
      <c r="JQA60" s="165"/>
      <c r="JQB60" s="165"/>
      <c r="JQC60" s="165"/>
      <c r="JQD60" s="165"/>
      <c r="JQE60" s="165"/>
      <c r="JQF60" s="165"/>
      <c r="JQG60" s="165"/>
      <c r="JQH60" s="165"/>
      <c r="JQI60" s="165"/>
      <c r="JQJ60" s="165"/>
      <c r="JQK60" s="165"/>
      <c r="JQL60" s="165"/>
      <c r="JQM60" s="165"/>
      <c r="JQN60" s="165"/>
      <c r="JQO60" s="165"/>
      <c r="JQP60" s="165"/>
      <c r="JQQ60" s="165"/>
      <c r="JQR60" s="165"/>
      <c r="JQS60" s="165"/>
      <c r="JQT60" s="165"/>
      <c r="JQU60" s="165"/>
      <c r="JQV60" s="165"/>
      <c r="JQW60" s="165"/>
      <c r="JQX60" s="165"/>
      <c r="JQY60" s="165"/>
      <c r="JQZ60" s="165"/>
      <c r="JRA60" s="165"/>
      <c r="JRB60" s="165"/>
      <c r="JRC60" s="165"/>
      <c r="JRD60" s="165"/>
      <c r="JRE60" s="165"/>
      <c r="JRF60" s="165"/>
      <c r="JRG60" s="165"/>
      <c r="JRH60" s="165"/>
      <c r="JRI60" s="165"/>
      <c r="JRJ60" s="165"/>
      <c r="JRK60" s="165"/>
      <c r="JRL60" s="165"/>
      <c r="JRM60" s="165"/>
      <c r="JRN60" s="165"/>
      <c r="JRO60" s="165"/>
      <c r="JRP60" s="165"/>
      <c r="JRQ60" s="165"/>
      <c r="JRR60" s="165"/>
      <c r="JRS60" s="165"/>
      <c r="JRT60" s="165"/>
      <c r="JRU60" s="165"/>
      <c r="JRV60" s="165"/>
      <c r="JRW60" s="165"/>
      <c r="JRX60" s="165"/>
      <c r="JRY60" s="165"/>
      <c r="JRZ60" s="165"/>
      <c r="JSA60" s="165"/>
      <c r="JSB60" s="165"/>
      <c r="JSC60" s="165"/>
      <c r="JSD60" s="165"/>
      <c r="JSE60" s="165"/>
      <c r="JSF60" s="165"/>
      <c r="JSG60" s="165"/>
      <c r="JSH60" s="165"/>
      <c r="JSI60" s="165"/>
      <c r="JSJ60" s="165"/>
      <c r="JSK60" s="165"/>
      <c r="JSL60" s="165"/>
      <c r="JSM60" s="165"/>
      <c r="JSN60" s="165"/>
      <c r="JSO60" s="165"/>
      <c r="JSP60" s="165"/>
      <c r="JSQ60" s="165"/>
      <c r="JSR60" s="165"/>
      <c r="JSS60" s="165"/>
      <c r="JST60" s="165"/>
      <c r="JSU60" s="165"/>
      <c r="JSV60" s="165"/>
      <c r="JSW60" s="165"/>
      <c r="JSX60" s="165"/>
      <c r="JSY60" s="165"/>
      <c r="JSZ60" s="165"/>
      <c r="JTA60" s="165"/>
      <c r="JTB60" s="165"/>
      <c r="JTC60" s="165"/>
      <c r="JTD60" s="165"/>
      <c r="JTE60" s="165"/>
      <c r="JTF60" s="165"/>
      <c r="JTG60" s="165"/>
      <c r="JTH60" s="165"/>
      <c r="JTI60" s="165"/>
      <c r="JTJ60" s="165"/>
      <c r="JTK60" s="165"/>
      <c r="JTL60" s="165"/>
      <c r="JTM60" s="165"/>
      <c r="JTN60" s="165"/>
      <c r="JTO60" s="165"/>
      <c r="JTP60" s="165"/>
      <c r="JTQ60" s="165"/>
      <c r="JTR60" s="165"/>
      <c r="JTS60" s="165"/>
      <c r="JTT60" s="165"/>
      <c r="JTU60" s="165"/>
      <c r="JTV60" s="165"/>
      <c r="JTW60" s="165"/>
      <c r="JTX60" s="165"/>
      <c r="JTY60" s="165"/>
      <c r="JTZ60" s="165"/>
      <c r="JUA60" s="165"/>
      <c r="JUB60" s="165"/>
      <c r="JUC60" s="165"/>
      <c r="JUD60" s="165"/>
      <c r="JUE60" s="165"/>
      <c r="JUF60" s="165"/>
      <c r="JUG60" s="165"/>
      <c r="JUH60" s="165"/>
      <c r="JUI60" s="165"/>
      <c r="JUJ60" s="165"/>
      <c r="JUK60" s="165"/>
      <c r="JUL60" s="165"/>
      <c r="JUM60" s="165"/>
      <c r="JUN60" s="165"/>
      <c r="JUO60" s="165"/>
      <c r="JUP60" s="165"/>
      <c r="JUQ60" s="165"/>
      <c r="JUR60" s="165"/>
      <c r="JUS60" s="165"/>
      <c r="JUT60" s="165"/>
      <c r="JUU60" s="165"/>
      <c r="JUV60" s="165"/>
      <c r="JUW60" s="165"/>
      <c r="JUX60" s="165"/>
      <c r="JUY60" s="165"/>
      <c r="JUZ60" s="165"/>
      <c r="JVA60" s="165"/>
      <c r="JVB60" s="165"/>
      <c r="JVC60" s="165"/>
      <c r="JVD60" s="165"/>
      <c r="JVE60" s="165"/>
      <c r="JVF60" s="165"/>
      <c r="JVG60" s="165"/>
      <c r="JVH60" s="165"/>
      <c r="JVI60" s="165"/>
      <c r="JVJ60" s="165"/>
      <c r="JVK60" s="165"/>
      <c r="JVL60" s="165"/>
      <c r="JVM60" s="165"/>
      <c r="JVN60" s="165"/>
      <c r="JVO60" s="165"/>
      <c r="JVP60" s="165"/>
      <c r="JVQ60" s="165"/>
      <c r="JVR60" s="165"/>
      <c r="JVS60" s="165"/>
      <c r="JVT60" s="165"/>
      <c r="JVU60" s="165"/>
      <c r="JVV60" s="165"/>
      <c r="JVW60" s="165"/>
      <c r="JVX60" s="165"/>
      <c r="JVY60" s="165"/>
      <c r="JVZ60" s="165"/>
      <c r="JWA60" s="165"/>
      <c r="JWB60" s="165"/>
      <c r="JWC60" s="165"/>
      <c r="JWD60" s="165"/>
      <c r="JWE60" s="165"/>
      <c r="JWF60" s="165"/>
      <c r="JWG60" s="165"/>
      <c r="JWH60" s="165"/>
      <c r="JWI60" s="165"/>
      <c r="JWJ60" s="165"/>
      <c r="JWK60" s="165"/>
      <c r="JWL60" s="165"/>
      <c r="JWM60" s="165"/>
      <c r="JWN60" s="165"/>
      <c r="JWO60" s="165"/>
      <c r="JWP60" s="165"/>
      <c r="JWQ60" s="165"/>
      <c r="JWR60" s="165"/>
      <c r="JWS60" s="165"/>
      <c r="JWT60" s="165"/>
      <c r="JWU60" s="165"/>
      <c r="JWV60" s="165"/>
      <c r="JWW60" s="165"/>
      <c r="JWX60" s="165"/>
      <c r="JWY60" s="165"/>
      <c r="JWZ60" s="165"/>
      <c r="JXA60" s="165"/>
      <c r="JXB60" s="165"/>
      <c r="JXC60" s="165"/>
      <c r="JXD60" s="165"/>
      <c r="JXE60" s="165"/>
      <c r="JXF60" s="165"/>
      <c r="JXG60" s="165"/>
      <c r="JXH60" s="165"/>
      <c r="JXI60" s="165"/>
      <c r="JXJ60" s="165"/>
      <c r="JXK60" s="165"/>
      <c r="JXL60" s="165"/>
      <c r="JXM60" s="165"/>
      <c r="JXN60" s="165"/>
      <c r="JXO60" s="165"/>
      <c r="JXP60" s="165"/>
      <c r="JXQ60" s="165"/>
      <c r="JXR60" s="165"/>
      <c r="JXS60" s="165"/>
      <c r="JXT60" s="165"/>
      <c r="JXU60" s="165"/>
      <c r="JXV60" s="165"/>
      <c r="JXW60" s="165"/>
      <c r="JXX60" s="165"/>
      <c r="JXY60" s="165"/>
      <c r="JXZ60" s="165"/>
      <c r="JYA60" s="165"/>
      <c r="JYB60" s="165"/>
      <c r="JYC60" s="165"/>
      <c r="JYD60" s="165"/>
      <c r="JYE60" s="165"/>
      <c r="JYF60" s="165"/>
      <c r="JYG60" s="165"/>
      <c r="JYH60" s="165"/>
      <c r="JYI60" s="165"/>
      <c r="JYJ60" s="165"/>
      <c r="JYK60" s="165"/>
      <c r="JYL60" s="165"/>
      <c r="JYM60" s="165"/>
      <c r="JYN60" s="165"/>
      <c r="JYO60" s="165"/>
      <c r="JYP60" s="165"/>
      <c r="JYQ60" s="165"/>
      <c r="JYR60" s="165"/>
      <c r="JYS60" s="165"/>
      <c r="JYT60" s="165"/>
      <c r="JYU60" s="165"/>
      <c r="JYV60" s="165"/>
      <c r="JYW60" s="165"/>
      <c r="JYX60" s="165"/>
      <c r="JYY60" s="165"/>
      <c r="JYZ60" s="165"/>
      <c r="JZA60" s="165"/>
      <c r="JZB60" s="165"/>
      <c r="JZC60" s="165"/>
      <c r="JZD60" s="165"/>
      <c r="JZE60" s="165"/>
      <c r="JZF60" s="165"/>
      <c r="JZG60" s="165"/>
      <c r="JZH60" s="165"/>
      <c r="JZI60" s="165"/>
      <c r="JZJ60" s="165"/>
      <c r="JZK60" s="165"/>
      <c r="JZL60" s="165"/>
      <c r="JZM60" s="165"/>
      <c r="JZN60" s="165"/>
      <c r="JZO60" s="165"/>
      <c r="JZP60" s="165"/>
      <c r="JZQ60" s="165"/>
      <c r="JZR60" s="165"/>
      <c r="JZS60" s="165"/>
      <c r="JZT60" s="165"/>
      <c r="JZU60" s="165"/>
      <c r="JZV60" s="165"/>
      <c r="JZW60" s="165"/>
      <c r="JZX60" s="165"/>
      <c r="JZY60" s="165"/>
      <c r="JZZ60" s="165"/>
      <c r="KAA60" s="165"/>
      <c r="KAB60" s="165"/>
      <c r="KAC60" s="165"/>
      <c r="KAD60" s="165"/>
      <c r="KAE60" s="165"/>
      <c r="KAF60" s="165"/>
      <c r="KAG60" s="165"/>
      <c r="KAH60" s="165"/>
      <c r="KAI60" s="165"/>
      <c r="KAJ60" s="165"/>
      <c r="KAK60" s="165"/>
      <c r="KAL60" s="165"/>
      <c r="KAM60" s="165"/>
      <c r="KAN60" s="165"/>
      <c r="KAO60" s="165"/>
      <c r="KAP60" s="165"/>
      <c r="KAQ60" s="165"/>
      <c r="KAR60" s="165"/>
      <c r="KAS60" s="165"/>
      <c r="KAT60" s="165"/>
      <c r="KAU60" s="165"/>
      <c r="KAV60" s="165"/>
      <c r="KAW60" s="165"/>
      <c r="KAX60" s="165"/>
      <c r="KAY60" s="165"/>
      <c r="KAZ60" s="165"/>
      <c r="KBA60" s="165"/>
      <c r="KBB60" s="165"/>
      <c r="KBC60" s="165"/>
      <c r="KBD60" s="165"/>
      <c r="KBE60" s="165"/>
      <c r="KBF60" s="165"/>
      <c r="KBG60" s="165"/>
      <c r="KBH60" s="165"/>
      <c r="KBI60" s="165"/>
      <c r="KBJ60" s="165"/>
      <c r="KBK60" s="165"/>
      <c r="KBL60" s="165"/>
      <c r="KBM60" s="165"/>
      <c r="KBN60" s="165"/>
      <c r="KBO60" s="165"/>
      <c r="KBP60" s="165"/>
      <c r="KBQ60" s="165"/>
      <c r="KBR60" s="165"/>
      <c r="KBS60" s="165"/>
      <c r="KBT60" s="165"/>
      <c r="KBU60" s="165"/>
      <c r="KBV60" s="165"/>
      <c r="KBW60" s="165"/>
      <c r="KBX60" s="165"/>
      <c r="KBY60" s="165"/>
      <c r="KBZ60" s="165"/>
      <c r="KCA60" s="165"/>
      <c r="KCB60" s="165"/>
      <c r="KCC60" s="165"/>
      <c r="KCD60" s="165"/>
      <c r="KCE60" s="165"/>
      <c r="KCF60" s="165"/>
      <c r="KCG60" s="165"/>
      <c r="KCH60" s="165"/>
      <c r="KCI60" s="165"/>
      <c r="KCJ60" s="165"/>
      <c r="KCK60" s="165"/>
      <c r="KCL60" s="165"/>
      <c r="KCM60" s="165"/>
      <c r="KCN60" s="165"/>
      <c r="KCO60" s="165"/>
      <c r="KCP60" s="165"/>
      <c r="KCQ60" s="165"/>
      <c r="KCR60" s="165"/>
      <c r="KCS60" s="165"/>
      <c r="KCT60" s="165"/>
      <c r="KCU60" s="165"/>
      <c r="KCV60" s="165"/>
      <c r="KCW60" s="165"/>
      <c r="KCX60" s="165"/>
      <c r="KCY60" s="165"/>
      <c r="KCZ60" s="165"/>
      <c r="KDA60" s="165"/>
      <c r="KDB60" s="165"/>
      <c r="KDC60" s="165"/>
      <c r="KDD60" s="165"/>
      <c r="KDE60" s="165"/>
      <c r="KDF60" s="165"/>
      <c r="KDG60" s="165"/>
      <c r="KDH60" s="165"/>
      <c r="KDI60" s="165"/>
      <c r="KDJ60" s="165"/>
      <c r="KDK60" s="165"/>
      <c r="KDL60" s="165"/>
      <c r="KDM60" s="165"/>
      <c r="KDN60" s="165"/>
      <c r="KDO60" s="165"/>
      <c r="KDP60" s="165"/>
      <c r="KDQ60" s="165"/>
      <c r="KDR60" s="165"/>
      <c r="KDS60" s="165"/>
      <c r="KDT60" s="165"/>
      <c r="KDU60" s="165"/>
      <c r="KDV60" s="165"/>
      <c r="KDW60" s="165"/>
      <c r="KDX60" s="165"/>
      <c r="KDY60" s="165"/>
      <c r="KDZ60" s="165"/>
      <c r="KEA60" s="165"/>
      <c r="KEB60" s="165"/>
      <c r="KEC60" s="165"/>
      <c r="KED60" s="165"/>
      <c r="KEE60" s="165"/>
      <c r="KEF60" s="165"/>
      <c r="KEG60" s="165"/>
      <c r="KEH60" s="165"/>
      <c r="KEI60" s="165"/>
      <c r="KEJ60" s="165"/>
      <c r="KEK60" s="165"/>
      <c r="KEL60" s="165"/>
      <c r="KEM60" s="165"/>
      <c r="KEN60" s="165"/>
      <c r="KEO60" s="165"/>
      <c r="KEP60" s="165"/>
      <c r="KEQ60" s="165"/>
      <c r="KER60" s="165"/>
      <c r="KES60" s="165"/>
      <c r="KET60" s="165"/>
      <c r="KEU60" s="165"/>
      <c r="KEV60" s="165"/>
      <c r="KEW60" s="165"/>
      <c r="KEX60" s="165"/>
      <c r="KEY60" s="165"/>
      <c r="KEZ60" s="165"/>
      <c r="KFA60" s="165"/>
      <c r="KFB60" s="165"/>
      <c r="KFC60" s="165"/>
      <c r="KFD60" s="165"/>
      <c r="KFE60" s="165"/>
      <c r="KFF60" s="165"/>
      <c r="KFG60" s="165"/>
      <c r="KFH60" s="165"/>
      <c r="KFI60" s="165"/>
      <c r="KFJ60" s="165"/>
      <c r="KFK60" s="165"/>
      <c r="KFL60" s="165"/>
      <c r="KFM60" s="165"/>
      <c r="KFN60" s="165"/>
      <c r="KFO60" s="165"/>
      <c r="KFP60" s="165"/>
      <c r="KFQ60" s="165"/>
      <c r="KFR60" s="165"/>
      <c r="KFS60" s="165"/>
      <c r="KFT60" s="165"/>
      <c r="KFU60" s="165"/>
      <c r="KFV60" s="165"/>
      <c r="KFW60" s="165"/>
      <c r="KFX60" s="165"/>
      <c r="KFY60" s="165"/>
      <c r="KFZ60" s="165"/>
      <c r="KGA60" s="165"/>
      <c r="KGB60" s="165"/>
      <c r="KGC60" s="165"/>
      <c r="KGD60" s="165"/>
      <c r="KGE60" s="165"/>
      <c r="KGF60" s="165"/>
      <c r="KGG60" s="165"/>
      <c r="KGH60" s="165"/>
      <c r="KGI60" s="165"/>
      <c r="KGJ60" s="165"/>
      <c r="KGK60" s="165"/>
      <c r="KGL60" s="165"/>
      <c r="KGM60" s="165"/>
      <c r="KGN60" s="165"/>
      <c r="KGO60" s="165"/>
      <c r="KGP60" s="165"/>
      <c r="KGQ60" s="165"/>
      <c r="KGR60" s="165"/>
      <c r="KGS60" s="165"/>
      <c r="KGT60" s="165"/>
      <c r="KGU60" s="165"/>
      <c r="KGV60" s="165"/>
      <c r="KGW60" s="165"/>
      <c r="KGX60" s="165"/>
      <c r="KGY60" s="165"/>
      <c r="KGZ60" s="165"/>
      <c r="KHA60" s="165"/>
      <c r="KHB60" s="165"/>
      <c r="KHC60" s="165"/>
      <c r="KHD60" s="165"/>
      <c r="KHE60" s="165"/>
      <c r="KHF60" s="165"/>
      <c r="KHG60" s="165"/>
      <c r="KHH60" s="165"/>
      <c r="KHI60" s="165"/>
      <c r="KHJ60" s="165"/>
      <c r="KHK60" s="165"/>
      <c r="KHL60" s="165"/>
      <c r="KHM60" s="165"/>
      <c r="KHN60" s="165"/>
      <c r="KHO60" s="165"/>
      <c r="KHP60" s="165"/>
      <c r="KHQ60" s="165"/>
      <c r="KHR60" s="165"/>
      <c r="KHS60" s="165"/>
      <c r="KHT60" s="165"/>
      <c r="KHU60" s="165"/>
      <c r="KHV60" s="165"/>
      <c r="KHW60" s="165"/>
      <c r="KHX60" s="165"/>
      <c r="KHY60" s="165"/>
      <c r="KHZ60" s="165"/>
      <c r="KIA60" s="165"/>
      <c r="KIB60" s="165"/>
      <c r="KIC60" s="165"/>
      <c r="KID60" s="165"/>
      <c r="KIE60" s="165"/>
      <c r="KIF60" s="165"/>
      <c r="KIG60" s="165"/>
      <c r="KIH60" s="165"/>
      <c r="KII60" s="165"/>
      <c r="KIJ60" s="165"/>
      <c r="KIK60" s="165"/>
      <c r="KIL60" s="165"/>
      <c r="KIM60" s="165"/>
      <c r="KIN60" s="165"/>
      <c r="KIO60" s="165"/>
      <c r="KIP60" s="165"/>
      <c r="KIQ60" s="165"/>
      <c r="KIR60" s="165"/>
      <c r="KIS60" s="165"/>
      <c r="KIT60" s="165"/>
      <c r="KIU60" s="165"/>
      <c r="KIV60" s="165"/>
      <c r="KIW60" s="165"/>
      <c r="KIX60" s="165"/>
      <c r="KIY60" s="165"/>
      <c r="KIZ60" s="165"/>
      <c r="KJA60" s="165"/>
      <c r="KJB60" s="165"/>
      <c r="KJC60" s="165"/>
      <c r="KJD60" s="165"/>
      <c r="KJE60" s="165"/>
      <c r="KJF60" s="165"/>
      <c r="KJG60" s="165"/>
      <c r="KJH60" s="165"/>
      <c r="KJI60" s="165"/>
      <c r="KJJ60" s="165"/>
      <c r="KJK60" s="165"/>
      <c r="KJL60" s="165"/>
      <c r="KJM60" s="165"/>
      <c r="KJN60" s="165"/>
      <c r="KJO60" s="165"/>
      <c r="KJP60" s="165"/>
      <c r="KJQ60" s="165"/>
      <c r="KJR60" s="165"/>
      <c r="KJS60" s="165"/>
      <c r="KJT60" s="165"/>
      <c r="KJU60" s="165"/>
      <c r="KJV60" s="165"/>
      <c r="KJW60" s="165"/>
      <c r="KJX60" s="165"/>
      <c r="KJY60" s="165"/>
      <c r="KJZ60" s="165"/>
      <c r="KKA60" s="165"/>
      <c r="KKB60" s="165"/>
      <c r="KKC60" s="165"/>
      <c r="KKD60" s="165"/>
      <c r="KKE60" s="165"/>
      <c r="KKF60" s="165"/>
      <c r="KKG60" s="165"/>
      <c r="KKH60" s="165"/>
      <c r="KKI60" s="165"/>
      <c r="KKJ60" s="165"/>
      <c r="KKK60" s="165"/>
      <c r="KKL60" s="165"/>
      <c r="KKM60" s="165"/>
      <c r="KKN60" s="165"/>
      <c r="KKO60" s="165"/>
      <c r="KKP60" s="165"/>
      <c r="KKQ60" s="165"/>
      <c r="KKR60" s="165"/>
      <c r="KKS60" s="165"/>
      <c r="KKT60" s="165"/>
      <c r="KKU60" s="165"/>
      <c r="KKV60" s="165"/>
      <c r="KKW60" s="165"/>
      <c r="KKX60" s="165"/>
      <c r="KKY60" s="165"/>
      <c r="KKZ60" s="165"/>
      <c r="KLA60" s="165"/>
      <c r="KLB60" s="165"/>
      <c r="KLC60" s="165"/>
      <c r="KLD60" s="165"/>
      <c r="KLE60" s="165"/>
      <c r="KLF60" s="165"/>
      <c r="KLG60" s="165"/>
      <c r="KLH60" s="165"/>
      <c r="KLI60" s="165"/>
      <c r="KLJ60" s="165"/>
      <c r="KLK60" s="165"/>
      <c r="KLL60" s="165"/>
      <c r="KLM60" s="165"/>
      <c r="KLN60" s="165"/>
      <c r="KLO60" s="165"/>
      <c r="KLP60" s="165"/>
      <c r="KLQ60" s="165"/>
      <c r="KLR60" s="165"/>
      <c r="KLS60" s="165"/>
      <c r="KLT60" s="165"/>
      <c r="KLU60" s="165"/>
      <c r="KLV60" s="165"/>
      <c r="KLW60" s="165"/>
      <c r="KLX60" s="165"/>
      <c r="KLY60" s="165"/>
      <c r="KLZ60" s="165"/>
      <c r="KMA60" s="165"/>
      <c r="KMB60" s="165"/>
      <c r="KMC60" s="165"/>
      <c r="KMD60" s="165"/>
      <c r="KME60" s="165"/>
      <c r="KMF60" s="165"/>
      <c r="KMG60" s="165"/>
      <c r="KMH60" s="165"/>
      <c r="KMI60" s="165"/>
      <c r="KMJ60" s="165"/>
      <c r="KMK60" s="165"/>
      <c r="KML60" s="165"/>
      <c r="KMM60" s="165"/>
      <c r="KMN60" s="165"/>
      <c r="KMO60" s="165"/>
      <c r="KMP60" s="165"/>
      <c r="KMQ60" s="165"/>
      <c r="KMR60" s="165"/>
      <c r="KMS60" s="165"/>
      <c r="KMT60" s="165"/>
      <c r="KMU60" s="165"/>
      <c r="KMV60" s="165"/>
      <c r="KMW60" s="165"/>
      <c r="KMX60" s="165"/>
      <c r="KMY60" s="165"/>
      <c r="KMZ60" s="165"/>
      <c r="KNA60" s="165"/>
      <c r="KNB60" s="165"/>
      <c r="KNC60" s="165"/>
      <c r="KND60" s="165"/>
      <c r="KNE60" s="165"/>
      <c r="KNF60" s="165"/>
      <c r="KNG60" s="165"/>
      <c r="KNH60" s="165"/>
      <c r="KNI60" s="165"/>
      <c r="KNJ60" s="165"/>
      <c r="KNK60" s="165"/>
      <c r="KNL60" s="165"/>
      <c r="KNM60" s="165"/>
      <c r="KNN60" s="165"/>
      <c r="KNO60" s="165"/>
      <c r="KNP60" s="165"/>
      <c r="KNQ60" s="165"/>
      <c r="KNR60" s="165"/>
      <c r="KNS60" s="165"/>
      <c r="KNT60" s="165"/>
      <c r="KNU60" s="165"/>
      <c r="KNV60" s="165"/>
      <c r="KNW60" s="165"/>
      <c r="KNX60" s="165"/>
      <c r="KNY60" s="165"/>
      <c r="KNZ60" s="165"/>
      <c r="KOA60" s="165"/>
      <c r="KOB60" s="165"/>
      <c r="KOC60" s="165"/>
      <c r="KOD60" s="165"/>
      <c r="KOE60" s="165"/>
      <c r="KOF60" s="165"/>
      <c r="KOG60" s="165"/>
      <c r="KOH60" s="165"/>
      <c r="KOI60" s="165"/>
      <c r="KOJ60" s="165"/>
      <c r="KOK60" s="165"/>
      <c r="KOL60" s="165"/>
      <c r="KOM60" s="165"/>
      <c r="KON60" s="165"/>
      <c r="KOO60" s="165"/>
      <c r="KOP60" s="165"/>
      <c r="KOQ60" s="165"/>
      <c r="KOR60" s="165"/>
      <c r="KOS60" s="165"/>
      <c r="KOT60" s="165"/>
      <c r="KOU60" s="165"/>
      <c r="KOV60" s="165"/>
      <c r="KOW60" s="165"/>
      <c r="KOX60" s="165"/>
      <c r="KOY60" s="165"/>
      <c r="KOZ60" s="165"/>
      <c r="KPA60" s="165"/>
      <c r="KPB60" s="165"/>
      <c r="KPC60" s="165"/>
      <c r="KPD60" s="165"/>
      <c r="KPE60" s="165"/>
      <c r="KPF60" s="165"/>
      <c r="KPG60" s="165"/>
      <c r="KPH60" s="165"/>
      <c r="KPI60" s="165"/>
      <c r="KPJ60" s="165"/>
      <c r="KPK60" s="165"/>
      <c r="KPL60" s="165"/>
      <c r="KPM60" s="165"/>
      <c r="KPN60" s="165"/>
      <c r="KPO60" s="165"/>
      <c r="KPP60" s="165"/>
      <c r="KPQ60" s="165"/>
      <c r="KPR60" s="165"/>
      <c r="KPS60" s="165"/>
      <c r="KPT60" s="165"/>
      <c r="KPU60" s="165"/>
      <c r="KPV60" s="165"/>
      <c r="KPW60" s="165"/>
      <c r="KPX60" s="165"/>
      <c r="KPY60" s="165"/>
      <c r="KPZ60" s="165"/>
      <c r="KQA60" s="165"/>
      <c r="KQB60" s="165"/>
      <c r="KQC60" s="165"/>
      <c r="KQD60" s="165"/>
      <c r="KQE60" s="165"/>
      <c r="KQF60" s="165"/>
      <c r="KQG60" s="165"/>
      <c r="KQH60" s="165"/>
      <c r="KQI60" s="165"/>
      <c r="KQJ60" s="165"/>
      <c r="KQK60" s="165"/>
      <c r="KQL60" s="165"/>
      <c r="KQM60" s="165"/>
      <c r="KQN60" s="165"/>
      <c r="KQO60" s="165"/>
      <c r="KQP60" s="165"/>
      <c r="KQQ60" s="165"/>
      <c r="KQR60" s="165"/>
      <c r="KQS60" s="165"/>
      <c r="KQT60" s="165"/>
      <c r="KQU60" s="165"/>
      <c r="KQV60" s="165"/>
      <c r="KQW60" s="165"/>
      <c r="KQX60" s="165"/>
      <c r="KQY60" s="165"/>
      <c r="KQZ60" s="165"/>
      <c r="KRA60" s="165"/>
      <c r="KRB60" s="165"/>
      <c r="KRC60" s="165"/>
      <c r="KRD60" s="165"/>
      <c r="KRE60" s="165"/>
      <c r="KRF60" s="165"/>
      <c r="KRG60" s="165"/>
      <c r="KRH60" s="165"/>
      <c r="KRI60" s="165"/>
      <c r="KRJ60" s="165"/>
      <c r="KRK60" s="165"/>
      <c r="KRL60" s="165"/>
      <c r="KRM60" s="165"/>
      <c r="KRN60" s="165"/>
      <c r="KRO60" s="165"/>
      <c r="KRP60" s="165"/>
      <c r="KRQ60" s="165"/>
      <c r="KRR60" s="165"/>
      <c r="KRS60" s="165"/>
      <c r="KRT60" s="165"/>
      <c r="KRU60" s="165"/>
      <c r="KRV60" s="165"/>
      <c r="KRW60" s="165"/>
      <c r="KRX60" s="165"/>
      <c r="KRY60" s="165"/>
      <c r="KRZ60" s="165"/>
      <c r="KSA60" s="165"/>
      <c r="KSB60" s="165"/>
      <c r="KSC60" s="165"/>
      <c r="KSD60" s="165"/>
      <c r="KSE60" s="165"/>
      <c r="KSF60" s="165"/>
      <c r="KSG60" s="165"/>
      <c r="KSH60" s="165"/>
      <c r="KSI60" s="165"/>
      <c r="KSJ60" s="165"/>
      <c r="KSK60" s="165"/>
      <c r="KSL60" s="165"/>
      <c r="KSM60" s="165"/>
      <c r="KSN60" s="165"/>
      <c r="KSO60" s="165"/>
      <c r="KSP60" s="165"/>
      <c r="KSQ60" s="165"/>
      <c r="KSR60" s="165"/>
      <c r="KSS60" s="165"/>
      <c r="KST60" s="165"/>
      <c r="KSU60" s="165"/>
      <c r="KSV60" s="165"/>
      <c r="KSW60" s="165"/>
      <c r="KSX60" s="165"/>
      <c r="KSY60" s="165"/>
      <c r="KSZ60" s="165"/>
      <c r="KTA60" s="165"/>
      <c r="KTB60" s="165"/>
      <c r="KTC60" s="165"/>
      <c r="KTD60" s="165"/>
      <c r="KTE60" s="165"/>
      <c r="KTF60" s="165"/>
      <c r="KTG60" s="165"/>
      <c r="KTH60" s="165"/>
      <c r="KTI60" s="165"/>
      <c r="KTJ60" s="165"/>
      <c r="KTK60" s="165"/>
      <c r="KTL60" s="165"/>
      <c r="KTM60" s="165"/>
      <c r="KTN60" s="165"/>
      <c r="KTO60" s="165"/>
      <c r="KTP60" s="165"/>
      <c r="KTQ60" s="165"/>
      <c r="KTR60" s="165"/>
      <c r="KTS60" s="165"/>
      <c r="KTT60" s="165"/>
      <c r="KTU60" s="165"/>
      <c r="KTV60" s="165"/>
      <c r="KTW60" s="165"/>
      <c r="KTX60" s="165"/>
      <c r="KTY60" s="165"/>
      <c r="KTZ60" s="165"/>
      <c r="KUA60" s="165"/>
      <c r="KUB60" s="165"/>
      <c r="KUC60" s="165"/>
      <c r="KUD60" s="165"/>
      <c r="KUE60" s="165"/>
      <c r="KUF60" s="165"/>
      <c r="KUG60" s="165"/>
      <c r="KUH60" s="165"/>
      <c r="KUI60" s="165"/>
      <c r="KUJ60" s="165"/>
      <c r="KUK60" s="165"/>
      <c r="KUL60" s="165"/>
      <c r="KUM60" s="165"/>
      <c r="KUN60" s="165"/>
      <c r="KUO60" s="165"/>
      <c r="KUP60" s="165"/>
      <c r="KUQ60" s="165"/>
      <c r="KUR60" s="165"/>
      <c r="KUS60" s="165"/>
      <c r="KUT60" s="165"/>
      <c r="KUU60" s="165"/>
      <c r="KUV60" s="165"/>
      <c r="KUW60" s="165"/>
      <c r="KUX60" s="165"/>
      <c r="KUY60" s="165"/>
      <c r="KUZ60" s="165"/>
      <c r="KVA60" s="165"/>
      <c r="KVB60" s="165"/>
      <c r="KVC60" s="165"/>
      <c r="KVD60" s="165"/>
      <c r="KVE60" s="165"/>
      <c r="KVF60" s="165"/>
      <c r="KVG60" s="165"/>
      <c r="KVH60" s="165"/>
      <c r="KVI60" s="165"/>
      <c r="KVJ60" s="165"/>
      <c r="KVK60" s="165"/>
      <c r="KVL60" s="165"/>
      <c r="KVM60" s="165"/>
      <c r="KVN60" s="165"/>
      <c r="KVO60" s="165"/>
      <c r="KVP60" s="165"/>
      <c r="KVQ60" s="165"/>
      <c r="KVR60" s="165"/>
      <c r="KVS60" s="165"/>
      <c r="KVT60" s="165"/>
      <c r="KVU60" s="165"/>
      <c r="KVV60" s="165"/>
      <c r="KVW60" s="165"/>
      <c r="KVX60" s="165"/>
      <c r="KVY60" s="165"/>
      <c r="KVZ60" s="165"/>
      <c r="KWA60" s="165"/>
      <c r="KWB60" s="165"/>
      <c r="KWC60" s="165"/>
      <c r="KWD60" s="165"/>
      <c r="KWE60" s="165"/>
      <c r="KWF60" s="165"/>
      <c r="KWG60" s="165"/>
      <c r="KWH60" s="165"/>
      <c r="KWI60" s="165"/>
      <c r="KWJ60" s="165"/>
      <c r="KWK60" s="165"/>
      <c r="KWL60" s="165"/>
      <c r="KWM60" s="165"/>
      <c r="KWN60" s="165"/>
      <c r="KWO60" s="165"/>
      <c r="KWP60" s="165"/>
      <c r="KWQ60" s="165"/>
      <c r="KWR60" s="165"/>
      <c r="KWS60" s="165"/>
      <c r="KWT60" s="165"/>
      <c r="KWU60" s="165"/>
      <c r="KWV60" s="165"/>
      <c r="KWW60" s="165"/>
      <c r="KWX60" s="165"/>
      <c r="KWY60" s="165"/>
      <c r="KWZ60" s="165"/>
      <c r="KXA60" s="165"/>
      <c r="KXB60" s="165"/>
      <c r="KXC60" s="165"/>
      <c r="KXD60" s="165"/>
      <c r="KXE60" s="165"/>
      <c r="KXF60" s="165"/>
      <c r="KXG60" s="165"/>
      <c r="KXH60" s="165"/>
      <c r="KXI60" s="165"/>
      <c r="KXJ60" s="165"/>
      <c r="KXK60" s="165"/>
      <c r="KXL60" s="165"/>
      <c r="KXM60" s="165"/>
      <c r="KXN60" s="165"/>
      <c r="KXO60" s="165"/>
      <c r="KXP60" s="165"/>
      <c r="KXQ60" s="165"/>
      <c r="KXR60" s="165"/>
      <c r="KXS60" s="165"/>
      <c r="KXT60" s="165"/>
      <c r="KXU60" s="165"/>
      <c r="KXV60" s="165"/>
      <c r="KXW60" s="165"/>
      <c r="KXX60" s="165"/>
      <c r="KXY60" s="165"/>
      <c r="KXZ60" s="165"/>
      <c r="KYA60" s="165"/>
      <c r="KYB60" s="165"/>
      <c r="KYC60" s="165"/>
      <c r="KYD60" s="165"/>
      <c r="KYE60" s="165"/>
      <c r="KYF60" s="165"/>
      <c r="KYG60" s="165"/>
      <c r="KYH60" s="165"/>
      <c r="KYI60" s="165"/>
      <c r="KYJ60" s="165"/>
      <c r="KYK60" s="165"/>
      <c r="KYL60" s="165"/>
      <c r="KYM60" s="165"/>
      <c r="KYN60" s="165"/>
      <c r="KYO60" s="165"/>
      <c r="KYP60" s="165"/>
      <c r="KYQ60" s="165"/>
      <c r="KYR60" s="165"/>
      <c r="KYS60" s="165"/>
      <c r="KYT60" s="165"/>
      <c r="KYU60" s="165"/>
      <c r="KYV60" s="165"/>
      <c r="KYW60" s="165"/>
      <c r="KYX60" s="165"/>
      <c r="KYY60" s="165"/>
      <c r="KYZ60" s="165"/>
      <c r="KZA60" s="165"/>
      <c r="KZB60" s="165"/>
      <c r="KZC60" s="165"/>
      <c r="KZD60" s="165"/>
      <c r="KZE60" s="165"/>
      <c r="KZF60" s="165"/>
      <c r="KZG60" s="165"/>
      <c r="KZH60" s="165"/>
      <c r="KZI60" s="165"/>
      <c r="KZJ60" s="165"/>
      <c r="KZK60" s="165"/>
      <c r="KZL60" s="165"/>
      <c r="KZM60" s="165"/>
      <c r="KZN60" s="165"/>
      <c r="KZO60" s="165"/>
      <c r="KZP60" s="165"/>
      <c r="KZQ60" s="165"/>
      <c r="KZR60" s="165"/>
      <c r="KZS60" s="165"/>
      <c r="KZT60" s="165"/>
      <c r="KZU60" s="165"/>
      <c r="KZV60" s="165"/>
      <c r="KZW60" s="165"/>
      <c r="KZX60" s="165"/>
      <c r="KZY60" s="165"/>
      <c r="KZZ60" s="165"/>
      <c r="LAA60" s="165"/>
      <c r="LAB60" s="165"/>
      <c r="LAC60" s="165"/>
      <c r="LAD60" s="165"/>
      <c r="LAE60" s="165"/>
      <c r="LAF60" s="165"/>
      <c r="LAG60" s="165"/>
      <c r="LAH60" s="165"/>
      <c r="LAI60" s="165"/>
      <c r="LAJ60" s="165"/>
      <c r="LAK60" s="165"/>
      <c r="LAL60" s="165"/>
      <c r="LAM60" s="165"/>
      <c r="LAN60" s="165"/>
      <c r="LAO60" s="165"/>
      <c r="LAP60" s="165"/>
      <c r="LAQ60" s="165"/>
      <c r="LAR60" s="165"/>
      <c r="LAS60" s="165"/>
      <c r="LAT60" s="165"/>
      <c r="LAU60" s="165"/>
      <c r="LAV60" s="165"/>
      <c r="LAW60" s="165"/>
      <c r="LAX60" s="165"/>
      <c r="LAY60" s="165"/>
      <c r="LAZ60" s="165"/>
      <c r="LBA60" s="165"/>
      <c r="LBB60" s="165"/>
      <c r="LBC60" s="165"/>
      <c r="LBD60" s="165"/>
      <c r="LBE60" s="165"/>
      <c r="LBF60" s="165"/>
      <c r="LBG60" s="165"/>
      <c r="LBH60" s="165"/>
      <c r="LBI60" s="165"/>
      <c r="LBJ60" s="165"/>
      <c r="LBK60" s="165"/>
      <c r="LBL60" s="165"/>
      <c r="LBM60" s="165"/>
      <c r="LBN60" s="165"/>
      <c r="LBO60" s="165"/>
      <c r="LBP60" s="165"/>
      <c r="LBQ60" s="165"/>
      <c r="LBR60" s="165"/>
      <c r="LBS60" s="165"/>
      <c r="LBT60" s="165"/>
      <c r="LBU60" s="165"/>
      <c r="LBV60" s="165"/>
      <c r="LBW60" s="165"/>
      <c r="LBX60" s="165"/>
      <c r="LBY60" s="165"/>
      <c r="LBZ60" s="165"/>
      <c r="LCA60" s="165"/>
      <c r="LCB60" s="165"/>
      <c r="LCC60" s="165"/>
      <c r="LCD60" s="165"/>
      <c r="LCE60" s="165"/>
      <c r="LCF60" s="165"/>
      <c r="LCG60" s="165"/>
      <c r="LCH60" s="165"/>
      <c r="LCI60" s="165"/>
      <c r="LCJ60" s="165"/>
      <c r="LCK60" s="165"/>
      <c r="LCL60" s="165"/>
      <c r="LCM60" s="165"/>
      <c r="LCN60" s="165"/>
      <c r="LCO60" s="165"/>
      <c r="LCP60" s="165"/>
      <c r="LCQ60" s="165"/>
      <c r="LCR60" s="165"/>
      <c r="LCS60" s="165"/>
      <c r="LCT60" s="165"/>
      <c r="LCU60" s="165"/>
      <c r="LCV60" s="165"/>
      <c r="LCW60" s="165"/>
      <c r="LCX60" s="165"/>
      <c r="LCY60" s="165"/>
      <c r="LCZ60" s="165"/>
      <c r="LDA60" s="165"/>
      <c r="LDB60" s="165"/>
      <c r="LDC60" s="165"/>
      <c r="LDD60" s="165"/>
      <c r="LDE60" s="165"/>
      <c r="LDF60" s="165"/>
      <c r="LDG60" s="165"/>
      <c r="LDH60" s="165"/>
      <c r="LDI60" s="165"/>
      <c r="LDJ60" s="165"/>
      <c r="LDK60" s="165"/>
      <c r="LDL60" s="165"/>
      <c r="LDM60" s="165"/>
      <c r="LDN60" s="165"/>
      <c r="LDO60" s="165"/>
      <c r="LDP60" s="165"/>
      <c r="LDQ60" s="165"/>
      <c r="LDR60" s="165"/>
      <c r="LDS60" s="165"/>
      <c r="LDT60" s="165"/>
      <c r="LDU60" s="165"/>
      <c r="LDV60" s="165"/>
      <c r="LDW60" s="165"/>
      <c r="LDX60" s="165"/>
      <c r="LDY60" s="165"/>
      <c r="LDZ60" s="165"/>
      <c r="LEA60" s="165"/>
      <c r="LEB60" s="165"/>
      <c r="LEC60" s="165"/>
      <c r="LED60" s="165"/>
      <c r="LEE60" s="165"/>
      <c r="LEF60" s="165"/>
      <c r="LEG60" s="165"/>
      <c r="LEH60" s="165"/>
      <c r="LEI60" s="165"/>
      <c r="LEJ60" s="165"/>
      <c r="LEK60" s="165"/>
      <c r="LEL60" s="165"/>
      <c r="LEM60" s="165"/>
      <c r="LEN60" s="165"/>
      <c r="LEO60" s="165"/>
      <c r="LEP60" s="165"/>
      <c r="LEQ60" s="165"/>
      <c r="LER60" s="165"/>
      <c r="LES60" s="165"/>
      <c r="LET60" s="165"/>
      <c r="LEU60" s="165"/>
      <c r="LEV60" s="165"/>
      <c r="LEW60" s="165"/>
      <c r="LEX60" s="165"/>
      <c r="LEY60" s="165"/>
      <c r="LEZ60" s="165"/>
      <c r="LFA60" s="165"/>
      <c r="LFB60" s="165"/>
      <c r="LFC60" s="165"/>
      <c r="LFD60" s="165"/>
      <c r="LFE60" s="165"/>
      <c r="LFF60" s="165"/>
      <c r="LFG60" s="165"/>
      <c r="LFH60" s="165"/>
      <c r="LFI60" s="165"/>
      <c r="LFJ60" s="165"/>
      <c r="LFK60" s="165"/>
      <c r="LFL60" s="165"/>
      <c r="LFM60" s="165"/>
      <c r="LFN60" s="165"/>
      <c r="LFO60" s="165"/>
      <c r="LFP60" s="165"/>
      <c r="LFQ60" s="165"/>
      <c r="LFR60" s="165"/>
      <c r="LFS60" s="165"/>
      <c r="LFT60" s="165"/>
      <c r="LFU60" s="165"/>
      <c r="LFV60" s="165"/>
      <c r="LFW60" s="165"/>
      <c r="LFX60" s="165"/>
      <c r="LFY60" s="165"/>
      <c r="LFZ60" s="165"/>
      <c r="LGA60" s="165"/>
      <c r="LGB60" s="165"/>
      <c r="LGC60" s="165"/>
      <c r="LGD60" s="165"/>
      <c r="LGE60" s="165"/>
      <c r="LGF60" s="165"/>
      <c r="LGG60" s="165"/>
      <c r="LGH60" s="165"/>
      <c r="LGI60" s="165"/>
      <c r="LGJ60" s="165"/>
      <c r="LGK60" s="165"/>
      <c r="LGL60" s="165"/>
      <c r="LGM60" s="165"/>
      <c r="LGN60" s="165"/>
      <c r="LGO60" s="165"/>
      <c r="LGP60" s="165"/>
      <c r="LGQ60" s="165"/>
      <c r="LGR60" s="165"/>
      <c r="LGS60" s="165"/>
      <c r="LGT60" s="165"/>
      <c r="LGU60" s="165"/>
      <c r="LGV60" s="165"/>
      <c r="LGW60" s="165"/>
      <c r="LGX60" s="165"/>
      <c r="LGY60" s="165"/>
      <c r="LGZ60" s="165"/>
      <c r="LHA60" s="165"/>
      <c r="LHB60" s="165"/>
      <c r="LHC60" s="165"/>
      <c r="LHD60" s="165"/>
      <c r="LHE60" s="165"/>
      <c r="LHF60" s="165"/>
      <c r="LHG60" s="165"/>
      <c r="LHH60" s="165"/>
      <c r="LHI60" s="165"/>
      <c r="LHJ60" s="165"/>
      <c r="LHK60" s="165"/>
      <c r="LHL60" s="165"/>
      <c r="LHM60" s="165"/>
      <c r="LHN60" s="165"/>
      <c r="LHO60" s="165"/>
      <c r="LHP60" s="165"/>
      <c r="LHQ60" s="165"/>
      <c r="LHR60" s="165"/>
      <c r="LHS60" s="165"/>
      <c r="LHT60" s="165"/>
      <c r="LHU60" s="165"/>
      <c r="LHV60" s="165"/>
      <c r="LHW60" s="165"/>
      <c r="LHX60" s="165"/>
      <c r="LHY60" s="165"/>
      <c r="LHZ60" s="165"/>
      <c r="LIA60" s="165"/>
      <c r="LIB60" s="165"/>
      <c r="LIC60" s="165"/>
      <c r="LID60" s="165"/>
      <c r="LIE60" s="165"/>
      <c r="LIF60" s="165"/>
      <c r="LIG60" s="165"/>
      <c r="LIH60" s="165"/>
      <c r="LII60" s="165"/>
      <c r="LIJ60" s="165"/>
      <c r="LIK60" s="165"/>
      <c r="LIL60" s="165"/>
      <c r="LIM60" s="165"/>
      <c r="LIN60" s="165"/>
      <c r="LIO60" s="165"/>
      <c r="LIP60" s="165"/>
      <c r="LIQ60" s="165"/>
      <c r="LIR60" s="165"/>
      <c r="LIS60" s="165"/>
      <c r="LIT60" s="165"/>
      <c r="LIU60" s="165"/>
      <c r="LIV60" s="165"/>
      <c r="LIW60" s="165"/>
      <c r="LIX60" s="165"/>
      <c r="LIY60" s="165"/>
      <c r="LIZ60" s="165"/>
      <c r="LJA60" s="165"/>
      <c r="LJB60" s="165"/>
      <c r="LJC60" s="165"/>
      <c r="LJD60" s="165"/>
      <c r="LJE60" s="165"/>
      <c r="LJF60" s="165"/>
      <c r="LJG60" s="165"/>
      <c r="LJH60" s="165"/>
      <c r="LJI60" s="165"/>
      <c r="LJJ60" s="165"/>
      <c r="LJK60" s="165"/>
      <c r="LJL60" s="165"/>
      <c r="LJM60" s="165"/>
      <c r="LJN60" s="165"/>
      <c r="LJO60" s="165"/>
      <c r="LJP60" s="165"/>
      <c r="LJQ60" s="165"/>
      <c r="LJR60" s="165"/>
      <c r="LJS60" s="165"/>
      <c r="LJT60" s="165"/>
      <c r="LJU60" s="165"/>
      <c r="LJV60" s="165"/>
      <c r="LJW60" s="165"/>
      <c r="LJX60" s="165"/>
      <c r="LJY60" s="165"/>
      <c r="LJZ60" s="165"/>
      <c r="LKA60" s="165"/>
      <c r="LKB60" s="165"/>
      <c r="LKC60" s="165"/>
      <c r="LKD60" s="165"/>
      <c r="LKE60" s="165"/>
      <c r="LKF60" s="165"/>
      <c r="LKG60" s="165"/>
      <c r="LKH60" s="165"/>
      <c r="LKI60" s="165"/>
      <c r="LKJ60" s="165"/>
      <c r="LKK60" s="165"/>
      <c r="LKL60" s="165"/>
      <c r="LKM60" s="165"/>
      <c r="LKN60" s="165"/>
      <c r="LKO60" s="165"/>
      <c r="LKP60" s="165"/>
      <c r="LKQ60" s="165"/>
      <c r="LKR60" s="165"/>
      <c r="LKS60" s="165"/>
      <c r="LKT60" s="165"/>
      <c r="LKU60" s="165"/>
      <c r="LKV60" s="165"/>
      <c r="LKW60" s="165"/>
      <c r="LKX60" s="165"/>
      <c r="LKY60" s="165"/>
      <c r="LKZ60" s="165"/>
      <c r="LLA60" s="165"/>
      <c r="LLB60" s="165"/>
      <c r="LLC60" s="165"/>
      <c r="LLD60" s="165"/>
      <c r="LLE60" s="165"/>
      <c r="LLF60" s="165"/>
      <c r="LLG60" s="165"/>
      <c r="LLH60" s="165"/>
      <c r="LLI60" s="165"/>
      <c r="LLJ60" s="165"/>
      <c r="LLK60" s="165"/>
      <c r="LLL60" s="165"/>
      <c r="LLM60" s="165"/>
      <c r="LLN60" s="165"/>
      <c r="LLO60" s="165"/>
      <c r="LLP60" s="165"/>
      <c r="LLQ60" s="165"/>
      <c r="LLR60" s="165"/>
      <c r="LLS60" s="165"/>
      <c r="LLT60" s="165"/>
      <c r="LLU60" s="165"/>
      <c r="LLV60" s="165"/>
      <c r="LLW60" s="165"/>
      <c r="LLX60" s="165"/>
      <c r="LLY60" s="165"/>
      <c r="LLZ60" s="165"/>
      <c r="LMA60" s="165"/>
      <c r="LMB60" s="165"/>
      <c r="LMC60" s="165"/>
      <c r="LMD60" s="165"/>
      <c r="LME60" s="165"/>
      <c r="LMF60" s="165"/>
      <c r="LMG60" s="165"/>
      <c r="LMH60" s="165"/>
      <c r="LMI60" s="165"/>
      <c r="LMJ60" s="165"/>
      <c r="LMK60" s="165"/>
      <c r="LML60" s="165"/>
      <c r="LMM60" s="165"/>
      <c r="LMN60" s="165"/>
      <c r="LMO60" s="165"/>
      <c r="LMP60" s="165"/>
      <c r="LMQ60" s="165"/>
      <c r="LMR60" s="165"/>
      <c r="LMS60" s="165"/>
      <c r="LMT60" s="165"/>
      <c r="LMU60" s="165"/>
      <c r="LMV60" s="165"/>
      <c r="LMW60" s="165"/>
      <c r="LMX60" s="165"/>
      <c r="LMY60" s="165"/>
      <c r="LMZ60" s="165"/>
      <c r="LNA60" s="165"/>
      <c r="LNB60" s="165"/>
      <c r="LNC60" s="165"/>
      <c r="LND60" s="165"/>
      <c r="LNE60" s="165"/>
      <c r="LNF60" s="165"/>
      <c r="LNG60" s="165"/>
      <c r="LNH60" s="165"/>
      <c r="LNI60" s="165"/>
      <c r="LNJ60" s="165"/>
      <c r="LNK60" s="165"/>
      <c r="LNL60" s="165"/>
      <c r="LNM60" s="165"/>
      <c r="LNN60" s="165"/>
      <c r="LNO60" s="165"/>
      <c r="LNP60" s="165"/>
      <c r="LNQ60" s="165"/>
      <c r="LNR60" s="165"/>
      <c r="LNS60" s="165"/>
      <c r="LNT60" s="165"/>
      <c r="LNU60" s="165"/>
      <c r="LNV60" s="165"/>
      <c r="LNW60" s="165"/>
      <c r="LNX60" s="165"/>
      <c r="LNY60" s="165"/>
      <c r="LNZ60" s="165"/>
      <c r="LOA60" s="165"/>
      <c r="LOB60" s="165"/>
      <c r="LOC60" s="165"/>
      <c r="LOD60" s="165"/>
      <c r="LOE60" s="165"/>
      <c r="LOF60" s="165"/>
      <c r="LOG60" s="165"/>
      <c r="LOH60" s="165"/>
      <c r="LOI60" s="165"/>
      <c r="LOJ60" s="165"/>
      <c r="LOK60" s="165"/>
      <c r="LOL60" s="165"/>
      <c r="LOM60" s="165"/>
      <c r="LON60" s="165"/>
      <c r="LOO60" s="165"/>
      <c r="LOP60" s="165"/>
      <c r="LOQ60" s="165"/>
      <c r="LOR60" s="165"/>
      <c r="LOS60" s="165"/>
      <c r="LOT60" s="165"/>
      <c r="LOU60" s="165"/>
      <c r="LOV60" s="165"/>
      <c r="LOW60" s="165"/>
      <c r="LOX60" s="165"/>
      <c r="LOY60" s="165"/>
      <c r="LOZ60" s="165"/>
      <c r="LPA60" s="165"/>
      <c r="LPB60" s="165"/>
      <c r="LPC60" s="165"/>
      <c r="LPD60" s="165"/>
      <c r="LPE60" s="165"/>
      <c r="LPF60" s="165"/>
      <c r="LPG60" s="165"/>
      <c r="LPH60" s="165"/>
      <c r="LPI60" s="165"/>
      <c r="LPJ60" s="165"/>
      <c r="LPK60" s="165"/>
      <c r="LPL60" s="165"/>
      <c r="LPM60" s="165"/>
      <c r="LPN60" s="165"/>
      <c r="LPO60" s="165"/>
      <c r="LPP60" s="165"/>
      <c r="LPQ60" s="165"/>
      <c r="LPR60" s="165"/>
      <c r="LPS60" s="165"/>
      <c r="LPT60" s="165"/>
      <c r="LPU60" s="165"/>
      <c r="LPV60" s="165"/>
      <c r="LPW60" s="165"/>
      <c r="LPX60" s="165"/>
      <c r="LPY60" s="165"/>
      <c r="LPZ60" s="165"/>
      <c r="LQA60" s="165"/>
      <c r="LQB60" s="165"/>
      <c r="LQC60" s="165"/>
      <c r="LQD60" s="165"/>
      <c r="LQE60" s="165"/>
      <c r="LQF60" s="165"/>
      <c r="LQG60" s="165"/>
      <c r="LQH60" s="165"/>
      <c r="LQI60" s="165"/>
      <c r="LQJ60" s="165"/>
      <c r="LQK60" s="165"/>
      <c r="LQL60" s="165"/>
      <c r="LQM60" s="165"/>
      <c r="LQN60" s="165"/>
      <c r="LQO60" s="165"/>
      <c r="LQP60" s="165"/>
      <c r="LQQ60" s="165"/>
      <c r="LQR60" s="165"/>
      <c r="LQS60" s="165"/>
      <c r="LQT60" s="165"/>
      <c r="LQU60" s="165"/>
      <c r="LQV60" s="165"/>
      <c r="LQW60" s="165"/>
      <c r="LQX60" s="165"/>
      <c r="LQY60" s="165"/>
      <c r="LQZ60" s="165"/>
      <c r="LRA60" s="165"/>
      <c r="LRB60" s="165"/>
      <c r="LRC60" s="165"/>
      <c r="LRD60" s="165"/>
      <c r="LRE60" s="165"/>
      <c r="LRF60" s="165"/>
      <c r="LRG60" s="165"/>
      <c r="LRH60" s="165"/>
      <c r="LRI60" s="165"/>
      <c r="LRJ60" s="165"/>
      <c r="LRK60" s="165"/>
      <c r="LRL60" s="165"/>
      <c r="LRM60" s="165"/>
      <c r="LRN60" s="165"/>
      <c r="LRO60" s="165"/>
      <c r="LRP60" s="165"/>
      <c r="LRQ60" s="165"/>
      <c r="LRR60" s="165"/>
      <c r="LRS60" s="165"/>
      <c r="LRT60" s="165"/>
      <c r="LRU60" s="165"/>
      <c r="LRV60" s="165"/>
      <c r="LRW60" s="165"/>
      <c r="LRX60" s="165"/>
      <c r="LRY60" s="165"/>
      <c r="LRZ60" s="165"/>
      <c r="LSA60" s="165"/>
      <c r="LSB60" s="165"/>
      <c r="LSC60" s="165"/>
      <c r="LSD60" s="165"/>
      <c r="LSE60" s="165"/>
      <c r="LSF60" s="165"/>
      <c r="LSG60" s="165"/>
      <c r="LSH60" s="165"/>
      <c r="LSI60" s="165"/>
      <c r="LSJ60" s="165"/>
      <c r="LSK60" s="165"/>
      <c r="LSL60" s="165"/>
      <c r="LSM60" s="165"/>
      <c r="LSN60" s="165"/>
      <c r="LSO60" s="165"/>
      <c r="LSP60" s="165"/>
      <c r="LSQ60" s="165"/>
      <c r="LSR60" s="165"/>
      <c r="LSS60" s="165"/>
      <c r="LST60" s="165"/>
      <c r="LSU60" s="165"/>
      <c r="LSV60" s="165"/>
      <c r="LSW60" s="165"/>
      <c r="LSX60" s="165"/>
      <c r="LSY60" s="165"/>
      <c r="LSZ60" s="165"/>
      <c r="LTA60" s="165"/>
      <c r="LTB60" s="165"/>
      <c r="LTC60" s="165"/>
      <c r="LTD60" s="165"/>
      <c r="LTE60" s="165"/>
      <c r="LTF60" s="165"/>
      <c r="LTG60" s="165"/>
      <c r="LTH60" s="165"/>
      <c r="LTI60" s="165"/>
      <c r="LTJ60" s="165"/>
      <c r="LTK60" s="165"/>
      <c r="LTL60" s="165"/>
      <c r="LTM60" s="165"/>
      <c r="LTN60" s="165"/>
      <c r="LTO60" s="165"/>
      <c r="LTP60" s="165"/>
      <c r="LTQ60" s="165"/>
      <c r="LTR60" s="165"/>
      <c r="LTS60" s="165"/>
      <c r="LTT60" s="165"/>
      <c r="LTU60" s="165"/>
      <c r="LTV60" s="165"/>
      <c r="LTW60" s="165"/>
      <c r="LTX60" s="165"/>
      <c r="LTY60" s="165"/>
      <c r="LTZ60" s="165"/>
      <c r="LUA60" s="165"/>
      <c r="LUB60" s="165"/>
      <c r="LUC60" s="165"/>
      <c r="LUD60" s="165"/>
      <c r="LUE60" s="165"/>
      <c r="LUF60" s="165"/>
      <c r="LUG60" s="165"/>
      <c r="LUH60" s="165"/>
      <c r="LUI60" s="165"/>
      <c r="LUJ60" s="165"/>
      <c r="LUK60" s="165"/>
      <c r="LUL60" s="165"/>
      <c r="LUM60" s="165"/>
      <c r="LUN60" s="165"/>
      <c r="LUO60" s="165"/>
      <c r="LUP60" s="165"/>
      <c r="LUQ60" s="165"/>
      <c r="LUR60" s="165"/>
      <c r="LUS60" s="165"/>
      <c r="LUT60" s="165"/>
      <c r="LUU60" s="165"/>
      <c r="LUV60" s="165"/>
      <c r="LUW60" s="165"/>
      <c r="LUX60" s="165"/>
      <c r="LUY60" s="165"/>
      <c r="LUZ60" s="165"/>
      <c r="LVA60" s="165"/>
      <c r="LVB60" s="165"/>
      <c r="LVC60" s="165"/>
      <c r="LVD60" s="165"/>
      <c r="LVE60" s="165"/>
      <c r="LVF60" s="165"/>
      <c r="LVG60" s="165"/>
      <c r="LVH60" s="165"/>
      <c r="LVI60" s="165"/>
      <c r="LVJ60" s="165"/>
      <c r="LVK60" s="165"/>
      <c r="LVL60" s="165"/>
      <c r="LVM60" s="165"/>
      <c r="LVN60" s="165"/>
      <c r="LVO60" s="165"/>
      <c r="LVP60" s="165"/>
      <c r="LVQ60" s="165"/>
      <c r="LVR60" s="165"/>
      <c r="LVS60" s="165"/>
      <c r="LVT60" s="165"/>
      <c r="LVU60" s="165"/>
      <c r="LVV60" s="165"/>
      <c r="LVW60" s="165"/>
      <c r="LVX60" s="165"/>
      <c r="LVY60" s="165"/>
      <c r="LVZ60" s="165"/>
      <c r="LWA60" s="165"/>
      <c r="LWB60" s="165"/>
      <c r="LWC60" s="165"/>
      <c r="LWD60" s="165"/>
      <c r="LWE60" s="165"/>
      <c r="LWF60" s="165"/>
      <c r="LWG60" s="165"/>
      <c r="LWH60" s="165"/>
      <c r="LWI60" s="165"/>
      <c r="LWJ60" s="165"/>
      <c r="LWK60" s="165"/>
      <c r="LWL60" s="165"/>
      <c r="LWM60" s="165"/>
      <c r="LWN60" s="165"/>
      <c r="LWO60" s="165"/>
      <c r="LWP60" s="165"/>
      <c r="LWQ60" s="165"/>
      <c r="LWR60" s="165"/>
      <c r="LWS60" s="165"/>
      <c r="LWT60" s="165"/>
      <c r="LWU60" s="165"/>
      <c r="LWV60" s="165"/>
      <c r="LWW60" s="165"/>
      <c r="LWX60" s="165"/>
      <c r="LWY60" s="165"/>
      <c r="LWZ60" s="165"/>
      <c r="LXA60" s="165"/>
      <c r="LXB60" s="165"/>
      <c r="LXC60" s="165"/>
      <c r="LXD60" s="165"/>
      <c r="LXE60" s="165"/>
      <c r="LXF60" s="165"/>
      <c r="LXG60" s="165"/>
      <c r="LXH60" s="165"/>
      <c r="LXI60" s="165"/>
      <c r="LXJ60" s="165"/>
      <c r="LXK60" s="165"/>
      <c r="LXL60" s="165"/>
      <c r="LXM60" s="165"/>
      <c r="LXN60" s="165"/>
      <c r="LXO60" s="165"/>
      <c r="LXP60" s="165"/>
      <c r="LXQ60" s="165"/>
      <c r="LXR60" s="165"/>
      <c r="LXS60" s="165"/>
      <c r="LXT60" s="165"/>
      <c r="LXU60" s="165"/>
      <c r="LXV60" s="165"/>
      <c r="LXW60" s="165"/>
      <c r="LXX60" s="165"/>
      <c r="LXY60" s="165"/>
      <c r="LXZ60" s="165"/>
      <c r="LYA60" s="165"/>
      <c r="LYB60" s="165"/>
      <c r="LYC60" s="165"/>
      <c r="LYD60" s="165"/>
      <c r="LYE60" s="165"/>
      <c r="LYF60" s="165"/>
      <c r="LYG60" s="165"/>
      <c r="LYH60" s="165"/>
      <c r="LYI60" s="165"/>
      <c r="LYJ60" s="165"/>
      <c r="LYK60" s="165"/>
      <c r="LYL60" s="165"/>
      <c r="LYM60" s="165"/>
      <c r="LYN60" s="165"/>
      <c r="LYO60" s="165"/>
      <c r="LYP60" s="165"/>
      <c r="LYQ60" s="165"/>
      <c r="LYR60" s="165"/>
      <c r="LYS60" s="165"/>
      <c r="LYT60" s="165"/>
      <c r="LYU60" s="165"/>
      <c r="LYV60" s="165"/>
      <c r="LYW60" s="165"/>
      <c r="LYX60" s="165"/>
      <c r="LYY60" s="165"/>
      <c r="LYZ60" s="165"/>
      <c r="LZA60" s="165"/>
      <c r="LZB60" s="165"/>
      <c r="LZC60" s="165"/>
      <c r="LZD60" s="165"/>
      <c r="LZE60" s="165"/>
      <c r="LZF60" s="165"/>
      <c r="LZG60" s="165"/>
      <c r="LZH60" s="165"/>
      <c r="LZI60" s="165"/>
      <c r="LZJ60" s="165"/>
      <c r="LZK60" s="165"/>
      <c r="LZL60" s="165"/>
      <c r="LZM60" s="165"/>
      <c r="LZN60" s="165"/>
      <c r="LZO60" s="165"/>
      <c r="LZP60" s="165"/>
      <c r="LZQ60" s="165"/>
      <c r="LZR60" s="165"/>
      <c r="LZS60" s="165"/>
      <c r="LZT60" s="165"/>
      <c r="LZU60" s="165"/>
      <c r="LZV60" s="165"/>
      <c r="LZW60" s="165"/>
      <c r="LZX60" s="165"/>
      <c r="LZY60" s="165"/>
      <c r="LZZ60" s="165"/>
      <c r="MAA60" s="165"/>
      <c r="MAB60" s="165"/>
      <c r="MAC60" s="165"/>
      <c r="MAD60" s="165"/>
      <c r="MAE60" s="165"/>
      <c r="MAF60" s="165"/>
      <c r="MAG60" s="165"/>
      <c r="MAH60" s="165"/>
      <c r="MAI60" s="165"/>
      <c r="MAJ60" s="165"/>
      <c r="MAK60" s="165"/>
      <c r="MAL60" s="165"/>
      <c r="MAM60" s="165"/>
      <c r="MAN60" s="165"/>
      <c r="MAO60" s="165"/>
      <c r="MAP60" s="165"/>
      <c r="MAQ60" s="165"/>
      <c r="MAR60" s="165"/>
      <c r="MAS60" s="165"/>
      <c r="MAT60" s="165"/>
      <c r="MAU60" s="165"/>
      <c r="MAV60" s="165"/>
      <c r="MAW60" s="165"/>
      <c r="MAX60" s="165"/>
      <c r="MAY60" s="165"/>
      <c r="MAZ60" s="165"/>
      <c r="MBA60" s="165"/>
      <c r="MBB60" s="165"/>
      <c r="MBC60" s="165"/>
      <c r="MBD60" s="165"/>
      <c r="MBE60" s="165"/>
      <c r="MBF60" s="165"/>
      <c r="MBG60" s="165"/>
      <c r="MBH60" s="165"/>
      <c r="MBI60" s="165"/>
      <c r="MBJ60" s="165"/>
      <c r="MBK60" s="165"/>
      <c r="MBL60" s="165"/>
      <c r="MBM60" s="165"/>
      <c r="MBN60" s="165"/>
      <c r="MBO60" s="165"/>
      <c r="MBP60" s="165"/>
      <c r="MBQ60" s="165"/>
      <c r="MBR60" s="165"/>
      <c r="MBS60" s="165"/>
      <c r="MBT60" s="165"/>
      <c r="MBU60" s="165"/>
      <c r="MBV60" s="165"/>
      <c r="MBW60" s="165"/>
      <c r="MBX60" s="165"/>
      <c r="MBY60" s="165"/>
      <c r="MBZ60" s="165"/>
      <c r="MCA60" s="165"/>
      <c r="MCB60" s="165"/>
      <c r="MCC60" s="165"/>
      <c r="MCD60" s="165"/>
      <c r="MCE60" s="165"/>
      <c r="MCF60" s="165"/>
      <c r="MCG60" s="165"/>
      <c r="MCH60" s="165"/>
      <c r="MCI60" s="165"/>
      <c r="MCJ60" s="165"/>
      <c r="MCK60" s="165"/>
      <c r="MCL60" s="165"/>
      <c r="MCM60" s="165"/>
      <c r="MCN60" s="165"/>
      <c r="MCO60" s="165"/>
      <c r="MCP60" s="165"/>
      <c r="MCQ60" s="165"/>
      <c r="MCR60" s="165"/>
      <c r="MCS60" s="165"/>
      <c r="MCT60" s="165"/>
      <c r="MCU60" s="165"/>
      <c r="MCV60" s="165"/>
      <c r="MCW60" s="165"/>
      <c r="MCX60" s="165"/>
      <c r="MCY60" s="165"/>
      <c r="MCZ60" s="165"/>
      <c r="MDA60" s="165"/>
      <c r="MDB60" s="165"/>
      <c r="MDC60" s="165"/>
      <c r="MDD60" s="165"/>
      <c r="MDE60" s="165"/>
      <c r="MDF60" s="165"/>
      <c r="MDG60" s="165"/>
      <c r="MDH60" s="165"/>
      <c r="MDI60" s="165"/>
      <c r="MDJ60" s="165"/>
      <c r="MDK60" s="165"/>
      <c r="MDL60" s="165"/>
      <c r="MDM60" s="165"/>
      <c r="MDN60" s="165"/>
      <c r="MDO60" s="165"/>
      <c r="MDP60" s="165"/>
      <c r="MDQ60" s="165"/>
      <c r="MDR60" s="165"/>
      <c r="MDS60" s="165"/>
      <c r="MDT60" s="165"/>
      <c r="MDU60" s="165"/>
      <c r="MDV60" s="165"/>
      <c r="MDW60" s="165"/>
      <c r="MDX60" s="165"/>
      <c r="MDY60" s="165"/>
      <c r="MDZ60" s="165"/>
      <c r="MEA60" s="165"/>
      <c r="MEB60" s="165"/>
      <c r="MEC60" s="165"/>
      <c r="MED60" s="165"/>
      <c r="MEE60" s="165"/>
      <c r="MEF60" s="165"/>
      <c r="MEG60" s="165"/>
      <c r="MEH60" s="165"/>
      <c r="MEI60" s="165"/>
      <c r="MEJ60" s="165"/>
      <c r="MEK60" s="165"/>
      <c r="MEL60" s="165"/>
      <c r="MEM60" s="165"/>
      <c r="MEN60" s="165"/>
      <c r="MEO60" s="165"/>
      <c r="MEP60" s="165"/>
      <c r="MEQ60" s="165"/>
      <c r="MER60" s="165"/>
      <c r="MES60" s="165"/>
      <c r="MET60" s="165"/>
      <c r="MEU60" s="165"/>
      <c r="MEV60" s="165"/>
      <c r="MEW60" s="165"/>
      <c r="MEX60" s="165"/>
      <c r="MEY60" s="165"/>
      <c r="MEZ60" s="165"/>
      <c r="MFA60" s="165"/>
      <c r="MFB60" s="165"/>
      <c r="MFC60" s="165"/>
      <c r="MFD60" s="165"/>
      <c r="MFE60" s="165"/>
      <c r="MFF60" s="165"/>
      <c r="MFG60" s="165"/>
      <c r="MFH60" s="165"/>
      <c r="MFI60" s="165"/>
      <c r="MFJ60" s="165"/>
      <c r="MFK60" s="165"/>
      <c r="MFL60" s="165"/>
      <c r="MFM60" s="165"/>
      <c r="MFN60" s="165"/>
      <c r="MFO60" s="165"/>
      <c r="MFP60" s="165"/>
      <c r="MFQ60" s="165"/>
      <c r="MFR60" s="165"/>
      <c r="MFS60" s="165"/>
      <c r="MFT60" s="165"/>
      <c r="MFU60" s="165"/>
      <c r="MFV60" s="165"/>
      <c r="MFW60" s="165"/>
      <c r="MFX60" s="165"/>
      <c r="MFY60" s="165"/>
      <c r="MFZ60" s="165"/>
      <c r="MGA60" s="165"/>
      <c r="MGB60" s="165"/>
      <c r="MGC60" s="165"/>
      <c r="MGD60" s="165"/>
      <c r="MGE60" s="165"/>
      <c r="MGF60" s="165"/>
      <c r="MGG60" s="165"/>
      <c r="MGH60" s="165"/>
      <c r="MGI60" s="165"/>
      <c r="MGJ60" s="165"/>
      <c r="MGK60" s="165"/>
      <c r="MGL60" s="165"/>
      <c r="MGM60" s="165"/>
      <c r="MGN60" s="165"/>
      <c r="MGO60" s="165"/>
      <c r="MGP60" s="165"/>
      <c r="MGQ60" s="165"/>
      <c r="MGR60" s="165"/>
      <c r="MGS60" s="165"/>
      <c r="MGT60" s="165"/>
      <c r="MGU60" s="165"/>
      <c r="MGV60" s="165"/>
      <c r="MGW60" s="165"/>
      <c r="MGX60" s="165"/>
      <c r="MGY60" s="165"/>
      <c r="MGZ60" s="165"/>
      <c r="MHA60" s="165"/>
      <c r="MHB60" s="165"/>
      <c r="MHC60" s="165"/>
      <c r="MHD60" s="165"/>
      <c r="MHE60" s="165"/>
      <c r="MHF60" s="165"/>
      <c r="MHG60" s="165"/>
      <c r="MHH60" s="165"/>
      <c r="MHI60" s="165"/>
      <c r="MHJ60" s="165"/>
      <c r="MHK60" s="165"/>
      <c r="MHL60" s="165"/>
      <c r="MHM60" s="165"/>
      <c r="MHN60" s="165"/>
      <c r="MHO60" s="165"/>
      <c r="MHP60" s="165"/>
      <c r="MHQ60" s="165"/>
      <c r="MHR60" s="165"/>
      <c r="MHS60" s="165"/>
      <c r="MHT60" s="165"/>
      <c r="MHU60" s="165"/>
      <c r="MHV60" s="165"/>
      <c r="MHW60" s="165"/>
      <c r="MHX60" s="165"/>
      <c r="MHY60" s="165"/>
      <c r="MHZ60" s="165"/>
      <c r="MIA60" s="165"/>
      <c r="MIB60" s="165"/>
      <c r="MIC60" s="165"/>
      <c r="MID60" s="165"/>
      <c r="MIE60" s="165"/>
      <c r="MIF60" s="165"/>
      <c r="MIG60" s="165"/>
      <c r="MIH60" s="165"/>
      <c r="MII60" s="165"/>
      <c r="MIJ60" s="165"/>
      <c r="MIK60" s="165"/>
      <c r="MIL60" s="165"/>
      <c r="MIM60" s="165"/>
      <c r="MIN60" s="165"/>
      <c r="MIO60" s="165"/>
      <c r="MIP60" s="165"/>
      <c r="MIQ60" s="165"/>
      <c r="MIR60" s="165"/>
      <c r="MIS60" s="165"/>
      <c r="MIT60" s="165"/>
      <c r="MIU60" s="165"/>
      <c r="MIV60" s="165"/>
      <c r="MIW60" s="165"/>
      <c r="MIX60" s="165"/>
      <c r="MIY60" s="165"/>
      <c r="MIZ60" s="165"/>
      <c r="MJA60" s="165"/>
      <c r="MJB60" s="165"/>
      <c r="MJC60" s="165"/>
      <c r="MJD60" s="165"/>
      <c r="MJE60" s="165"/>
      <c r="MJF60" s="165"/>
      <c r="MJG60" s="165"/>
      <c r="MJH60" s="165"/>
      <c r="MJI60" s="165"/>
      <c r="MJJ60" s="165"/>
      <c r="MJK60" s="165"/>
      <c r="MJL60" s="165"/>
      <c r="MJM60" s="165"/>
      <c r="MJN60" s="165"/>
      <c r="MJO60" s="165"/>
      <c r="MJP60" s="165"/>
      <c r="MJQ60" s="165"/>
      <c r="MJR60" s="165"/>
      <c r="MJS60" s="165"/>
      <c r="MJT60" s="165"/>
      <c r="MJU60" s="165"/>
      <c r="MJV60" s="165"/>
      <c r="MJW60" s="165"/>
      <c r="MJX60" s="165"/>
      <c r="MJY60" s="165"/>
      <c r="MJZ60" s="165"/>
      <c r="MKA60" s="165"/>
      <c r="MKB60" s="165"/>
      <c r="MKC60" s="165"/>
      <c r="MKD60" s="165"/>
      <c r="MKE60" s="165"/>
      <c r="MKF60" s="165"/>
      <c r="MKG60" s="165"/>
      <c r="MKH60" s="165"/>
      <c r="MKI60" s="165"/>
      <c r="MKJ60" s="165"/>
      <c r="MKK60" s="165"/>
      <c r="MKL60" s="165"/>
      <c r="MKM60" s="165"/>
      <c r="MKN60" s="165"/>
      <c r="MKO60" s="165"/>
      <c r="MKP60" s="165"/>
      <c r="MKQ60" s="165"/>
      <c r="MKR60" s="165"/>
      <c r="MKS60" s="165"/>
      <c r="MKT60" s="165"/>
      <c r="MKU60" s="165"/>
      <c r="MKV60" s="165"/>
      <c r="MKW60" s="165"/>
      <c r="MKX60" s="165"/>
      <c r="MKY60" s="165"/>
      <c r="MKZ60" s="165"/>
      <c r="MLA60" s="165"/>
      <c r="MLB60" s="165"/>
      <c r="MLC60" s="165"/>
      <c r="MLD60" s="165"/>
      <c r="MLE60" s="165"/>
      <c r="MLF60" s="165"/>
      <c r="MLG60" s="165"/>
      <c r="MLH60" s="165"/>
      <c r="MLI60" s="165"/>
      <c r="MLJ60" s="165"/>
      <c r="MLK60" s="165"/>
      <c r="MLL60" s="165"/>
      <c r="MLM60" s="165"/>
      <c r="MLN60" s="165"/>
      <c r="MLO60" s="165"/>
      <c r="MLP60" s="165"/>
      <c r="MLQ60" s="165"/>
      <c r="MLR60" s="165"/>
      <c r="MLS60" s="165"/>
      <c r="MLT60" s="165"/>
      <c r="MLU60" s="165"/>
      <c r="MLV60" s="165"/>
      <c r="MLW60" s="165"/>
      <c r="MLX60" s="165"/>
      <c r="MLY60" s="165"/>
      <c r="MLZ60" s="165"/>
      <c r="MMA60" s="165"/>
      <c r="MMB60" s="165"/>
      <c r="MMC60" s="165"/>
      <c r="MMD60" s="165"/>
      <c r="MME60" s="165"/>
      <c r="MMF60" s="165"/>
      <c r="MMG60" s="165"/>
      <c r="MMH60" s="165"/>
      <c r="MMI60" s="165"/>
      <c r="MMJ60" s="165"/>
      <c r="MMK60" s="165"/>
      <c r="MML60" s="165"/>
      <c r="MMM60" s="165"/>
      <c r="MMN60" s="165"/>
      <c r="MMO60" s="165"/>
      <c r="MMP60" s="165"/>
      <c r="MMQ60" s="165"/>
      <c r="MMR60" s="165"/>
      <c r="MMS60" s="165"/>
      <c r="MMT60" s="165"/>
      <c r="MMU60" s="165"/>
      <c r="MMV60" s="165"/>
      <c r="MMW60" s="165"/>
      <c r="MMX60" s="165"/>
      <c r="MMY60" s="165"/>
      <c r="MMZ60" s="165"/>
      <c r="MNA60" s="165"/>
      <c r="MNB60" s="165"/>
      <c r="MNC60" s="165"/>
      <c r="MND60" s="165"/>
      <c r="MNE60" s="165"/>
      <c r="MNF60" s="165"/>
      <c r="MNG60" s="165"/>
      <c r="MNH60" s="165"/>
      <c r="MNI60" s="165"/>
      <c r="MNJ60" s="165"/>
      <c r="MNK60" s="165"/>
      <c r="MNL60" s="165"/>
      <c r="MNM60" s="165"/>
      <c r="MNN60" s="165"/>
      <c r="MNO60" s="165"/>
      <c r="MNP60" s="165"/>
      <c r="MNQ60" s="165"/>
      <c r="MNR60" s="165"/>
      <c r="MNS60" s="165"/>
      <c r="MNT60" s="165"/>
      <c r="MNU60" s="165"/>
      <c r="MNV60" s="165"/>
      <c r="MNW60" s="165"/>
      <c r="MNX60" s="165"/>
      <c r="MNY60" s="165"/>
      <c r="MNZ60" s="165"/>
      <c r="MOA60" s="165"/>
      <c r="MOB60" s="165"/>
      <c r="MOC60" s="165"/>
      <c r="MOD60" s="165"/>
      <c r="MOE60" s="165"/>
      <c r="MOF60" s="165"/>
      <c r="MOG60" s="165"/>
      <c r="MOH60" s="165"/>
      <c r="MOI60" s="165"/>
      <c r="MOJ60" s="165"/>
      <c r="MOK60" s="165"/>
      <c r="MOL60" s="165"/>
      <c r="MOM60" s="165"/>
      <c r="MON60" s="165"/>
      <c r="MOO60" s="165"/>
      <c r="MOP60" s="165"/>
      <c r="MOQ60" s="165"/>
      <c r="MOR60" s="165"/>
      <c r="MOS60" s="165"/>
      <c r="MOT60" s="165"/>
      <c r="MOU60" s="165"/>
      <c r="MOV60" s="165"/>
      <c r="MOW60" s="165"/>
      <c r="MOX60" s="165"/>
      <c r="MOY60" s="165"/>
      <c r="MOZ60" s="165"/>
      <c r="MPA60" s="165"/>
      <c r="MPB60" s="165"/>
      <c r="MPC60" s="165"/>
      <c r="MPD60" s="165"/>
      <c r="MPE60" s="165"/>
      <c r="MPF60" s="165"/>
      <c r="MPG60" s="165"/>
      <c r="MPH60" s="165"/>
      <c r="MPI60" s="165"/>
      <c r="MPJ60" s="165"/>
      <c r="MPK60" s="165"/>
      <c r="MPL60" s="165"/>
      <c r="MPM60" s="165"/>
      <c r="MPN60" s="165"/>
      <c r="MPO60" s="165"/>
      <c r="MPP60" s="165"/>
      <c r="MPQ60" s="165"/>
      <c r="MPR60" s="165"/>
      <c r="MPS60" s="165"/>
      <c r="MPT60" s="165"/>
      <c r="MPU60" s="165"/>
      <c r="MPV60" s="165"/>
      <c r="MPW60" s="165"/>
      <c r="MPX60" s="165"/>
      <c r="MPY60" s="165"/>
      <c r="MPZ60" s="165"/>
      <c r="MQA60" s="165"/>
      <c r="MQB60" s="165"/>
      <c r="MQC60" s="165"/>
      <c r="MQD60" s="165"/>
      <c r="MQE60" s="165"/>
      <c r="MQF60" s="165"/>
      <c r="MQG60" s="165"/>
      <c r="MQH60" s="165"/>
      <c r="MQI60" s="165"/>
      <c r="MQJ60" s="165"/>
      <c r="MQK60" s="165"/>
      <c r="MQL60" s="165"/>
      <c r="MQM60" s="165"/>
      <c r="MQN60" s="165"/>
      <c r="MQO60" s="165"/>
      <c r="MQP60" s="165"/>
      <c r="MQQ60" s="165"/>
      <c r="MQR60" s="165"/>
      <c r="MQS60" s="165"/>
      <c r="MQT60" s="165"/>
      <c r="MQU60" s="165"/>
      <c r="MQV60" s="165"/>
      <c r="MQW60" s="165"/>
      <c r="MQX60" s="165"/>
      <c r="MQY60" s="165"/>
      <c r="MQZ60" s="165"/>
      <c r="MRA60" s="165"/>
      <c r="MRB60" s="165"/>
      <c r="MRC60" s="165"/>
      <c r="MRD60" s="165"/>
      <c r="MRE60" s="165"/>
      <c r="MRF60" s="165"/>
      <c r="MRG60" s="165"/>
      <c r="MRH60" s="165"/>
      <c r="MRI60" s="165"/>
      <c r="MRJ60" s="165"/>
      <c r="MRK60" s="165"/>
      <c r="MRL60" s="165"/>
      <c r="MRM60" s="165"/>
      <c r="MRN60" s="165"/>
      <c r="MRO60" s="165"/>
      <c r="MRP60" s="165"/>
      <c r="MRQ60" s="165"/>
      <c r="MRR60" s="165"/>
      <c r="MRS60" s="165"/>
      <c r="MRT60" s="165"/>
      <c r="MRU60" s="165"/>
      <c r="MRV60" s="165"/>
      <c r="MRW60" s="165"/>
      <c r="MRX60" s="165"/>
      <c r="MRY60" s="165"/>
      <c r="MRZ60" s="165"/>
      <c r="MSA60" s="165"/>
      <c r="MSB60" s="165"/>
      <c r="MSC60" s="165"/>
      <c r="MSD60" s="165"/>
      <c r="MSE60" s="165"/>
      <c r="MSF60" s="165"/>
      <c r="MSG60" s="165"/>
      <c r="MSH60" s="165"/>
      <c r="MSI60" s="165"/>
      <c r="MSJ60" s="165"/>
      <c r="MSK60" s="165"/>
      <c r="MSL60" s="165"/>
      <c r="MSM60" s="165"/>
      <c r="MSN60" s="165"/>
      <c r="MSO60" s="165"/>
      <c r="MSP60" s="165"/>
      <c r="MSQ60" s="165"/>
      <c r="MSR60" s="165"/>
      <c r="MSS60" s="165"/>
      <c r="MST60" s="165"/>
      <c r="MSU60" s="165"/>
      <c r="MSV60" s="165"/>
      <c r="MSW60" s="165"/>
      <c r="MSX60" s="165"/>
      <c r="MSY60" s="165"/>
      <c r="MSZ60" s="165"/>
      <c r="MTA60" s="165"/>
      <c r="MTB60" s="165"/>
      <c r="MTC60" s="165"/>
      <c r="MTD60" s="165"/>
      <c r="MTE60" s="165"/>
      <c r="MTF60" s="165"/>
      <c r="MTG60" s="165"/>
      <c r="MTH60" s="165"/>
      <c r="MTI60" s="165"/>
      <c r="MTJ60" s="165"/>
      <c r="MTK60" s="165"/>
      <c r="MTL60" s="165"/>
      <c r="MTM60" s="165"/>
      <c r="MTN60" s="165"/>
      <c r="MTO60" s="165"/>
      <c r="MTP60" s="165"/>
      <c r="MTQ60" s="165"/>
      <c r="MTR60" s="165"/>
      <c r="MTS60" s="165"/>
      <c r="MTT60" s="165"/>
      <c r="MTU60" s="165"/>
      <c r="MTV60" s="165"/>
      <c r="MTW60" s="165"/>
      <c r="MTX60" s="165"/>
      <c r="MTY60" s="165"/>
      <c r="MTZ60" s="165"/>
      <c r="MUA60" s="165"/>
      <c r="MUB60" s="165"/>
      <c r="MUC60" s="165"/>
      <c r="MUD60" s="165"/>
      <c r="MUE60" s="165"/>
      <c r="MUF60" s="165"/>
      <c r="MUG60" s="165"/>
      <c r="MUH60" s="165"/>
      <c r="MUI60" s="165"/>
      <c r="MUJ60" s="165"/>
      <c r="MUK60" s="165"/>
      <c r="MUL60" s="165"/>
      <c r="MUM60" s="165"/>
      <c r="MUN60" s="165"/>
      <c r="MUO60" s="165"/>
      <c r="MUP60" s="165"/>
      <c r="MUQ60" s="165"/>
      <c r="MUR60" s="165"/>
      <c r="MUS60" s="165"/>
      <c r="MUT60" s="165"/>
      <c r="MUU60" s="165"/>
      <c r="MUV60" s="165"/>
      <c r="MUW60" s="165"/>
      <c r="MUX60" s="165"/>
      <c r="MUY60" s="165"/>
      <c r="MUZ60" s="165"/>
      <c r="MVA60" s="165"/>
      <c r="MVB60" s="165"/>
      <c r="MVC60" s="165"/>
      <c r="MVD60" s="165"/>
      <c r="MVE60" s="165"/>
      <c r="MVF60" s="165"/>
      <c r="MVG60" s="165"/>
      <c r="MVH60" s="165"/>
      <c r="MVI60" s="165"/>
      <c r="MVJ60" s="165"/>
      <c r="MVK60" s="165"/>
      <c r="MVL60" s="165"/>
      <c r="MVM60" s="165"/>
      <c r="MVN60" s="165"/>
      <c r="MVO60" s="165"/>
      <c r="MVP60" s="165"/>
      <c r="MVQ60" s="165"/>
      <c r="MVR60" s="165"/>
      <c r="MVS60" s="165"/>
      <c r="MVT60" s="165"/>
      <c r="MVU60" s="165"/>
      <c r="MVV60" s="165"/>
      <c r="MVW60" s="165"/>
      <c r="MVX60" s="165"/>
      <c r="MVY60" s="165"/>
      <c r="MVZ60" s="165"/>
      <c r="MWA60" s="165"/>
      <c r="MWB60" s="165"/>
      <c r="MWC60" s="165"/>
      <c r="MWD60" s="165"/>
      <c r="MWE60" s="165"/>
      <c r="MWF60" s="165"/>
      <c r="MWG60" s="165"/>
      <c r="MWH60" s="165"/>
      <c r="MWI60" s="165"/>
      <c r="MWJ60" s="165"/>
      <c r="MWK60" s="165"/>
      <c r="MWL60" s="165"/>
      <c r="MWM60" s="165"/>
      <c r="MWN60" s="165"/>
      <c r="MWO60" s="165"/>
      <c r="MWP60" s="165"/>
      <c r="MWQ60" s="165"/>
      <c r="MWR60" s="165"/>
      <c r="MWS60" s="165"/>
      <c r="MWT60" s="165"/>
      <c r="MWU60" s="165"/>
      <c r="MWV60" s="165"/>
      <c r="MWW60" s="165"/>
      <c r="MWX60" s="165"/>
      <c r="MWY60" s="165"/>
      <c r="MWZ60" s="165"/>
      <c r="MXA60" s="165"/>
      <c r="MXB60" s="165"/>
      <c r="MXC60" s="165"/>
      <c r="MXD60" s="165"/>
      <c r="MXE60" s="165"/>
      <c r="MXF60" s="165"/>
      <c r="MXG60" s="165"/>
      <c r="MXH60" s="165"/>
      <c r="MXI60" s="165"/>
      <c r="MXJ60" s="165"/>
      <c r="MXK60" s="165"/>
      <c r="MXL60" s="165"/>
      <c r="MXM60" s="165"/>
      <c r="MXN60" s="165"/>
      <c r="MXO60" s="165"/>
      <c r="MXP60" s="165"/>
      <c r="MXQ60" s="165"/>
      <c r="MXR60" s="165"/>
      <c r="MXS60" s="165"/>
      <c r="MXT60" s="165"/>
      <c r="MXU60" s="165"/>
      <c r="MXV60" s="165"/>
      <c r="MXW60" s="165"/>
      <c r="MXX60" s="165"/>
      <c r="MXY60" s="165"/>
      <c r="MXZ60" s="165"/>
      <c r="MYA60" s="165"/>
      <c r="MYB60" s="165"/>
      <c r="MYC60" s="165"/>
      <c r="MYD60" s="165"/>
      <c r="MYE60" s="165"/>
      <c r="MYF60" s="165"/>
      <c r="MYG60" s="165"/>
      <c r="MYH60" s="165"/>
      <c r="MYI60" s="165"/>
      <c r="MYJ60" s="165"/>
      <c r="MYK60" s="165"/>
      <c r="MYL60" s="165"/>
      <c r="MYM60" s="165"/>
      <c r="MYN60" s="165"/>
      <c r="MYO60" s="165"/>
      <c r="MYP60" s="165"/>
      <c r="MYQ60" s="165"/>
      <c r="MYR60" s="165"/>
      <c r="MYS60" s="165"/>
      <c r="MYT60" s="165"/>
      <c r="MYU60" s="165"/>
      <c r="MYV60" s="165"/>
      <c r="MYW60" s="165"/>
      <c r="MYX60" s="165"/>
      <c r="MYY60" s="165"/>
      <c r="MYZ60" s="165"/>
      <c r="MZA60" s="165"/>
      <c r="MZB60" s="165"/>
      <c r="MZC60" s="165"/>
      <c r="MZD60" s="165"/>
      <c r="MZE60" s="165"/>
      <c r="MZF60" s="165"/>
      <c r="MZG60" s="165"/>
      <c r="MZH60" s="165"/>
      <c r="MZI60" s="165"/>
      <c r="MZJ60" s="165"/>
      <c r="MZK60" s="165"/>
      <c r="MZL60" s="165"/>
      <c r="MZM60" s="165"/>
      <c r="MZN60" s="165"/>
      <c r="MZO60" s="165"/>
      <c r="MZP60" s="165"/>
      <c r="MZQ60" s="165"/>
      <c r="MZR60" s="165"/>
      <c r="MZS60" s="165"/>
      <c r="MZT60" s="165"/>
      <c r="MZU60" s="165"/>
      <c r="MZV60" s="165"/>
      <c r="MZW60" s="165"/>
      <c r="MZX60" s="165"/>
      <c r="MZY60" s="165"/>
      <c r="MZZ60" s="165"/>
      <c r="NAA60" s="165"/>
      <c r="NAB60" s="165"/>
      <c r="NAC60" s="165"/>
      <c r="NAD60" s="165"/>
      <c r="NAE60" s="165"/>
      <c r="NAF60" s="165"/>
      <c r="NAG60" s="165"/>
      <c r="NAH60" s="165"/>
      <c r="NAI60" s="165"/>
      <c r="NAJ60" s="165"/>
      <c r="NAK60" s="165"/>
      <c r="NAL60" s="165"/>
      <c r="NAM60" s="165"/>
      <c r="NAN60" s="165"/>
      <c r="NAO60" s="165"/>
      <c r="NAP60" s="165"/>
      <c r="NAQ60" s="165"/>
      <c r="NAR60" s="165"/>
      <c r="NAS60" s="165"/>
      <c r="NAT60" s="165"/>
      <c r="NAU60" s="165"/>
      <c r="NAV60" s="165"/>
      <c r="NAW60" s="165"/>
      <c r="NAX60" s="165"/>
      <c r="NAY60" s="165"/>
      <c r="NAZ60" s="165"/>
      <c r="NBA60" s="165"/>
      <c r="NBB60" s="165"/>
      <c r="NBC60" s="165"/>
      <c r="NBD60" s="165"/>
      <c r="NBE60" s="165"/>
      <c r="NBF60" s="165"/>
      <c r="NBG60" s="165"/>
      <c r="NBH60" s="165"/>
      <c r="NBI60" s="165"/>
      <c r="NBJ60" s="165"/>
      <c r="NBK60" s="165"/>
      <c r="NBL60" s="165"/>
      <c r="NBM60" s="165"/>
      <c r="NBN60" s="165"/>
      <c r="NBO60" s="165"/>
      <c r="NBP60" s="165"/>
      <c r="NBQ60" s="165"/>
      <c r="NBR60" s="165"/>
      <c r="NBS60" s="165"/>
      <c r="NBT60" s="165"/>
      <c r="NBU60" s="165"/>
      <c r="NBV60" s="165"/>
      <c r="NBW60" s="165"/>
      <c r="NBX60" s="165"/>
      <c r="NBY60" s="165"/>
      <c r="NBZ60" s="165"/>
      <c r="NCA60" s="165"/>
      <c r="NCB60" s="165"/>
      <c r="NCC60" s="165"/>
      <c r="NCD60" s="165"/>
      <c r="NCE60" s="165"/>
      <c r="NCF60" s="165"/>
      <c r="NCG60" s="165"/>
      <c r="NCH60" s="165"/>
      <c r="NCI60" s="165"/>
      <c r="NCJ60" s="165"/>
      <c r="NCK60" s="165"/>
      <c r="NCL60" s="165"/>
      <c r="NCM60" s="165"/>
      <c r="NCN60" s="165"/>
      <c r="NCO60" s="165"/>
      <c r="NCP60" s="165"/>
      <c r="NCQ60" s="165"/>
      <c r="NCR60" s="165"/>
      <c r="NCS60" s="165"/>
      <c r="NCT60" s="165"/>
      <c r="NCU60" s="165"/>
      <c r="NCV60" s="165"/>
      <c r="NCW60" s="165"/>
      <c r="NCX60" s="165"/>
      <c r="NCY60" s="165"/>
      <c r="NCZ60" s="165"/>
      <c r="NDA60" s="165"/>
      <c r="NDB60" s="165"/>
      <c r="NDC60" s="165"/>
      <c r="NDD60" s="165"/>
      <c r="NDE60" s="165"/>
      <c r="NDF60" s="165"/>
      <c r="NDG60" s="165"/>
      <c r="NDH60" s="165"/>
      <c r="NDI60" s="165"/>
      <c r="NDJ60" s="165"/>
      <c r="NDK60" s="165"/>
      <c r="NDL60" s="165"/>
      <c r="NDM60" s="165"/>
      <c r="NDN60" s="165"/>
      <c r="NDO60" s="165"/>
      <c r="NDP60" s="165"/>
      <c r="NDQ60" s="165"/>
      <c r="NDR60" s="165"/>
      <c r="NDS60" s="165"/>
      <c r="NDT60" s="165"/>
      <c r="NDU60" s="165"/>
      <c r="NDV60" s="165"/>
      <c r="NDW60" s="165"/>
      <c r="NDX60" s="165"/>
      <c r="NDY60" s="165"/>
      <c r="NDZ60" s="165"/>
      <c r="NEA60" s="165"/>
      <c r="NEB60" s="165"/>
      <c r="NEC60" s="165"/>
      <c r="NED60" s="165"/>
      <c r="NEE60" s="165"/>
      <c r="NEF60" s="165"/>
      <c r="NEG60" s="165"/>
      <c r="NEH60" s="165"/>
      <c r="NEI60" s="165"/>
      <c r="NEJ60" s="165"/>
      <c r="NEK60" s="165"/>
      <c r="NEL60" s="165"/>
      <c r="NEM60" s="165"/>
      <c r="NEN60" s="165"/>
      <c r="NEO60" s="165"/>
      <c r="NEP60" s="165"/>
      <c r="NEQ60" s="165"/>
      <c r="NER60" s="165"/>
      <c r="NES60" s="165"/>
      <c r="NET60" s="165"/>
      <c r="NEU60" s="165"/>
      <c r="NEV60" s="165"/>
      <c r="NEW60" s="165"/>
      <c r="NEX60" s="165"/>
      <c r="NEY60" s="165"/>
      <c r="NEZ60" s="165"/>
      <c r="NFA60" s="165"/>
      <c r="NFB60" s="165"/>
      <c r="NFC60" s="165"/>
      <c r="NFD60" s="165"/>
      <c r="NFE60" s="165"/>
      <c r="NFF60" s="165"/>
      <c r="NFG60" s="165"/>
      <c r="NFH60" s="165"/>
      <c r="NFI60" s="165"/>
      <c r="NFJ60" s="165"/>
      <c r="NFK60" s="165"/>
      <c r="NFL60" s="165"/>
      <c r="NFM60" s="165"/>
      <c r="NFN60" s="165"/>
      <c r="NFO60" s="165"/>
      <c r="NFP60" s="165"/>
      <c r="NFQ60" s="165"/>
      <c r="NFR60" s="165"/>
      <c r="NFS60" s="165"/>
      <c r="NFT60" s="165"/>
      <c r="NFU60" s="165"/>
      <c r="NFV60" s="165"/>
      <c r="NFW60" s="165"/>
      <c r="NFX60" s="165"/>
      <c r="NFY60" s="165"/>
      <c r="NFZ60" s="165"/>
      <c r="NGA60" s="165"/>
      <c r="NGB60" s="165"/>
      <c r="NGC60" s="165"/>
      <c r="NGD60" s="165"/>
      <c r="NGE60" s="165"/>
      <c r="NGF60" s="165"/>
      <c r="NGG60" s="165"/>
      <c r="NGH60" s="165"/>
      <c r="NGI60" s="165"/>
      <c r="NGJ60" s="165"/>
      <c r="NGK60" s="165"/>
      <c r="NGL60" s="165"/>
      <c r="NGM60" s="165"/>
      <c r="NGN60" s="165"/>
      <c r="NGO60" s="165"/>
      <c r="NGP60" s="165"/>
      <c r="NGQ60" s="165"/>
      <c r="NGR60" s="165"/>
      <c r="NGS60" s="165"/>
      <c r="NGT60" s="165"/>
      <c r="NGU60" s="165"/>
      <c r="NGV60" s="165"/>
      <c r="NGW60" s="165"/>
      <c r="NGX60" s="165"/>
      <c r="NGY60" s="165"/>
      <c r="NGZ60" s="165"/>
      <c r="NHA60" s="165"/>
      <c r="NHB60" s="165"/>
      <c r="NHC60" s="165"/>
      <c r="NHD60" s="165"/>
      <c r="NHE60" s="165"/>
      <c r="NHF60" s="165"/>
      <c r="NHG60" s="165"/>
      <c r="NHH60" s="165"/>
      <c r="NHI60" s="165"/>
      <c r="NHJ60" s="165"/>
      <c r="NHK60" s="165"/>
      <c r="NHL60" s="165"/>
      <c r="NHM60" s="165"/>
      <c r="NHN60" s="165"/>
      <c r="NHO60" s="165"/>
      <c r="NHP60" s="165"/>
      <c r="NHQ60" s="165"/>
      <c r="NHR60" s="165"/>
      <c r="NHS60" s="165"/>
      <c r="NHT60" s="165"/>
      <c r="NHU60" s="165"/>
      <c r="NHV60" s="165"/>
      <c r="NHW60" s="165"/>
      <c r="NHX60" s="165"/>
      <c r="NHY60" s="165"/>
      <c r="NHZ60" s="165"/>
      <c r="NIA60" s="165"/>
      <c r="NIB60" s="165"/>
      <c r="NIC60" s="165"/>
      <c r="NID60" s="165"/>
      <c r="NIE60" s="165"/>
      <c r="NIF60" s="165"/>
      <c r="NIG60" s="165"/>
      <c r="NIH60" s="165"/>
      <c r="NII60" s="165"/>
      <c r="NIJ60" s="165"/>
      <c r="NIK60" s="165"/>
      <c r="NIL60" s="165"/>
      <c r="NIM60" s="165"/>
      <c r="NIN60" s="165"/>
      <c r="NIO60" s="165"/>
      <c r="NIP60" s="165"/>
      <c r="NIQ60" s="165"/>
      <c r="NIR60" s="165"/>
      <c r="NIS60" s="165"/>
      <c r="NIT60" s="165"/>
      <c r="NIU60" s="165"/>
      <c r="NIV60" s="165"/>
      <c r="NIW60" s="165"/>
      <c r="NIX60" s="165"/>
      <c r="NIY60" s="165"/>
      <c r="NIZ60" s="165"/>
      <c r="NJA60" s="165"/>
      <c r="NJB60" s="165"/>
      <c r="NJC60" s="165"/>
      <c r="NJD60" s="165"/>
      <c r="NJE60" s="165"/>
      <c r="NJF60" s="165"/>
      <c r="NJG60" s="165"/>
      <c r="NJH60" s="165"/>
      <c r="NJI60" s="165"/>
      <c r="NJJ60" s="165"/>
      <c r="NJK60" s="165"/>
      <c r="NJL60" s="165"/>
      <c r="NJM60" s="165"/>
      <c r="NJN60" s="165"/>
      <c r="NJO60" s="165"/>
      <c r="NJP60" s="165"/>
      <c r="NJQ60" s="165"/>
      <c r="NJR60" s="165"/>
      <c r="NJS60" s="165"/>
      <c r="NJT60" s="165"/>
      <c r="NJU60" s="165"/>
      <c r="NJV60" s="165"/>
      <c r="NJW60" s="165"/>
      <c r="NJX60" s="165"/>
      <c r="NJY60" s="165"/>
      <c r="NJZ60" s="165"/>
      <c r="NKA60" s="165"/>
      <c r="NKB60" s="165"/>
      <c r="NKC60" s="165"/>
      <c r="NKD60" s="165"/>
      <c r="NKE60" s="165"/>
      <c r="NKF60" s="165"/>
      <c r="NKG60" s="165"/>
      <c r="NKH60" s="165"/>
      <c r="NKI60" s="165"/>
      <c r="NKJ60" s="165"/>
      <c r="NKK60" s="165"/>
      <c r="NKL60" s="165"/>
      <c r="NKM60" s="165"/>
      <c r="NKN60" s="165"/>
      <c r="NKO60" s="165"/>
      <c r="NKP60" s="165"/>
      <c r="NKQ60" s="165"/>
      <c r="NKR60" s="165"/>
      <c r="NKS60" s="165"/>
      <c r="NKT60" s="165"/>
      <c r="NKU60" s="165"/>
      <c r="NKV60" s="165"/>
      <c r="NKW60" s="165"/>
      <c r="NKX60" s="165"/>
      <c r="NKY60" s="165"/>
      <c r="NKZ60" s="165"/>
      <c r="NLA60" s="165"/>
      <c r="NLB60" s="165"/>
      <c r="NLC60" s="165"/>
      <c r="NLD60" s="165"/>
      <c r="NLE60" s="165"/>
      <c r="NLF60" s="165"/>
      <c r="NLG60" s="165"/>
      <c r="NLH60" s="165"/>
      <c r="NLI60" s="165"/>
      <c r="NLJ60" s="165"/>
      <c r="NLK60" s="165"/>
      <c r="NLL60" s="165"/>
      <c r="NLM60" s="165"/>
      <c r="NLN60" s="165"/>
      <c r="NLO60" s="165"/>
      <c r="NLP60" s="165"/>
      <c r="NLQ60" s="165"/>
      <c r="NLR60" s="165"/>
      <c r="NLS60" s="165"/>
      <c r="NLT60" s="165"/>
      <c r="NLU60" s="165"/>
      <c r="NLV60" s="165"/>
      <c r="NLW60" s="165"/>
      <c r="NLX60" s="165"/>
      <c r="NLY60" s="165"/>
      <c r="NLZ60" s="165"/>
      <c r="NMA60" s="165"/>
      <c r="NMB60" s="165"/>
      <c r="NMC60" s="165"/>
      <c r="NMD60" s="165"/>
      <c r="NME60" s="165"/>
      <c r="NMF60" s="165"/>
      <c r="NMG60" s="165"/>
      <c r="NMH60" s="165"/>
      <c r="NMI60" s="165"/>
      <c r="NMJ60" s="165"/>
      <c r="NMK60" s="165"/>
      <c r="NML60" s="165"/>
      <c r="NMM60" s="165"/>
      <c r="NMN60" s="165"/>
      <c r="NMO60" s="165"/>
      <c r="NMP60" s="165"/>
      <c r="NMQ60" s="165"/>
      <c r="NMR60" s="165"/>
      <c r="NMS60" s="165"/>
      <c r="NMT60" s="165"/>
      <c r="NMU60" s="165"/>
      <c r="NMV60" s="165"/>
      <c r="NMW60" s="165"/>
      <c r="NMX60" s="165"/>
      <c r="NMY60" s="165"/>
      <c r="NMZ60" s="165"/>
      <c r="NNA60" s="165"/>
      <c r="NNB60" s="165"/>
      <c r="NNC60" s="165"/>
      <c r="NND60" s="165"/>
      <c r="NNE60" s="165"/>
      <c r="NNF60" s="165"/>
      <c r="NNG60" s="165"/>
      <c r="NNH60" s="165"/>
      <c r="NNI60" s="165"/>
      <c r="NNJ60" s="165"/>
      <c r="NNK60" s="165"/>
      <c r="NNL60" s="165"/>
      <c r="NNM60" s="165"/>
      <c r="NNN60" s="165"/>
      <c r="NNO60" s="165"/>
      <c r="NNP60" s="165"/>
      <c r="NNQ60" s="165"/>
      <c r="NNR60" s="165"/>
      <c r="NNS60" s="165"/>
      <c r="NNT60" s="165"/>
      <c r="NNU60" s="165"/>
      <c r="NNV60" s="165"/>
      <c r="NNW60" s="165"/>
      <c r="NNX60" s="165"/>
      <c r="NNY60" s="165"/>
      <c r="NNZ60" s="165"/>
      <c r="NOA60" s="165"/>
      <c r="NOB60" s="165"/>
      <c r="NOC60" s="165"/>
      <c r="NOD60" s="165"/>
      <c r="NOE60" s="165"/>
      <c r="NOF60" s="165"/>
      <c r="NOG60" s="165"/>
      <c r="NOH60" s="165"/>
      <c r="NOI60" s="165"/>
      <c r="NOJ60" s="165"/>
      <c r="NOK60" s="165"/>
      <c r="NOL60" s="165"/>
      <c r="NOM60" s="165"/>
      <c r="NON60" s="165"/>
      <c r="NOO60" s="165"/>
      <c r="NOP60" s="165"/>
      <c r="NOQ60" s="165"/>
      <c r="NOR60" s="165"/>
      <c r="NOS60" s="165"/>
      <c r="NOT60" s="165"/>
      <c r="NOU60" s="165"/>
      <c r="NOV60" s="165"/>
      <c r="NOW60" s="165"/>
      <c r="NOX60" s="165"/>
      <c r="NOY60" s="165"/>
      <c r="NOZ60" s="165"/>
      <c r="NPA60" s="165"/>
      <c r="NPB60" s="165"/>
      <c r="NPC60" s="165"/>
      <c r="NPD60" s="165"/>
      <c r="NPE60" s="165"/>
      <c r="NPF60" s="165"/>
      <c r="NPG60" s="165"/>
      <c r="NPH60" s="165"/>
      <c r="NPI60" s="165"/>
      <c r="NPJ60" s="165"/>
      <c r="NPK60" s="165"/>
      <c r="NPL60" s="165"/>
      <c r="NPM60" s="165"/>
      <c r="NPN60" s="165"/>
      <c r="NPO60" s="165"/>
      <c r="NPP60" s="165"/>
      <c r="NPQ60" s="165"/>
      <c r="NPR60" s="165"/>
      <c r="NPS60" s="165"/>
      <c r="NPT60" s="165"/>
      <c r="NPU60" s="165"/>
      <c r="NPV60" s="165"/>
      <c r="NPW60" s="165"/>
      <c r="NPX60" s="165"/>
      <c r="NPY60" s="165"/>
      <c r="NPZ60" s="165"/>
      <c r="NQA60" s="165"/>
      <c r="NQB60" s="165"/>
      <c r="NQC60" s="165"/>
      <c r="NQD60" s="165"/>
      <c r="NQE60" s="165"/>
      <c r="NQF60" s="165"/>
      <c r="NQG60" s="165"/>
      <c r="NQH60" s="165"/>
      <c r="NQI60" s="165"/>
      <c r="NQJ60" s="165"/>
      <c r="NQK60" s="165"/>
      <c r="NQL60" s="165"/>
      <c r="NQM60" s="165"/>
      <c r="NQN60" s="165"/>
      <c r="NQO60" s="165"/>
      <c r="NQP60" s="165"/>
      <c r="NQQ60" s="165"/>
      <c r="NQR60" s="165"/>
      <c r="NQS60" s="165"/>
      <c r="NQT60" s="165"/>
      <c r="NQU60" s="165"/>
      <c r="NQV60" s="165"/>
      <c r="NQW60" s="165"/>
      <c r="NQX60" s="165"/>
      <c r="NQY60" s="165"/>
      <c r="NQZ60" s="165"/>
      <c r="NRA60" s="165"/>
      <c r="NRB60" s="165"/>
      <c r="NRC60" s="165"/>
      <c r="NRD60" s="165"/>
      <c r="NRE60" s="165"/>
      <c r="NRF60" s="165"/>
      <c r="NRG60" s="165"/>
      <c r="NRH60" s="165"/>
      <c r="NRI60" s="165"/>
      <c r="NRJ60" s="165"/>
      <c r="NRK60" s="165"/>
      <c r="NRL60" s="165"/>
      <c r="NRM60" s="165"/>
      <c r="NRN60" s="165"/>
      <c r="NRO60" s="165"/>
      <c r="NRP60" s="165"/>
      <c r="NRQ60" s="165"/>
      <c r="NRR60" s="165"/>
      <c r="NRS60" s="165"/>
      <c r="NRT60" s="165"/>
      <c r="NRU60" s="165"/>
      <c r="NRV60" s="165"/>
      <c r="NRW60" s="165"/>
      <c r="NRX60" s="165"/>
      <c r="NRY60" s="165"/>
      <c r="NRZ60" s="165"/>
      <c r="NSA60" s="165"/>
      <c r="NSB60" s="165"/>
      <c r="NSC60" s="165"/>
      <c r="NSD60" s="165"/>
      <c r="NSE60" s="165"/>
      <c r="NSF60" s="165"/>
      <c r="NSG60" s="165"/>
      <c r="NSH60" s="165"/>
      <c r="NSI60" s="165"/>
      <c r="NSJ60" s="165"/>
      <c r="NSK60" s="165"/>
      <c r="NSL60" s="165"/>
      <c r="NSM60" s="165"/>
      <c r="NSN60" s="165"/>
      <c r="NSO60" s="165"/>
      <c r="NSP60" s="165"/>
      <c r="NSQ60" s="165"/>
      <c r="NSR60" s="165"/>
      <c r="NSS60" s="165"/>
      <c r="NST60" s="165"/>
      <c r="NSU60" s="165"/>
      <c r="NSV60" s="165"/>
      <c r="NSW60" s="165"/>
      <c r="NSX60" s="165"/>
      <c r="NSY60" s="165"/>
      <c r="NSZ60" s="165"/>
      <c r="NTA60" s="165"/>
      <c r="NTB60" s="165"/>
      <c r="NTC60" s="165"/>
      <c r="NTD60" s="165"/>
      <c r="NTE60" s="165"/>
      <c r="NTF60" s="165"/>
      <c r="NTG60" s="165"/>
      <c r="NTH60" s="165"/>
      <c r="NTI60" s="165"/>
      <c r="NTJ60" s="165"/>
      <c r="NTK60" s="165"/>
      <c r="NTL60" s="165"/>
      <c r="NTM60" s="165"/>
      <c r="NTN60" s="165"/>
      <c r="NTO60" s="165"/>
      <c r="NTP60" s="165"/>
      <c r="NTQ60" s="165"/>
      <c r="NTR60" s="165"/>
      <c r="NTS60" s="165"/>
      <c r="NTT60" s="165"/>
      <c r="NTU60" s="165"/>
      <c r="NTV60" s="165"/>
      <c r="NTW60" s="165"/>
      <c r="NTX60" s="165"/>
      <c r="NTY60" s="165"/>
      <c r="NTZ60" s="165"/>
      <c r="NUA60" s="165"/>
      <c r="NUB60" s="165"/>
      <c r="NUC60" s="165"/>
      <c r="NUD60" s="165"/>
      <c r="NUE60" s="165"/>
      <c r="NUF60" s="165"/>
      <c r="NUG60" s="165"/>
      <c r="NUH60" s="165"/>
      <c r="NUI60" s="165"/>
      <c r="NUJ60" s="165"/>
      <c r="NUK60" s="165"/>
      <c r="NUL60" s="165"/>
      <c r="NUM60" s="165"/>
      <c r="NUN60" s="165"/>
      <c r="NUO60" s="165"/>
      <c r="NUP60" s="165"/>
      <c r="NUQ60" s="165"/>
      <c r="NUR60" s="165"/>
      <c r="NUS60" s="165"/>
      <c r="NUT60" s="165"/>
      <c r="NUU60" s="165"/>
      <c r="NUV60" s="165"/>
      <c r="NUW60" s="165"/>
      <c r="NUX60" s="165"/>
      <c r="NUY60" s="165"/>
      <c r="NUZ60" s="165"/>
      <c r="NVA60" s="165"/>
      <c r="NVB60" s="165"/>
      <c r="NVC60" s="165"/>
      <c r="NVD60" s="165"/>
      <c r="NVE60" s="165"/>
      <c r="NVF60" s="165"/>
      <c r="NVG60" s="165"/>
      <c r="NVH60" s="165"/>
      <c r="NVI60" s="165"/>
      <c r="NVJ60" s="165"/>
      <c r="NVK60" s="165"/>
      <c r="NVL60" s="165"/>
      <c r="NVM60" s="165"/>
      <c r="NVN60" s="165"/>
      <c r="NVO60" s="165"/>
      <c r="NVP60" s="165"/>
      <c r="NVQ60" s="165"/>
      <c r="NVR60" s="165"/>
      <c r="NVS60" s="165"/>
      <c r="NVT60" s="165"/>
      <c r="NVU60" s="165"/>
      <c r="NVV60" s="165"/>
      <c r="NVW60" s="165"/>
      <c r="NVX60" s="165"/>
      <c r="NVY60" s="165"/>
      <c r="NVZ60" s="165"/>
      <c r="NWA60" s="165"/>
      <c r="NWB60" s="165"/>
      <c r="NWC60" s="165"/>
      <c r="NWD60" s="165"/>
      <c r="NWE60" s="165"/>
      <c r="NWF60" s="165"/>
      <c r="NWG60" s="165"/>
      <c r="NWH60" s="165"/>
      <c r="NWI60" s="165"/>
      <c r="NWJ60" s="165"/>
      <c r="NWK60" s="165"/>
      <c r="NWL60" s="165"/>
      <c r="NWM60" s="165"/>
      <c r="NWN60" s="165"/>
      <c r="NWO60" s="165"/>
      <c r="NWP60" s="165"/>
      <c r="NWQ60" s="165"/>
      <c r="NWR60" s="165"/>
      <c r="NWS60" s="165"/>
      <c r="NWT60" s="165"/>
      <c r="NWU60" s="165"/>
      <c r="NWV60" s="165"/>
      <c r="NWW60" s="165"/>
      <c r="NWX60" s="165"/>
      <c r="NWY60" s="165"/>
      <c r="NWZ60" s="165"/>
      <c r="NXA60" s="165"/>
      <c r="NXB60" s="165"/>
      <c r="NXC60" s="165"/>
      <c r="NXD60" s="165"/>
      <c r="NXE60" s="165"/>
      <c r="NXF60" s="165"/>
      <c r="NXG60" s="165"/>
      <c r="NXH60" s="165"/>
      <c r="NXI60" s="165"/>
      <c r="NXJ60" s="165"/>
      <c r="NXK60" s="165"/>
      <c r="NXL60" s="165"/>
      <c r="NXM60" s="165"/>
      <c r="NXN60" s="165"/>
      <c r="NXO60" s="165"/>
      <c r="NXP60" s="165"/>
      <c r="NXQ60" s="165"/>
      <c r="NXR60" s="165"/>
      <c r="NXS60" s="165"/>
      <c r="NXT60" s="165"/>
      <c r="NXU60" s="165"/>
      <c r="NXV60" s="165"/>
      <c r="NXW60" s="165"/>
      <c r="NXX60" s="165"/>
      <c r="NXY60" s="165"/>
      <c r="NXZ60" s="165"/>
      <c r="NYA60" s="165"/>
      <c r="NYB60" s="165"/>
      <c r="NYC60" s="165"/>
      <c r="NYD60" s="165"/>
      <c r="NYE60" s="165"/>
      <c r="NYF60" s="165"/>
      <c r="NYG60" s="165"/>
      <c r="NYH60" s="165"/>
      <c r="NYI60" s="165"/>
      <c r="NYJ60" s="165"/>
      <c r="NYK60" s="165"/>
      <c r="NYL60" s="165"/>
      <c r="NYM60" s="165"/>
      <c r="NYN60" s="165"/>
      <c r="NYO60" s="165"/>
      <c r="NYP60" s="165"/>
      <c r="NYQ60" s="165"/>
      <c r="NYR60" s="165"/>
      <c r="NYS60" s="165"/>
      <c r="NYT60" s="165"/>
      <c r="NYU60" s="165"/>
      <c r="NYV60" s="165"/>
      <c r="NYW60" s="165"/>
      <c r="NYX60" s="165"/>
      <c r="NYY60" s="165"/>
      <c r="NYZ60" s="165"/>
      <c r="NZA60" s="165"/>
      <c r="NZB60" s="165"/>
      <c r="NZC60" s="165"/>
      <c r="NZD60" s="165"/>
      <c r="NZE60" s="165"/>
      <c r="NZF60" s="165"/>
      <c r="NZG60" s="165"/>
      <c r="NZH60" s="165"/>
      <c r="NZI60" s="165"/>
      <c r="NZJ60" s="165"/>
      <c r="NZK60" s="165"/>
      <c r="NZL60" s="165"/>
      <c r="NZM60" s="165"/>
      <c r="NZN60" s="165"/>
      <c r="NZO60" s="165"/>
      <c r="NZP60" s="165"/>
      <c r="NZQ60" s="165"/>
      <c r="NZR60" s="165"/>
      <c r="NZS60" s="165"/>
      <c r="NZT60" s="165"/>
      <c r="NZU60" s="165"/>
      <c r="NZV60" s="165"/>
      <c r="NZW60" s="165"/>
      <c r="NZX60" s="165"/>
      <c r="NZY60" s="165"/>
      <c r="NZZ60" s="165"/>
      <c r="OAA60" s="165"/>
      <c r="OAB60" s="165"/>
      <c r="OAC60" s="165"/>
      <c r="OAD60" s="165"/>
      <c r="OAE60" s="165"/>
      <c r="OAF60" s="165"/>
      <c r="OAG60" s="165"/>
      <c r="OAH60" s="165"/>
      <c r="OAI60" s="165"/>
      <c r="OAJ60" s="165"/>
      <c r="OAK60" s="165"/>
      <c r="OAL60" s="165"/>
      <c r="OAM60" s="165"/>
      <c r="OAN60" s="165"/>
      <c r="OAO60" s="165"/>
      <c r="OAP60" s="165"/>
      <c r="OAQ60" s="165"/>
      <c r="OAR60" s="165"/>
      <c r="OAS60" s="165"/>
      <c r="OAT60" s="165"/>
      <c r="OAU60" s="165"/>
      <c r="OAV60" s="165"/>
      <c r="OAW60" s="165"/>
      <c r="OAX60" s="165"/>
      <c r="OAY60" s="165"/>
      <c r="OAZ60" s="165"/>
      <c r="OBA60" s="165"/>
      <c r="OBB60" s="165"/>
      <c r="OBC60" s="165"/>
      <c r="OBD60" s="165"/>
      <c r="OBE60" s="165"/>
      <c r="OBF60" s="165"/>
      <c r="OBG60" s="165"/>
      <c r="OBH60" s="165"/>
      <c r="OBI60" s="165"/>
      <c r="OBJ60" s="165"/>
      <c r="OBK60" s="165"/>
      <c r="OBL60" s="165"/>
      <c r="OBM60" s="165"/>
      <c r="OBN60" s="165"/>
      <c r="OBO60" s="165"/>
      <c r="OBP60" s="165"/>
      <c r="OBQ60" s="165"/>
      <c r="OBR60" s="165"/>
      <c r="OBS60" s="165"/>
      <c r="OBT60" s="165"/>
      <c r="OBU60" s="165"/>
      <c r="OBV60" s="165"/>
      <c r="OBW60" s="165"/>
      <c r="OBX60" s="165"/>
      <c r="OBY60" s="165"/>
      <c r="OBZ60" s="165"/>
      <c r="OCA60" s="165"/>
      <c r="OCB60" s="165"/>
      <c r="OCC60" s="165"/>
      <c r="OCD60" s="165"/>
      <c r="OCE60" s="165"/>
      <c r="OCF60" s="165"/>
      <c r="OCG60" s="165"/>
      <c r="OCH60" s="165"/>
      <c r="OCI60" s="165"/>
      <c r="OCJ60" s="165"/>
      <c r="OCK60" s="165"/>
      <c r="OCL60" s="165"/>
      <c r="OCM60" s="165"/>
      <c r="OCN60" s="165"/>
      <c r="OCO60" s="165"/>
      <c r="OCP60" s="165"/>
      <c r="OCQ60" s="165"/>
      <c r="OCR60" s="165"/>
      <c r="OCS60" s="165"/>
      <c r="OCT60" s="165"/>
      <c r="OCU60" s="165"/>
      <c r="OCV60" s="165"/>
      <c r="OCW60" s="165"/>
      <c r="OCX60" s="165"/>
      <c r="OCY60" s="165"/>
      <c r="OCZ60" s="165"/>
      <c r="ODA60" s="165"/>
      <c r="ODB60" s="165"/>
      <c r="ODC60" s="165"/>
      <c r="ODD60" s="165"/>
      <c r="ODE60" s="165"/>
      <c r="ODF60" s="165"/>
      <c r="ODG60" s="165"/>
      <c r="ODH60" s="165"/>
      <c r="ODI60" s="165"/>
      <c r="ODJ60" s="165"/>
      <c r="ODK60" s="165"/>
      <c r="ODL60" s="165"/>
      <c r="ODM60" s="165"/>
      <c r="ODN60" s="165"/>
      <c r="ODO60" s="165"/>
      <c r="ODP60" s="165"/>
      <c r="ODQ60" s="165"/>
      <c r="ODR60" s="165"/>
      <c r="ODS60" s="165"/>
      <c r="ODT60" s="165"/>
      <c r="ODU60" s="165"/>
      <c r="ODV60" s="165"/>
      <c r="ODW60" s="165"/>
      <c r="ODX60" s="165"/>
      <c r="ODY60" s="165"/>
      <c r="ODZ60" s="165"/>
      <c r="OEA60" s="165"/>
      <c r="OEB60" s="165"/>
      <c r="OEC60" s="165"/>
      <c r="OED60" s="165"/>
      <c r="OEE60" s="165"/>
      <c r="OEF60" s="165"/>
      <c r="OEG60" s="165"/>
      <c r="OEH60" s="165"/>
      <c r="OEI60" s="165"/>
      <c r="OEJ60" s="165"/>
      <c r="OEK60" s="165"/>
      <c r="OEL60" s="165"/>
      <c r="OEM60" s="165"/>
      <c r="OEN60" s="165"/>
      <c r="OEO60" s="165"/>
      <c r="OEP60" s="165"/>
      <c r="OEQ60" s="165"/>
      <c r="OER60" s="165"/>
      <c r="OES60" s="165"/>
      <c r="OET60" s="165"/>
      <c r="OEU60" s="165"/>
      <c r="OEV60" s="165"/>
      <c r="OEW60" s="165"/>
      <c r="OEX60" s="165"/>
      <c r="OEY60" s="165"/>
      <c r="OEZ60" s="165"/>
      <c r="OFA60" s="165"/>
      <c r="OFB60" s="165"/>
      <c r="OFC60" s="165"/>
      <c r="OFD60" s="165"/>
      <c r="OFE60" s="165"/>
      <c r="OFF60" s="165"/>
      <c r="OFG60" s="165"/>
      <c r="OFH60" s="165"/>
      <c r="OFI60" s="165"/>
      <c r="OFJ60" s="165"/>
      <c r="OFK60" s="165"/>
      <c r="OFL60" s="165"/>
      <c r="OFM60" s="165"/>
      <c r="OFN60" s="165"/>
      <c r="OFO60" s="165"/>
      <c r="OFP60" s="165"/>
      <c r="OFQ60" s="165"/>
      <c r="OFR60" s="165"/>
      <c r="OFS60" s="165"/>
      <c r="OFT60" s="165"/>
      <c r="OFU60" s="165"/>
      <c r="OFV60" s="165"/>
      <c r="OFW60" s="165"/>
      <c r="OFX60" s="165"/>
      <c r="OFY60" s="165"/>
      <c r="OFZ60" s="165"/>
      <c r="OGA60" s="165"/>
      <c r="OGB60" s="165"/>
      <c r="OGC60" s="165"/>
      <c r="OGD60" s="165"/>
      <c r="OGE60" s="165"/>
      <c r="OGF60" s="165"/>
      <c r="OGG60" s="165"/>
      <c r="OGH60" s="165"/>
      <c r="OGI60" s="165"/>
      <c r="OGJ60" s="165"/>
      <c r="OGK60" s="165"/>
      <c r="OGL60" s="165"/>
      <c r="OGM60" s="165"/>
      <c r="OGN60" s="165"/>
      <c r="OGO60" s="165"/>
      <c r="OGP60" s="165"/>
      <c r="OGQ60" s="165"/>
      <c r="OGR60" s="165"/>
      <c r="OGS60" s="165"/>
      <c r="OGT60" s="165"/>
      <c r="OGU60" s="165"/>
      <c r="OGV60" s="165"/>
      <c r="OGW60" s="165"/>
      <c r="OGX60" s="165"/>
      <c r="OGY60" s="165"/>
      <c r="OGZ60" s="165"/>
      <c r="OHA60" s="165"/>
      <c r="OHB60" s="165"/>
      <c r="OHC60" s="165"/>
      <c r="OHD60" s="165"/>
      <c r="OHE60" s="165"/>
      <c r="OHF60" s="165"/>
      <c r="OHG60" s="165"/>
      <c r="OHH60" s="165"/>
      <c r="OHI60" s="165"/>
      <c r="OHJ60" s="165"/>
      <c r="OHK60" s="165"/>
      <c r="OHL60" s="165"/>
      <c r="OHM60" s="165"/>
      <c r="OHN60" s="165"/>
      <c r="OHO60" s="165"/>
      <c r="OHP60" s="165"/>
      <c r="OHQ60" s="165"/>
      <c r="OHR60" s="165"/>
      <c r="OHS60" s="165"/>
      <c r="OHT60" s="165"/>
      <c r="OHU60" s="165"/>
      <c r="OHV60" s="165"/>
      <c r="OHW60" s="165"/>
      <c r="OHX60" s="165"/>
      <c r="OHY60" s="165"/>
      <c r="OHZ60" s="165"/>
      <c r="OIA60" s="165"/>
      <c r="OIB60" s="165"/>
      <c r="OIC60" s="165"/>
      <c r="OID60" s="165"/>
      <c r="OIE60" s="165"/>
      <c r="OIF60" s="165"/>
      <c r="OIG60" s="165"/>
      <c r="OIH60" s="165"/>
      <c r="OII60" s="165"/>
      <c r="OIJ60" s="165"/>
      <c r="OIK60" s="165"/>
      <c r="OIL60" s="165"/>
      <c r="OIM60" s="165"/>
      <c r="OIN60" s="165"/>
      <c r="OIO60" s="165"/>
      <c r="OIP60" s="165"/>
      <c r="OIQ60" s="165"/>
      <c r="OIR60" s="165"/>
      <c r="OIS60" s="165"/>
      <c r="OIT60" s="165"/>
      <c r="OIU60" s="165"/>
      <c r="OIV60" s="165"/>
      <c r="OIW60" s="165"/>
      <c r="OIX60" s="165"/>
      <c r="OIY60" s="165"/>
      <c r="OIZ60" s="165"/>
      <c r="OJA60" s="165"/>
      <c r="OJB60" s="165"/>
      <c r="OJC60" s="165"/>
      <c r="OJD60" s="165"/>
      <c r="OJE60" s="165"/>
      <c r="OJF60" s="165"/>
      <c r="OJG60" s="165"/>
      <c r="OJH60" s="165"/>
      <c r="OJI60" s="165"/>
      <c r="OJJ60" s="165"/>
      <c r="OJK60" s="165"/>
      <c r="OJL60" s="165"/>
      <c r="OJM60" s="165"/>
      <c r="OJN60" s="165"/>
      <c r="OJO60" s="165"/>
      <c r="OJP60" s="165"/>
      <c r="OJQ60" s="165"/>
      <c r="OJR60" s="165"/>
      <c r="OJS60" s="165"/>
      <c r="OJT60" s="165"/>
      <c r="OJU60" s="165"/>
      <c r="OJV60" s="165"/>
      <c r="OJW60" s="165"/>
      <c r="OJX60" s="165"/>
      <c r="OJY60" s="165"/>
      <c r="OJZ60" s="165"/>
      <c r="OKA60" s="165"/>
      <c r="OKB60" s="165"/>
      <c r="OKC60" s="165"/>
      <c r="OKD60" s="165"/>
      <c r="OKE60" s="165"/>
      <c r="OKF60" s="165"/>
      <c r="OKG60" s="165"/>
      <c r="OKH60" s="165"/>
      <c r="OKI60" s="165"/>
      <c r="OKJ60" s="165"/>
      <c r="OKK60" s="165"/>
      <c r="OKL60" s="165"/>
      <c r="OKM60" s="165"/>
      <c r="OKN60" s="165"/>
      <c r="OKO60" s="165"/>
      <c r="OKP60" s="165"/>
      <c r="OKQ60" s="165"/>
      <c r="OKR60" s="165"/>
      <c r="OKS60" s="165"/>
      <c r="OKT60" s="165"/>
      <c r="OKU60" s="165"/>
      <c r="OKV60" s="165"/>
      <c r="OKW60" s="165"/>
      <c r="OKX60" s="165"/>
      <c r="OKY60" s="165"/>
      <c r="OKZ60" s="165"/>
      <c r="OLA60" s="165"/>
      <c r="OLB60" s="165"/>
      <c r="OLC60" s="165"/>
      <c r="OLD60" s="165"/>
      <c r="OLE60" s="165"/>
      <c r="OLF60" s="165"/>
      <c r="OLG60" s="165"/>
      <c r="OLH60" s="165"/>
      <c r="OLI60" s="165"/>
      <c r="OLJ60" s="165"/>
      <c r="OLK60" s="165"/>
      <c r="OLL60" s="165"/>
      <c r="OLM60" s="165"/>
      <c r="OLN60" s="165"/>
      <c r="OLO60" s="165"/>
      <c r="OLP60" s="165"/>
      <c r="OLQ60" s="165"/>
      <c r="OLR60" s="165"/>
      <c r="OLS60" s="165"/>
      <c r="OLT60" s="165"/>
      <c r="OLU60" s="165"/>
      <c r="OLV60" s="165"/>
      <c r="OLW60" s="165"/>
      <c r="OLX60" s="165"/>
      <c r="OLY60" s="165"/>
      <c r="OLZ60" s="165"/>
      <c r="OMA60" s="165"/>
      <c r="OMB60" s="165"/>
      <c r="OMC60" s="165"/>
      <c r="OMD60" s="165"/>
      <c r="OME60" s="165"/>
      <c r="OMF60" s="165"/>
      <c r="OMG60" s="165"/>
      <c r="OMH60" s="165"/>
      <c r="OMI60" s="165"/>
      <c r="OMJ60" s="165"/>
      <c r="OMK60" s="165"/>
      <c r="OML60" s="165"/>
      <c r="OMM60" s="165"/>
      <c r="OMN60" s="165"/>
      <c r="OMO60" s="165"/>
      <c r="OMP60" s="165"/>
      <c r="OMQ60" s="165"/>
      <c r="OMR60" s="165"/>
      <c r="OMS60" s="165"/>
      <c r="OMT60" s="165"/>
      <c r="OMU60" s="165"/>
      <c r="OMV60" s="165"/>
      <c r="OMW60" s="165"/>
      <c r="OMX60" s="165"/>
      <c r="OMY60" s="165"/>
      <c r="OMZ60" s="165"/>
      <c r="ONA60" s="165"/>
      <c r="ONB60" s="165"/>
      <c r="ONC60" s="165"/>
      <c r="OND60" s="165"/>
      <c r="ONE60" s="165"/>
      <c r="ONF60" s="165"/>
      <c r="ONG60" s="165"/>
      <c r="ONH60" s="165"/>
      <c r="ONI60" s="165"/>
      <c r="ONJ60" s="165"/>
      <c r="ONK60" s="165"/>
      <c r="ONL60" s="165"/>
      <c r="ONM60" s="165"/>
      <c r="ONN60" s="165"/>
      <c r="ONO60" s="165"/>
      <c r="ONP60" s="165"/>
      <c r="ONQ60" s="165"/>
      <c r="ONR60" s="165"/>
      <c r="ONS60" s="165"/>
      <c r="ONT60" s="165"/>
      <c r="ONU60" s="165"/>
      <c r="ONV60" s="165"/>
      <c r="ONW60" s="165"/>
      <c r="ONX60" s="165"/>
      <c r="ONY60" s="165"/>
      <c r="ONZ60" s="165"/>
      <c r="OOA60" s="165"/>
      <c r="OOB60" s="165"/>
      <c r="OOC60" s="165"/>
      <c r="OOD60" s="165"/>
      <c r="OOE60" s="165"/>
      <c r="OOF60" s="165"/>
      <c r="OOG60" s="165"/>
      <c r="OOH60" s="165"/>
      <c r="OOI60" s="165"/>
      <c r="OOJ60" s="165"/>
      <c r="OOK60" s="165"/>
      <c r="OOL60" s="165"/>
      <c r="OOM60" s="165"/>
      <c r="OON60" s="165"/>
      <c r="OOO60" s="165"/>
      <c r="OOP60" s="165"/>
      <c r="OOQ60" s="165"/>
      <c r="OOR60" s="165"/>
      <c r="OOS60" s="165"/>
      <c r="OOT60" s="165"/>
      <c r="OOU60" s="165"/>
      <c r="OOV60" s="165"/>
      <c r="OOW60" s="165"/>
      <c r="OOX60" s="165"/>
      <c r="OOY60" s="165"/>
      <c r="OOZ60" s="165"/>
      <c r="OPA60" s="165"/>
      <c r="OPB60" s="165"/>
      <c r="OPC60" s="165"/>
      <c r="OPD60" s="165"/>
      <c r="OPE60" s="165"/>
      <c r="OPF60" s="165"/>
      <c r="OPG60" s="165"/>
      <c r="OPH60" s="165"/>
      <c r="OPI60" s="165"/>
      <c r="OPJ60" s="165"/>
      <c r="OPK60" s="165"/>
      <c r="OPL60" s="165"/>
      <c r="OPM60" s="165"/>
      <c r="OPN60" s="165"/>
      <c r="OPO60" s="165"/>
      <c r="OPP60" s="165"/>
      <c r="OPQ60" s="165"/>
      <c r="OPR60" s="165"/>
      <c r="OPS60" s="165"/>
      <c r="OPT60" s="165"/>
      <c r="OPU60" s="165"/>
      <c r="OPV60" s="165"/>
      <c r="OPW60" s="165"/>
      <c r="OPX60" s="165"/>
      <c r="OPY60" s="165"/>
      <c r="OPZ60" s="165"/>
      <c r="OQA60" s="165"/>
      <c r="OQB60" s="165"/>
      <c r="OQC60" s="165"/>
      <c r="OQD60" s="165"/>
      <c r="OQE60" s="165"/>
      <c r="OQF60" s="165"/>
      <c r="OQG60" s="165"/>
      <c r="OQH60" s="165"/>
      <c r="OQI60" s="165"/>
      <c r="OQJ60" s="165"/>
      <c r="OQK60" s="165"/>
      <c r="OQL60" s="165"/>
      <c r="OQM60" s="165"/>
      <c r="OQN60" s="165"/>
      <c r="OQO60" s="165"/>
      <c r="OQP60" s="165"/>
      <c r="OQQ60" s="165"/>
      <c r="OQR60" s="165"/>
      <c r="OQS60" s="165"/>
      <c r="OQT60" s="165"/>
      <c r="OQU60" s="165"/>
      <c r="OQV60" s="165"/>
      <c r="OQW60" s="165"/>
      <c r="OQX60" s="165"/>
      <c r="OQY60" s="165"/>
      <c r="OQZ60" s="165"/>
      <c r="ORA60" s="165"/>
      <c r="ORB60" s="165"/>
      <c r="ORC60" s="165"/>
      <c r="ORD60" s="165"/>
      <c r="ORE60" s="165"/>
      <c r="ORF60" s="165"/>
      <c r="ORG60" s="165"/>
      <c r="ORH60" s="165"/>
      <c r="ORI60" s="165"/>
      <c r="ORJ60" s="165"/>
      <c r="ORK60" s="165"/>
      <c r="ORL60" s="165"/>
      <c r="ORM60" s="165"/>
      <c r="ORN60" s="165"/>
      <c r="ORO60" s="165"/>
      <c r="ORP60" s="165"/>
      <c r="ORQ60" s="165"/>
      <c r="ORR60" s="165"/>
      <c r="ORS60" s="165"/>
      <c r="ORT60" s="165"/>
      <c r="ORU60" s="165"/>
      <c r="ORV60" s="165"/>
      <c r="ORW60" s="165"/>
      <c r="ORX60" s="165"/>
      <c r="ORY60" s="165"/>
      <c r="ORZ60" s="165"/>
      <c r="OSA60" s="165"/>
      <c r="OSB60" s="165"/>
      <c r="OSC60" s="165"/>
      <c r="OSD60" s="165"/>
      <c r="OSE60" s="165"/>
      <c r="OSF60" s="165"/>
      <c r="OSG60" s="165"/>
      <c r="OSH60" s="165"/>
      <c r="OSI60" s="165"/>
      <c r="OSJ60" s="165"/>
      <c r="OSK60" s="165"/>
      <c r="OSL60" s="165"/>
      <c r="OSM60" s="165"/>
      <c r="OSN60" s="165"/>
      <c r="OSO60" s="165"/>
      <c r="OSP60" s="165"/>
      <c r="OSQ60" s="165"/>
      <c r="OSR60" s="165"/>
      <c r="OSS60" s="165"/>
      <c r="OST60" s="165"/>
      <c r="OSU60" s="165"/>
      <c r="OSV60" s="165"/>
      <c r="OSW60" s="165"/>
      <c r="OSX60" s="165"/>
      <c r="OSY60" s="165"/>
      <c r="OSZ60" s="165"/>
      <c r="OTA60" s="165"/>
      <c r="OTB60" s="165"/>
      <c r="OTC60" s="165"/>
      <c r="OTD60" s="165"/>
      <c r="OTE60" s="165"/>
      <c r="OTF60" s="165"/>
      <c r="OTG60" s="165"/>
      <c r="OTH60" s="165"/>
      <c r="OTI60" s="165"/>
      <c r="OTJ60" s="165"/>
      <c r="OTK60" s="165"/>
      <c r="OTL60" s="165"/>
      <c r="OTM60" s="165"/>
      <c r="OTN60" s="165"/>
      <c r="OTO60" s="165"/>
      <c r="OTP60" s="165"/>
      <c r="OTQ60" s="165"/>
      <c r="OTR60" s="165"/>
      <c r="OTS60" s="165"/>
      <c r="OTT60" s="165"/>
      <c r="OTU60" s="165"/>
      <c r="OTV60" s="165"/>
      <c r="OTW60" s="165"/>
      <c r="OTX60" s="165"/>
      <c r="OTY60" s="165"/>
      <c r="OTZ60" s="165"/>
      <c r="OUA60" s="165"/>
      <c r="OUB60" s="165"/>
      <c r="OUC60" s="165"/>
      <c r="OUD60" s="165"/>
      <c r="OUE60" s="165"/>
      <c r="OUF60" s="165"/>
      <c r="OUG60" s="165"/>
      <c r="OUH60" s="165"/>
      <c r="OUI60" s="165"/>
      <c r="OUJ60" s="165"/>
      <c r="OUK60" s="165"/>
      <c r="OUL60" s="165"/>
      <c r="OUM60" s="165"/>
      <c r="OUN60" s="165"/>
      <c r="OUO60" s="165"/>
      <c r="OUP60" s="165"/>
      <c r="OUQ60" s="165"/>
      <c r="OUR60" s="165"/>
      <c r="OUS60" s="165"/>
      <c r="OUT60" s="165"/>
      <c r="OUU60" s="165"/>
      <c r="OUV60" s="165"/>
      <c r="OUW60" s="165"/>
      <c r="OUX60" s="165"/>
      <c r="OUY60" s="165"/>
      <c r="OUZ60" s="165"/>
      <c r="OVA60" s="165"/>
      <c r="OVB60" s="165"/>
      <c r="OVC60" s="165"/>
      <c r="OVD60" s="165"/>
      <c r="OVE60" s="165"/>
      <c r="OVF60" s="165"/>
      <c r="OVG60" s="165"/>
      <c r="OVH60" s="165"/>
      <c r="OVI60" s="165"/>
      <c r="OVJ60" s="165"/>
      <c r="OVK60" s="165"/>
      <c r="OVL60" s="165"/>
      <c r="OVM60" s="165"/>
      <c r="OVN60" s="165"/>
      <c r="OVO60" s="165"/>
      <c r="OVP60" s="165"/>
      <c r="OVQ60" s="165"/>
      <c r="OVR60" s="165"/>
      <c r="OVS60" s="165"/>
      <c r="OVT60" s="165"/>
      <c r="OVU60" s="165"/>
      <c r="OVV60" s="165"/>
      <c r="OVW60" s="165"/>
      <c r="OVX60" s="165"/>
      <c r="OVY60" s="165"/>
      <c r="OVZ60" s="165"/>
      <c r="OWA60" s="165"/>
      <c r="OWB60" s="165"/>
      <c r="OWC60" s="165"/>
      <c r="OWD60" s="165"/>
      <c r="OWE60" s="165"/>
      <c r="OWF60" s="165"/>
      <c r="OWG60" s="165"/>
      <c r="OWH60" s="165"/>
      <c r="OWI60" s="165"/>
      <c r="OWJ60" s="165"/>
      <c r="OWK60" s="165"/>
      <c r="OWL60" s="165"/>
      <c r="OWM60" s="165"/>
      <c r="OWN60" s="165"/>
      <c r="OWO60" s="165"/>
      <c r="OWP60" s="165"/>
      <c r="OWQ60" s="165"/>
      <c r="OWR60" s="165"/>
      <c r="OWS60" s="165"/>
      <c r="OWT60" s="165"/>
      <c r="OWU60" s="165"/>
      <c r="OWV60" s="165"/>
      <c r="OWW60" s="165"/>
      <c r="OWX60" s="165"/>
      <c r="OWY60" s="165"/>
      <c r="OWZ60" s="165"/>
      <c r="OXA60" s="165"/>
      <c r="OXB60" s="165"/>
      <c r="OXC60" s="165"/>
      <c r="OXD60" s="165"/>
      <c r="OXE60" s="165"/>
      <c r="OXF60" s="165"/>
      <c r="OXG60" s="165"/>
      <c r="OXH60" s="165"/>
      <c r="OXI60" s="165"/>
      <c r="OXJ60" s="165"/>
      <c r="OXK60" s="165"/>
      <c r="OXL60" s="165"/>
      <c r="OXM60" s="165"/>
      <c r="OXN60" s="165"/>
      <c r="OXO60" s="165"/>
      <c r="OXP60" s="165"/>
      <c r="OXQ60" s="165"/>
      <c r="OXR60" s="165"/>
      <c r="OXS60" s="165"/>
      <c r="OXT60" s="165"/>
      <c r="OXU60" s="165"/>
      <c r="OXV60" s="165"/>
      <c r="OXW60" s="165"/>
      <c r="OXX60" s="165"/>
      <c r="OXY60" s="165"/>
      <c r="OXZ60" s="165"/>
      <c r="OYA60" s="165"/>
      <c r="OYB60" s="165"/>
      <c r="OYC60" s="165"/>
      <c r="OYD60" s="165"/>
      <c r="OYE60" s="165"/>
      <c r="OYF60" s="165"/>
      <c r="OYG60" s="165"/>
      <c r="OYH60" s="165"/>
      <c r="OYI60" s="165"/>
      <c r="OYJ60" s="165"/>
      <c r="OYK60" s="165"/>
      <c r="OYL60" s="165"/>
      <c r="OYM60" s="165"/>
      <c r="OYN60" s="165"/>
      <c r="OYO60" s="165"/>
      <c r="OYP60" s="165"/>
      <c r="OYQ60" s="165"/>
      <c r="OYR60" s="165"/>
      <c r="OYS60" s="165"/>
      <c r="OYT60" s="165"/>
      <c r="OYU60" s="165"/>
      <c r="OYV60" s="165"/>
      <c r="OYW60" s="165"/>
      <c r="OYX60" s="165"/>
      <c r="OYY60" s="165"/>
      <c r="OYZ60" s="165"/>
      <c r="OZA60" s="165"/>
      <c r="OZB60" s="165"/>
      <c r="OZC60" s="165"/>
      <c r="OZD60" s="165"/>
      <c r="OZE60" s="165"/>
      <c r="OZF60" s="165"/>
      <c r="OZG60" s="165"/>
      <c r="OZH60" s="165"/>
      <c r="OZI60" s="165"/>
      <c r="OZJ60" s="165"/>
      <c r="OZK60" s="165"/>
      <c r="OZL60" s="165"/>
      <c r="OZM60" s="165"/>
      <c r="OZN60" s="165"/>
      <c r="OZO60" s="165"/>
      <c r="OZP60" s="165"/>
      <c r="OZQ60" s="165"/>
      <c r="OZR60" s="165"/>
      <c r="OZS60" s="165"/>
      <c r="OZT60" s="165"/>
      <c r="OZU60" s="165"/>
      <c r="OZV60" s="165"/>
      <c r="OZW60" s="165"/>
      <c r="OZX60" s="165"/>
      <c r="OZY60" s="165"/>
      <c r="OZZ60" s="165"/>
      <c r="PAA60" s="165"/>
      <c r="PAB60" s="165"/>
      <c r="PAC60" s="165"/>
      <c r="PAD60" s="165"/>
      <c r="PAE60" s="165"/>
      <c r="PAF60" s="165"/>
      <c r="PAG60" s="165"/>
      <c r="PAH60" s="165"/>
      <c r="PAI60" s="165"/>
      <c r="PAJ60" s="165"/>
      <c r="PAK60" s="165"/>
      <c r="PAL60" s="165"/>
      <c r="PAM60" s="165"/>
      <c r="PAN60" s="165"/>
      <c r="PAO60" s="165"/>
      <c r="PAP60" s="165"/>
      <c r="PAQ60" s="165"/>
      <c r="PAR60" s="165"/>
      <c r="PAS60" s="165"/>
      <c r="PAT60" s="165"/>
      <c r="PAU60" s="165"/>
      <c r="PAV60" s="165"/>
      <c r="PAW60" s="165"/>
      <c r="PAX60" s="165"/>
      <c r="PAY60" s="165"/>
      <c r="PAZ60" s="165"/>
      <c r="PBA60" s="165"/>
      <c r="PBB60" s="165"/>
      <c r="PBC60" s="165"/>
      <c r="PBD60" s="165"/>
      <c r="PBE60" s="165"/>
      <c r="PBF60" s="165"/>
      <c r="PBG60" s="165"/>
      <c r="PBH60" s="165"/>
      <c r="PBI60" s="165"/>
      <c r="PBJ60" s="165"/>
      <c r="PBK60" s="165"/>
      <c r="PBL60" s="165"/>
      <c r="PBM60" s="165"/>
      <c r="PBN60" s="165"/>
      <c r="PBO60" s="165"/>
      <c r="PBP60" s="165"/>
      <c r="PBQ60" s="165"/>
      <c r="PBR60" s="165"/>
      <c r="PBS60" s="165"/>
      <c r="PBT60" s="165"/>
      <c r="PBU60" s="165"/>
      <c r="PBV60" s="165"/>
      <c r="PBW60" s="165"/>
      <c r="PBX60" s="165"/>
      <c r="PBY60" s="165"/>
      <c r="PBZ60" s="165"/>
      <c r="PCA60" s="165"/>
      <c r="PCB60" s="165"/>
      <c r="PCC60" s="165"/>
      <c r="PCD60" s="165"/>
      <c r="PCE60" s="165"/>
      <c r="PCF60" s="165"/>
      <c r="PCG60" s="165"/>
      <c r="PCH60" s="165"/>
      <c r="PCI60" s="165"/>
      <c r="PCJ60" s="165"/>
      <c r="PCK60" s="165"/>
      <c r="PCL60" s="165"/>
      <c r="PCM60" s="165"/>
      <c r="PCN60" s="165"/>
      <c r="PCO60" s="165"/>
      <c r="PCP60" s="165"/>
      <c r="PCQ60" s="165"/>
      <c r="PCR60" s="165"/>
      <c r="PCS60" s="165"/>
      <c r="PCT60" s="165"/>
      <c r="PCU60" s="165"/>
      <c r="PCV60" s="165"/>
      <c r="PCW60" s="165"/>
      <c r="PCX60" s="165"/>
      <c r="PCY60" s="165"/>
      <c r="PCZ60" s="165"/>
      <c r="PDA60" s="165"/>
      <c r="PDB60" s="165"/>
      <c r="PDC60" s="165"/>
      <c r="PDD60" s="165"/>
      <c r="PDE60" s="165"/>
      <c r="PDF60" s="165"/>
      <c r="PDG60" s="165"/>
      <c r="PDH60" s="165"/>
      <c r="PDI60" s="165"/>
      <c r="PDJ60" s="165"/>
      <c r="PDK60" s="165"/>
      <c r="PDL60" s="165"/>
      <c r="PDM60" s="165"/>
      <c r="PDN60" s="165"/>
      <c r="PDO60" s="165"/>
      <c r="PDP60" s="165"/>
      <c r="PDQ60" s="165"/>
      <c r="PDR60" s="165"/>
      <c r="PDS60" s="165"/>
      <c r="PDT60" s="165"/>
      <c r="PDU60" s="165"/>
      <c r="PDV60" s="165"/>
      <c r="PDW60" s="165"/>
      <c r="PDX60" s="165"/>
      <c r="PDY60" s="165"/>
      <c r="PDZ60" s="165"/>
      <c r="PEA60" s="165"/>
      <c r="PEB60" s="165"/>
      <c r="PEC60" s="165"/>
      <c r="PED60" s="165"/>
      <c r="PEE60" s="165"/>
      <c r="PEF60" s="165"/>
      <c r="PEG60" s="165"/>
      <c r="PEH60" s="165"/>
      <c r="PEI60" s="165"/>
      <c r="PEJ60" s="165"/>
      <c r="PEK60" s="165"/>
      <c r="PEL60" s="165"/>
      <c r="PEM60" s="165"/>
      <c r="PEN60" s="165"/>
      <c r="PEO60" s="165"/>
      <c r="PEP60" s="165"/>
      <c r="PEQ60" s="165"/>
      <c r="PER60" s="165"/>
      <c r="PES60" s="165"/>
      <c r="PET60" s="165"/>
      <c r="PEU60" s="165"/>
      <c r="PEV60" s="165"/>
      <c r="PEW60" s="165"/>
      <c r="PEX60" s="165"/>
      <c r="PEY60" s="165"/>
      <c r="PEZ60" s="165"/>
      <c r="PFA60" s="165"/>
      <c r="PFB60" s="165"/>
      <c r="PFC60" s="165"/>
      <c r="PFD60" s="165"/>
      <c r="PFE60" s="165"/>
      <c r="PFF60" s="165"/>
      <c r="PFG60" s="165"/>
      <c r="PFH60" s="165"/>
      <c r="PFI60" s="165"/>
      <c r="PFJ60" s="165"/>
      <c r="PFK60" s="165"/>
      <c r="PFL60" s="165"/>
      <c r="PFM60" s="165"/>
      <c r="PFN60" s="165"/>
      <c r="PFO60" s="165"/>
      <c r="PFP60" s="165"/>
      <c r="PFQ60" s="165"/>
      <c r="PFR60" s="165"/>
      <c r="PFS60" s="165"/>
      <c r="PFT60" s="165"/>
      <c r="PFU60" s="165"/>
      <c r="PFV60" s="165"/>
      <c r="PFW60" s="165"/>
      <c r="PFX60" s="165"/>
      <c r="PFY60" s="165"/>
      <c r="PFZ60" s="165"/>
      <c r="PGA60" s="165"/>
      <c r="PGB60" s="165"/>
      <c r="PGC60" s="165"/>
      <c r="PGD60" s="165"/>
      <c r="PGE60" s="165"/>
      <c r="PGF60" s="165"/>
      <c r="PGG60" s="165"/>
      <c r="PGH60" s="165"/>
      <c r="PGI60" s="165"/>
      <c r="PGJ60" s="165"/>
      <c r="PGK60" s="165"/>
      <c r="PGL60" s="165"/>
      <c r="PGM60" s="165"/>
      <c r="PGN60" s="165"/>
      <c r="PGO60" s="165"/>
      <c r="PGP60" s="165"/>
      <c r="PGQ60" s="165"/>
      <c r="PGR60" s="165"/>
      <c r="PGS60" s="165"/>
      <c r="PGT60" s="165"/>
      <c r="PGU60" s="165"/>
      <c r="PGV60" s="165"/>
      <c r="PGW60" s="165"/>
      <c r="PGX60" s="165"/>
      <c r="PGY60" s="165"/>
      <c r="PGZ60" s="165"/>
      <c r="PHA60" s="165"/>
      <c r="PHB60" s="165"/>
      <c r="PHC60" s="165"/>
      <c r="PHD60" s="165"/>
      <c r="PHE60" s="165"/>
      <c r="PHF60" s="165"/>
      <c r="PHG60" s="165"/>
      <c r="PHH60" s="165"/>
      <c r="PHI60" s="165"/>
      <c r="PHJ60" s="165"/>
      <c r="PHK60" s="165"/>
      <c r="PHL60" s="165"/>
      <c r="PHM60" s="165"/>
      <c r="PHN60" s="165"/>
      <c r="PHO60" s="165"/>
      <c r="PHP60" s="165"/>
      <c r="PHQ60" s="165"/>
      <c r="PHR60" s="165"/>
      <c r="PHS60" s="165"/>
      <c r="PHT60" s="165"/>
      <c r="PHU60" s="165"/>
      <c r="PHV60" s="165"/>
      <c r="PHW60" s="165"/>
      <c r="PHX60" s="165"/>
      <c r="PHY60" s="165"/>
      <c r="PHZ60" s="165"/>
      <c r="PIA60" s="165"/>
      <c r="PIB60" s="165"/>
      <c r="PIC60" s="165"/>
      <c r="PID60" s="165"/>
      <c r="PIE60" s="165"/>
      <c r="PIF60" s="165"/>
      <c r="PIG60" s="165"/>
      <c r="PIH60" s="165"/>
      <c r="PII60" s="165"/>
      <c r="PIJ60" s="165"/>
      <c r="PIK60" s="165"/>
      <c r="PIL60" s="165"/>
      <c r="PIM60" s="165"/>
      <c r="PIN60" s="165"/>
      <c r="PIO60" s="165"/>
      <c r="PIP60" s="165"/>
      <c r="PIQ60" s="165"/>
      <c r="PIR60" s="165"/>
      <c r="PIS60" s="165"/>
      <c r="PIT60" s="165"/>
      <c r="PIU60" s="165"/>
      <c r="PIV60" s="165"/>
      <c r="PIW60" s="165"/>
      <c r="PIX60" s="165"/>
      <c r="PIY60" s="165"/>
      <c r="PIZ60" s="165"/>
      <c r="PJA60" s="165"/>
      <c r="PJB60" s="165"/>
      <c r="PJC60" s="165"/>
      <c r="PJD60" s="165"/>
      <c r="PJE60" s="165"/>
      <c r="PJF60" s="165"/>
      <c r="PJG60" s="165"/>
      <c r="PJH60" s="165"/>
      <c r="PJI60" s="165"/>
      <c r="PJJ60" s="165"/>
      <c r="PJK60" s="165"/>
      <c r="PJL60" s="165"/>
      <c r="PJM60" s="165"/>
      <c r="PJN60" s="165"/>
      <c r="PJO60" s="165"/>
      <c r="PJP60" s="165"/>
      <c r="PJQ60" s="165"/>
      <c r="PJR60" s="165"/>
      <c r="PJS60" s="165"/>
      <c r="PJT60" s="165"/>
      <c r="PJU60" s="165"/>
      <c r="PJV60" s="165"/>
      <c r="PJW60" s="165"/>
      <c r="PJX60" s="165"/>
      <c r="PJY60" s="165"/>
      <c r="PJZ60" s="165"/>
      <c r="PKA60" s="165"/>
      <c r="PKB60" s="165"/>
      <c r="PKC60" s="165"/>
      <c r="PKD60" s="165"/>
      <c r="PKE60" s="165"/>
      <c r="PKF60" s="165"/>
      <c r="PKG60" s="165"/>
      <c r="PKH60" s="165"/>
      <c r="PKI60" s="165"/>
      <c r="PKJ60" s="165"/>
      <c r="PKK60" s="165"/>
      <c r="PKL60" s="165"/>
      <c r="PKM60" s="165"/>
      <c r="PKN60" s="165"/>
      <c r="PKO60" s="165"/>
      <c r="PKP60" s="165"/>
      <c r="PKQ60" s="165"/>
      <c r="PKR60" s="165"/>
      <c r="PKS60" s="165"/>
      <c r="PKT60" s="165"/>
      <c r="PKU60" s="165"/>
      <c r="PKV60" s="165"/>
      <c r="PKW60" s="165"/>
      <c r="PKX60" s="165"/>
      <c r="PKY60" s="165"/>
      <c r="PKZ60" s="165"/>
      <c r="PLA60" s="165"/>
      <c r="PLB60" s="165"/>
      <c r="PLC60" s="165"/>
      <c r="PLD60" s="165"/>
      <c r="PLE60" s="165"/>
      <c r="PLF60" s="165"/>
      <c r="PLG60" s="165"/>
      <c r="PLH60" s="165"/>
      <c r="PLI60" s="165"/>
      <c r="PLJ60" s="165"/>
      <c r="PLK60" s="165"/>
      <c r="PLL60" s="165"/>
      <c r="PLM60" s="165"/>
      <c r="PLN60" s="165"/>
      <c r="PLO60" s="165"/>
      <c r="PLP60" s="165"/>
      <c r="PLQ60" s="165"/>
      <c r="PLR60" s="165"/>
      <c r="PLS60" s="165"/>
      <c r="PLT60" s="165"/>
      <c r="PLU60" s="165"/>
      <c r="PLV60" s="165"/>
      <c r="PLW60" s="165"/>
      <c r="PLX60" s="165"/>
      <c r="PLY60" s="165"/>
      <c r="PLZ60" s="165"/>
      <c r="PMA60" s="165"/>
      <c r="PMB60" s="165"/>
      <c r="PMC60" s="165"/>
      <c r="PMD60" s="165"/>
      <c r="PME60" s="165"/>
      <c r="PMF60" s="165"/>
      <c r="PMG60" s="165"/>
      <c r="PMH60" s="165"/>
      <c r="PMI60" s="165"/>
      <c r="PMJ60" s="165"/>
      <c r="PMK60" s="165"/>
      <c r="PML60" s="165"/>
      <c r="PMM60" s="165"/>
      <c r="PMN60" s="165"/>
      <c r="PMO60" s="165"/>
      <c r="PMP60" s="165"/>
      <c r="PMQ60" s="165"/>
      <c r="PMR60" s="165"/>
      <c r="PMS60" s="165"/>
      <c r="PMT60" s="165"/>
      <c r="PMU60" s="165"/>
      <c r="PMV60" s="165"/>
      <c r="PMW60" s="165"/>
      <c r="PMX60" s="165"/>
      <c r="PMY60" s="165"/>
      <c r="PMZ60" s="165"/>
      <c r="PNA60" s="165"/>
      <c r="PNB60" s="165"/>
      <c r="PNC60" s="165"/>
      <c r="PND60" s="165"/>
      <c r="PNE60" s="165"/>
      <c r="PNF60" s="165"/>
      <c r="PNG60" s="165"/>
      <c r="PNH60" s="165"/>
      <c r="PNI60" s="165"/>
      <c r="PNJ60" s="165"/>
      <c r="PNK60" s="165"/>
      <c r="PNL60" s="165"/>
      <c r="PNM60" s="165"/>
      <c r="PNN60" s="165"/>
      <c r="PNO60" s="165"/>
      <c r="PNP60" s="165"/>
      <c r="PNQ60" s="165"/>
      <c r="PNR60" s="165"/>
      <c r="PNS60" s="165"/>
      <c r="PNT60" s="165"/>
      <c r="PNU60" s="165"/>
      <c r="PNV60" s="165"/>
      <c r="PNW60" s="165"/>
      <c r="PNX60" s="165"/>
      <c r="PNY60" s="165"/>
      <c r="PNZ60" s="165"/>
      <c r="POA60" s="165"/>
      <c r="POB60" s="165"/>
      <c r="POC60" s="165"/>
      <c r="POD60" s="165"/>
      <c r="POE60" s="165"/>
      <c r="POF60" s="165"/>
      <c r="POG60" s="165"/>
      <c r="POH60" s="165"/>
      <c r="POI60" s="165"/>
      <c r="POJ60" s="165"/>
      <c r="POK60" s="165"/>
      <c r="POL60" s="165"/>
      <c r="POM60" s="165"/>
      <c r="PON60" s="165"/>
      <c r="POO60" s="165"/>
      <c r="POP60" s="165"/>
      <c r="POQ60" s="165"/>
      <c r="POR60" s="165"/>
      <c r="POS60" s="165"/>
      <c r="POT60" s="165"/>
      <c r="POU60" s="165"/>
      <c r="POV60" s="165"/>
      <c r="POW60" s="165"/>
      <c r="POX60" s="165"/>
      <c r="POY60" s="165"/>
      <c r="POZ60" s="165"/>
      <c r="PPA60" s="165"/>
      <c r="PPB60" s="165"/>
      <c r="PPC60" s="165"/>
      <c r="PPD60" s="165"/>
      <c r="PPE60" s="165"/>
      <c r="PPF60" s="165"/>
      <c r="PPG60" s="165"/>
      <c r="PPH60" s="165"/>
      <c r="PPI60" s="165"/>
      <c r="PPJ60" s="165"/>
      <c r="PPK60" s="165"/>
      <c r="PPL60" s="165"/>
      <c r="PPM60" s="165"/>
      <c r="PPN60" s="165"/>
      <c r="PPO60" s="165"/>
      <c r="PPP60" s="165"/>
      <c r="PPQ60" s="165"/>
      <c r="PPR60" s="165"/>
      <c r="PPS60" s="165"/>
      <c r="PPT60" s="165"/>
      <c r="PPU60" s="165"/>
      <c r="PPV60" s="165"/>
      <c r="PPW60" s="165"/>
      <c r="PPX60" s="165"/>
      <c r="PPY60" s="165"/>
      <c r="PPZ60" s="165"/>
      <c r="PQA60" s="165"/>
      <c r="PQB60" s="165"/>
      <c r="PQC60" s="165"/>
      <c r="PQD60" s="165"/>
      <c r="PQE60" s="165"/>
      <c r="PQF60" s="165"/>
      <c r="PQG60" s="165"/>
      <c r="PQH60" s="165"/>
      <c r="PQI60" s="165"/>
      <c r="PQJ60" s="165"/>
      <c r="PQK60" s="165"/>
      <c r="PQL60" s="165"/>
      <c r="PQM60" s="165"/>
      <c r="PQN60" s="165"/>
      <c r="PQO60" s="165"/>
      <c r="PQP60" s="165"/>
      <c r="PQQ60" s="165"/>
      <c r="PQR60" s="165"/>
      <c r="PQS60" s="165"/>
      <c r="PQT60" s="165"/>
      <c r="PQU60" s="165"/>
      <c r="PQV60" s="165"/>
      <c r="PQW60" s="165"/>
      <c r="PQX60" s="165"/>
      <c r="PQY60" s="165"/>
      <c r="PQZ60" s="165"/>
      <c r="PRA60" s="165"/>
      <c r="PRB60" s="165"/>
      <c r="PRC60" s="165"/>
      <c r="PRD60" s="165"/>
      <c r="PRE60" s="165"/>
      <c r="PRF60" s="165"/>
      <c r="PRG60" s="165"/>
      <c r="PRH60" s="165"/>
      <c r="PRI60" s="165"/>
      <c r="PRJ60" s="165"/>
      <c r="PRK60" s="165"/>
      <c r="PRL60" s="165"/>
      <c r="PRM60" s="165"/>
      <c r="PRN60" s="165"/>
      <c r="PRO60" s="165"/>
      <c r="PRP60" s="165"/>
      <c r="PRQ60" s="165"/>
      <c r="PRR60" s="165"/>
      <c r="PRS60" s="165"/>
      <c r="PRT60" s="165"/>
      <c r="PRU60" s="165"/>
      <c r="PRV60" s="165"/>
      <c r="PRW60" s="165"/>
      <c r="PRX60" s="165"/>
      <c r="PRY60" s="165"/>
      <c r="PRZ60" s="165"/>
      <c r="PSA60" s="165"/>
      <c r="PSB60" s="165"/>
      <c r="PSC60" s="165"/>
      <c r="PSD60" s="165"/>
      <c r="PSE60" s="165"/>
      <c r="PSF60" s="165"/>
      <c r="PSG60" s="165"/>
      <c r="PSH60" s="165"/>
      <c r="PSI60" s="165"/>
      <c r="PSJ60" s="165"/>
      <c r="PSK60" s="165"/>
      <c r="PSL60" s="165"/>
      <c r="PSM60" s="165"/>
      <c r="PSN60" s="165"/>
      <c r="PSO60" s="165"/>
      <c r="PSP60" s="165"/>
      <c r="PSQ60" s="165"/>
      <c r="PSR60" s="165"/>
      <c r="PSS60" s="165"/>
      <c r="PST60" s="165"/>
      <c r="PSU60" s="165"/>
      <c r="PSV60" s="165"/>
      <c r="PSW60" s="165"/>
      <c r="PSX60" s="165"/>
      <c r="PSY60" s="165"/>
      <c r="PSZ60" s="165"/>
      <c r="PTA60" s="165"/>
      <c r="PTB60" s="165"/>
      <c r="PTC60" s="165"/>
      <c r="PTD60" s="165"/>
      <c r="PTE60" s="165"/>
      <c r="PTF60" s="165"/>
      <c r="PTG60" s="165"/>
      <c r="PTH60" s="165"/>
      <c r="PTI60" s="165"/>
      <c r="PTJ60" s="165"/>
      <c r="PTK60" s="165"/>
      <c r="PTL60" s="165"/>
      <c r="PTM60" s="165"/>
      <c r="PTN60" s="165"/>
      <c r="PTO60" s="165"/>
      <c r="PTP60" s="165"/>
      <c r="PTQ60" s="165"/>
      <c r="PTR60" s="165"/>
      <c r="PTS60" s="165"/>
      <c r="PTT60" s="165"/>
      <c r="PTU60" s="165"/>
      <c r="PTV60" s="165"/>
      <c r="PTW60" s="165"/>
      <c r="PTX60" s="165"/>
      <c r="PTY60" s="165"/>
      <c r="PTZ60" s="165"/>
      <c r="PUA60" s="165"/>
      <c r="PUB60" s="165"/>
      <c r="PUC60" s="165"/>
      <c r="PUD60" s="165"/>
      <c r="PUE60" s="165"/>
      <c r="PUF60" s="165"/>
      <c r="PUG60" s="165"/>
      <c r="PUH60" s="165"/>
      <c r="PUI60" s="165"/>
      <c r="PUJ60" s="165"/>
      <c r="PUK60" s="165"/>
      <c r="PUL60" s="165"/>
      <c r="PUM60" s="165"/>
      <c r="PUN60" s="165"/>
      <c r="PUO60" s="165"/>
      <c r="PUP60" s="165"/>
      <c r="PUQ60" s="165"/>
      <c r="PUR60" s="165"/>
      <c r="PUS60" s="165"/>
      <c r="PUT60" s="165"/>
      <c r="PUU60" s="165"/>
      <c r="PUV60" s="165"/>
      <c r="PUW60" s="165"/>
      <c r="PUX60" s="165"/>
      <c r="PUY60" s="165"/>
      <c r="PUZ60" s="165"/>
      <c r="PVA60" s="165"/>
      <c r="PVB60" s="165"/>
      <c r="PVC60" s="165"/>
      <c r="PVD60" s="165"/>
      <c r="PVE60" s="165"/>
      <c r="PVF60" s="165"/>
      <c r="PVG60" s="165"/>
      <c r="PVH60" s="165"/>
      <c r="PVI60" s="165"/>
      <c r="PVJ60" s="165"/>
      <c r="PVK60" s="165"/>
      <c r="PVL60" s="165"/>
      <c r="PVM60" s="165"/>
      <c r="PVN60" s="165"/>
      <c r="PVO60" s="165"/>
      <c r="PVP60" s="165"/>
      <c r="PVQ60" s="165"/>
      <c r="PVR60" s="165"/>
      <c r="PVS60" s="165"/>
      <c r="PVT60" s="165"/>
      <c r="PVU60" s="165"/>
      <c r="PVV60" s="165"/>
      <c r="PVW60" s="165"/>
      <c r="PVX60" s="165"/>
      <c r="PVY60" s="165"/>
      <c r="PVZ60" s="165"/>
      <c r="PWA60" s="165"/>
      <c r="PWB60" s="165"/>
      <c r="PWC60" s="165"/>
      <c r="PWD60" s="165"/>
      <c r="PWE60" s="165"/>
      <c r="PWF60" s="165"/>
      <c r="PWG60" s="165"/>
      <c r="PWH60" s="165"/>
      <c r="PWI60" s="165"/>
      <c r="PWJ60" s="165"/>
      <c r="PWK60" s="165"/>
      <c r="PWL60" s="165"/>
      <c r="PWM60" s="165"/>
      <c r="PWN60" s="165"/>
      <c r="PWO60" s="165"/>
      <c r="PWP60" s="165"/>
      <c r="PWQ60" s="165"/>
      <c r="PWR60" s="165"/>
      <c r="PWS60" s="165"/>
      <c r="PWT60" s="165"/>
      <c r="PWU60" s="165"/>
      <c r="PWV60" s="165"/>
      <c r="PWW60" s="165"/>
      <c r="PWX60" s="165"/>
      <c r="PWY60" s="165"/>
      <c r="PWZ60" s="165"/>
      <c r="PXA60" s="165"/>
      <c r="PXB60" s="165"/>
      <c r="PXC60" s="165"/>
      <c r="PXD60" s="165"/>
      <c r="PXE60" s="165"/>
      <c r="PXF60" s="165"/>
      <c r="PXG60" s="165"/>
      <c r="PXH60" s="165"/>
      <c r="PXI60" s="165"/>
      <c r="PXJ60" s="165"/>
      <c r="PXK60" s="165"/>
      <c r="PXL60" s="165"/>
      <c r="PXM60" s="165"/>
      <c r="PXN60" s="165"/>
      <c r="PXO60" s="165"/>
      <c r="PXP60" s="165"/>
      <c r="PXQ60" s="165"/>
      <c r="PXR60" s="165"/>
      <c r="PXS60" s="165"/>
      <c r="PXT60" s="165"/>
      <c r="PXU60" s="165"/>
      <c r="PXV60" s="165"/>
      <c r="PXW60" s="165"/>
      <c r="PXX60" s="165"/>
      <c r="PXY60" s="165"/>
      <c r="PXZ60" s="165"/>
      <c r="PYA60" s="165"/>
      <c r="PYB60" s="165"/>
      <c r="PYC60" s="165"/>
      <c r="PYD60" s="165"/>
      <c r="PYE60" s="165"/>
      <c r="PYF60" s="165"/>
      <c r="PYG60" s="165"/>
      <c r="PYH60" s="165"/>
      <c r="PYI60" s="165"/>
      <c r="PYJ60" s="165"/>
      <c r="PYK60" s="165"/>
      <c r="PYL60" s="165"/>
      <c r="PYM60" s="165"/>
      <c r="PYN60" s="165"/>
      <c r="PYO60" s="165"/>
      <c r="PYP60" s="165"/>
      <c r="PYQ60" s="165"/>
      <c r="PYR60" s="165"/>
      <c r="PYS60" s="165"/>
      <c r="PYT60" s="165"/>
      <c r="PYU60" s="165"/>
      <c r="PYV60" s="165"/>
      <c r="PYW60" s="165"/>
      <c r="PYX60" s="165"/>
      <c r="PYY60" s="165"/>
      <c r="PYZ60" s="165"/>
      <c r="PZA60" s="165"/>
      <c r="PZB60" s="165"/>
      <c r="PZC60" s="165"/>
      <c r="PZD60" s="165"/>
      <c r="PZE60" s="165"/>
      <c r="PZF60" s="165"/>
      <c r="PZG60" s="165"/>
      <c r="PZH60" s="165"/>
      <c r="PZI60" s="165"/>
      <c r="PZJ60" s="165"/>
      <c r="PZK60" s="165"/>
      <c r="PZL60" s="165"/>
      <c r="PZM60" s="165"/>
      <c r="PZN60" s="165"/>
      <c r="PZO60" s="165"/>
      <c r="PZP60" s="165"/>
      <c r="PZQ60" s="165"/>
      <c r="PZR60" s="165"/>
      <c r="PZS60" s="165"/>
      <c r="PZT60" s="165"/>
      <c r="PZU60" s="165"/>
      <c r="PZV60" s="165"/>
      <c r="PZW60" s="165"/>
      <c r="PZX60" s="165"/>
      <c r="PZY60" s="165"/>
      <c r="PZZ60" s="165"/>
      <c r="QAA60" s="165"/>
      <c r="QAB60" s="165"/>
      <c r="QAC60" s="165"/>
      <c r="QAD60" s="165"/>
      <c r="QAE60" s="165"/>
      <c r="QAF60" s="165"/>
      <c r="QAG60" s="165"/>
      <c r="QAH60" s="165"/>
      <c r="QAI60" s="165"/>
      <c r="QAJ60" s="165"/>
      <c r="QAK60" s="165"/>
      <c r="QAL60" s="165"/>
      <c r="QAM60" s="165"/>
      <c r="QAN60" s="165"/>
      <c r="QAO60" s="165"/>
      <c r="QAP60" s="165"/>
      <c r="QAQ60" s="165"/>
      <c r="QAR60" s="165"/>
      <c r="QAS60" s="165"/>
      <c r="QAT60" s="165"/>
      <c r="QAU60" s="165"/>
      <c r="QAV60" s="165"/>
      <c r="QAW60" s="165"/>
      <c r="QAX60" s="165"/>
      <c r="QAY60" s="165"/>
      <c r="QAZ60" s="165"/>
      <c r="QBA60" s="165"/>
      <c r="QBB60" s="165"/>
      <c r="QBC60" s="165"/>
      <c r="QBD60" s="165"/>
      <c r="QBE60" s="165"/>
      <c r="QBF60" s="165"/>
      <c r="QBG60" s="165"/>
      <c r="QBH60" s="165"/>
      <c r="QBI60" s="165"/>
      <c r="QBJ60" s="165"/>
      <c r="QBK60" s="165"/>
      <c r="QBL60" s="165"/>
      <c r="QBM60" s="165"/>
      <c r="QBN60" s="165"/>
      <c r="QBO60" s="165"/>
      <c r="QBP60" s="165"/>
      <c r="QBQ60" s="165"/>
      <c r="QBR60" s="165"/>
      <c r="QBS60" s="165"/>
      <c r="QBT60" s="165"/>
      <c r="QBU60" s="165"/>
      <c r="QBV60" s="165"/>
      <c r="QBW60" s="165"/>
      <c r="QBX60" s="165"/>
      <c r="QBY60" s="165"/>
      <c r="QBZ60" s="165"/>
      <c r="QCA60" s="165"/>
      <c r="QCB60" s="165"/>
      <c r="QCC60" s="165"/>
      <c r="QCD60" s="165"/>
      <c r="QCE60" s="165"/>
      <c r="QCF60" s="165"/>
      <c r="QCG60" s="165"/>
      <c r="QCH60" s="165"/>
      <c r="QCI60" s="165"/>
      <c r="QCJ60" s="165"/>
      <c r="QCK60" s="165"/>
      <c r="QCL60" s="165"/>
      <c r="QCM60" s="165"/>
      <c r="QCN60" s="165"/>
      <c r="QCO60" s="165"/>
      <c r="QCP60" s="165"/>
      <c r="QCQ60" s="165"/>
      <c r="QCR60" s="165"/>
      <c r="QCS60" s="165"/>
      <c r="QCT60" s="165"/>
      <c r="QCU60" s="165"/>
      <c r="QCV60" s="165"/>
      <c r="QCW60" s="165"/>
      <c r="QCX60" s="165"/>
      <c r="QCY60" s="165"/>
      <c r="QCZ60" s="165"/>
      <c r="QDA60" s="165"/>
      <c r="QDB60" s="165"/>
      <c r="QDC60" s="165"/>
      <c r="QDD60" s="165"/>
      <c r="QDE60" s="165"/>
      <c r="QDF60" s="165"/>
      <c r="QDG60" s="165"/>
      <c r="QDH60" s="165"/>
      <c r="QDI60" s="165"/>
      <c r="QDJ60" s="165"/>
      <c r="QDK60" s="165"/>
      <c r="QDL60" s="165"/>
      <c r="QDM60" s="165"/>
      <c r="QDN60" s="165"/>
      <c r="QDO60" s="165"/>
      <c r="QDP60" s="165"/>
      <c r="QDQ60" s="165"/>
      <c r="QDR60" s="165"/>
      <c r="QDS60" s="165"/>
      <c r="QDT60" s="165"/>
      <c r="QDU60" s="165"/>
      <c r="QDV60" s="165"/>
      <c r="QDW60" s="165"/>
      <c r="QDX60" s="165"/>
      <c r="QDY60" s="165"/>
      <c r="QDZ60" s="165"/>
      <c r="QEA60" s="165"/>
      <c r="QEB60" s="165"/>
      <c r="QEC60" s="165"/>
      <c r="QED60" s="165"/>
      <c r="QEE60" s="165"/>
      <c r="QEF60" s="165"/>
      <c r="QEG60" s="165"/>
      <c r="QEH60" s="165"/>
      <c r="QEI60" s="165"/>
      <c r="QEJ60" s="165"/>
      <c r="QEK60" s="165"/>
      <c r="QEL60" s="165"/>
      <c r="QEM60" s="165"/>
      <c r="QEN60" s="165"/>
      <c r="QEO60" s="165"/>
      <c r="QEP60" s="165"/>
      <c r="QEQ60" s="165"/>
      <c r="QER60" s="165"/>
      <c r="QES60" s="165"/>
      <c r="QET60" s="165"/>
      <c r="QEU60" s="165"/>
      <c r="QEV60" s="165"/>
      <c r="QEW60" s="165"/>
      <c r="QEX60" s="165"/>
      <c r="QEY60" s="165"/>
      <c r="QEZ60" s="165"/>
      <c r="QFA60" s="165"/>
      <c r="QFB60" s="165"/>
      <c r="QFC60" s="165"/>
      <c r="QFD60" s="165"/>
      <c r="QFE60" s="165"/>
      <c r="QFF60" s="165"/>
      <c r="QFG60" s="165"/>
      <c r="QFH60" s="165"/>
      <c r="QFI60" s="165"/>
      <c r="QFJ60" s="165"/>
      <c r="QFK60" s="165"/>
      <c r="QFL60" s="165"/>
      <c r="QFM60" s="165"/>
      <c r="QFN60" s="165"/>
      <c r="QFO60" s="165"/>
      <c r="QFP60" s="165"/>
      <c r="QFQ60" s="165"/>
      <c r="QFR60" s="165"/>
      <c r="QFS60" s="165"/>
      <c r="QFT60" s="165"/>
      <c r="QFU60" s="165"/>
      <c r="QFV60" s="165"/>
      <c r="QFW60" s="165"/>
      <c r="QFX60" s="165"/>
      <c r="QFY60" s="165"/>
      <c r="QFZ60" s="165"/>
      <c r="QGA60" s="165"/>
      <c r="QGB60" s="165"/>
      <c r="QGC60" s="165"/>
      <c r="QGD60" s="165"/>
      <c r="QGE60" s="165"/>
      <c r="QGF60" s="165"/>
      <c r="QGG60" s="165"/>
      <c r="QGH60" s="165"/>
      <c r="QGI60" s="165"/>
      <c r="QGJ60" s="165"/>
      <c r="QGK60" s="165"/>
      <c r="QGL60" s="165"/>
      <c r="QGM60" s="165"/>
      <c r="QGN60" s="165"/>
      <c r="QGO60" s="165"/>
      <c r="QGP60" s="165"/>
      <c r="QGQ60" s="165"/>
      <c r="QGR60" s="165"/>
      <c r="QGS60" s="165"/>
      <c r="QGT60" s="165"/>
      <c r="QGU60" s="165"/>
      <c r="QGV60" s="165"/>
      <c r="QGW60" s="165"/>
      <c r="QGX60" s="165"/>
      <c r="QGY60" s="165"/>
      <c r="QGZ60" s="165"/>
      <c r="QHA60" s="165"/>
      <c r="QHB60" s="165"/>
      <c r="QHC60" s="165"/>
      <c r="QHD60" s="165"/>
      <c r="QHE60" s="165"/>
      <c r="QHF60" s="165"/>
      <c r="QHG60" s="165"/>
      <c r="QHH60" s="165"/>
      <c r="QHI60" s="165"/>
      <c r="QHJ60" s="165"/>
      <c r="QHK60" s="165"/>
      <c r="QHL60" s="165"/>
      <c r="QHM60" s="165"/>
      <c r="QHN60" s="165"/>
      <c r="QHO60" s="165"/>
      <c r="QHP60" s="165"/>
      <c r="QHQ60" s="165"/>
      <c r="QHR60" s="165"/>
      <c r="QHS60" s="165"/>
      <c r="QHT60" s="165"/>
      <c r="QHU60" s="165"/>
      <c r="QHV60" s="165"/>
      <c r="QHW60" s="165"/>
      <c r="QHX60" s="165"/>
      <c r="QHY60" s="165"/>
      <c r="QHZ60" s="165"/>
      <c r="QIA60" s="165"/>
      <c r="QIB60" s="165"/>
      <c r="QIC60" s="165"/>
      <c r="QID60" s="165"/>
      <c r="QIE60" s="165"/>
      <c r="QIF60" s="165"/>
      <c r="QIG60" s="165"/>
      <c r="QIH60" s="165"/>
      <c r="QII60" s="165"/>
      <c r="QIJ60" s="165"/>
      <c r="QIK60" s="165"/>
      <c r="QIL60" s="165"/>
      <c r="QIM60" s="165"/>
      <c r="QIN60" s="165"/>
      <c r="QIO60" s="165"/>
      <c r="QIP60" s="165"/>
      <c r="QIQ60" s="165"/>
      <c r="QIR60" s="165"/>
      <c r="QIS60" s="165"/>
      <c r="QIT60" s="165"/>
      <c r="QIU60" s="165"/>
      <c r="QIV60" s="165"/>
      <c r="QIW60" s="165"/>
      <c r="QIX60" s="165"/>
      <c r="QIY60" s="165"/>
      <c r="QIZ60" s="165"/>
      <c r="QJA60" s="165"/>
      <c r="QJB60" s="165"/>
      <c r="QJC60" s="165"/>
      <c r="QJD60" s="165"/>
      <c r="QJE60" s="165"/>
      <c r="QJF60" s="165"/>
      <c r="QJG60" s="165"/>
      <c r="QJH60" s="165"/>
      <c r="QJI60" s="165"/>
      <c r="QJJ60" s="165"/>
      <c r="QJK60" s="165"/>
      <c r="QJL60" s="165"/>
      <c r="QJM60" s="165"/>
      <c r="QJN60" s="165"/>
      <c r="QJO60" s="165"/>
      <c r="QJP60" s="165"/>
      <c r="QJQ60" s="165"/>
      <c r="QJR60" s="165"/>
      <c r="QJS60" s="165"/>
      <c r="QJT60" s="165"/>
      <c r="QJU60" s="165"/>
      <c r="QJV60" s="165"/>
      <c r="QJW60" s="165"/>
      <c r="QJX60" s="165"/>
      <c r="QJY60" s="165"/>
      <c r="QJZ60" s="165"/>
      <c r="QKA60" s="165"/>
      <c r="QKB60" s="165"/>
      <c r="QKC60" s="165"/>
      <c r="QKD60" s="165"/>
      <c r="QKE60" s="165"/>
      <c r="QKF60" s="165"/>
      <c r="QKG60" s="165"/>
      <c r="QKH60" s="165"/>
      <c r="QKI60" s="165"/>
      <c r="QKJ60" s="165"/>
      <c r="QKK60" s="165"/>
      <c r="QKL60" s="165"/>
      <c r="QKM60" s="165"/>
      <c r="QKN60" s="165"/>
      <c r="QKO60" s="165"/>
      <c r="QKP60" s="165"/>
      <c r="QKQ60" s="165"/>
      <c r="QKR60" s="165"/>
      <c r="QKS60" s="165"/>
      <c r="QKT60" s="165"/>
      <c r="QKU60" s="165"/>
      <c r="QKV60" s="165"/>
      <c r="QKW60" s="165"/>
      <c r="QKX60" s="165"/>
      <c r="QKY60" s="165"/>
      <c r="QKZ60" s="165"/>
      <c r="QLA60" s="165"/>
      <c r="QLB60" s="165"/>
      <c r="QLC60" s="165"/>
      <c r="QLD60" s="165"/>
      <c r="QLE60" s="165"/>
      <c r="QLF60" s="165"/>
      <c r="QLG60" s="165"/>
      <c r="QLH60" s="165"/>
      <c r="QLI60" s="165"/>
      <c r="QLJ60" s="165"/>
      <c r="QLK60" s="165"/>
      <c r="QLL60" s="165"/>
      <c r="QLM60" s="165"/>
      <c r="QLN60" s="165"/>
      <c r="QLO60" s="165"/>
      <c r="QLP60" s="165"/>
      <c r="QLQ60" s="165"/>
      <c r="QLR60" s="165"/>
      <c r="QLS60" s="165"/>
      <c r="QLT60" s="165"/>
      <c r="QLU60" s="165"/>
      <c r="QLV60" s="165"/>
      <c r="QLW60" s="165"/>
      <c r="QLX60" s="165"/>
      <c r="QLY60" s="165"/>
      <c r="QLZ60" s="165"/>
      <c r="QMA60" s="165"/>
      <c r="QMB60" s="165"/>
      <c r="QMC60" s="165"/>
      <c r="QMD60" s="165"/>
      <c r="QME60" s="165"/>
      <c r="QMF60" s="165"/>
      <c r="QMG60" s="165"/>
      <c r="QMH60" s="165"/>
      <c r="QMI60" s="165"/>
      <c r="QMJ60" s="165"/>
      <c r="QMK60" s="165"/>
      <c r="QML60" s="165"/>
      <c r="QMM60" s="165"/>
      <c r="QMN60" s="165"/>
      <c r="QMO60" s="165"/>
      <c r="QMP60" s="165"/>
      <c r="QMQ60" s="165"/>
      <c r="QMR60" s="165"/>
      <c r="QMS60" s="165"/>
      <c r="QMT60" s="165"/>
      <c r="QMU60" s="165"/>
      <c r="QMV60" s="165"/>
      <c r="QMW60" s="165"/>
      <c r="QMX60" s="165"/>
      <c r="QMY60" s="165"/>
      <c r="QMZ60" s="165"/>
      <c r="QNA60" s="165"/>
      <c r="QNB60" s="165"/>
      <c r="QNC60" s="165"/>
      <c r="QND60" s="165"/>
      <c r="QNE60" s="165"/>
      <c r="QNF60" s="165"/>
      <c r="QNG60" s="165"/>
      <c r="QNH60" s="165"/>
      <c r="QNI60" s="165"/>
      <c r="QNJ60" s="165"/>
      <c r="QNK60" s="165"/>
      <c r="QNL60" s="165"/>
      <c r="QNM60" s="165"/>
      <c r="QNN60" s="165"/>
      <c r="QNO60" s="165"/>
      <c r="QNP60" s="165"/>
      <c r="QNQ60" s="165"/>
      <c r="QNR60" s="165"/>
      <c r="QNS60" s="165"/>
      <c r="QNT60" s="165"/>
      <c r="QNU60" s="165"/>
      <c r="QNV60" s="165"/>
      <c r="QNW60" s="165"/>
      <c r="QNX60" s="165"/>
      <c r="QNY60" s="165"/>
      <c r="QNZ60" s="165"/>
      <c r="QOA60" s="165"/>
      <c r="QOB60" s="165"/>
      <c r="QOC60" s="165"/>
      <c r="QOD60" s="165"/>
      <c r="QOE60" s="165"/>
      <c r="QOF60" s="165"/>
      <c r="QOG60" s="165"/>
      <c r="QOH60" s="165"/>
      <c r="QOI60" s="165"/>
      <c r="QOJ60" s="165"/>
      <c r="QOK60" s="165"/>
      <c r="QOL60" s="165"/>
      <c r="QOM60" s="165"/>
      <c r="QON60" s="165"/>
      <c r="QOO60" s="165"/>
      <c r="QOP60" s="165"/>
      <c r="QOQ60" s="165"/>
      <c r="QOR60" s="165"/>
      <c r="QOS60" s="165"/>
      <c r="QOT60" s="165"/>
      <c r="QOU60" s="165"/>
      <c r="QOV60" s="165"/>
      <c r="QOW60" s="165"/>
      <c r="QOX60" s="165"/>
      <c r="QOY60" s="165"/>
      <c r="QOZ60" s="165"/>
      <c r="QPA60" s="165"/>
      <c r="QPB60" s="165"/>
      <c r="QPC60" s="165"/>
      <c r="QPD60" s="165"/>
      <c r="QPE60" s="165"/>
      <c r="QPF60" s="165"/>
      <c r="QPG60" s="165"/>
      <c r="QPH60" s="165"/>
      <c r="QPI60" s="165"/>
      <c r="QPJ60" s="165"/>
      <c r="QPK60" s="165"/>
      <c r="QPL60" s="165"/>
      <c r="QPM60" s="165"/>
      <c r="QPN60" s="165"/>
      <c r="QPO60" s="165"/>
      <c r="QPP60" s="165"/>
      <c r="QPQ60" s="165"/>
      <c r="QPR60" s="165"/>
      <c r="QPS60" s="165"/>
      <c r="QPT60" s="165"/>
      <c r="QPU60" s="165"/>
      <c r="QPV60" s="165"/>
      <c r="QPW60" s="165"/>
      <c r="QPX60" s="165"/>
      <c r="QPY60" s="165"/>
      <c r="QPZ60" s="165"/>
      <c r="QQA60" s="165"/>
      <c r="QQB60" s="165"/>
      <c r="QQC60" s="165"/>
      <c r="QQD60" s="165"/>
      <c r="QQE60" s="165"/>
      <c r="QQF60" s="165"/>
      <c r="QQG60" s="165"/>
      <c r="QQH60" s="165"/>
      <c r="QQI60" s="165"/>
      <c r="QQJ60" s="165"/>
      <c r="QQK60" s="165"/>
      <c r="QQL60" s="165"/>
      <c r="QQM60" s="165"/>
      <c r="QQN60" s="165"/>
      <c r="QQO60" s="165"/>
      <c r="QQP60" s="165"/>
      <c r="QQQ60" s="165"/>
      <c r="QQR60" s="165"/>
      <c r="QQS60" s="165"/>
      <c r="QQT60" s="165"/>
      <c r="QQU60" s="165"/>
      <c r="QQV60" s="165"/>
      <c r="QQW60" s="165"/>
      <c r="QQX60" s="165"/>
      <c r="QQY60" s="165"/>
      <c r="QQZ60" s="165"/>
      <c r="QRA60" s="165"/>
      <c r="QRB60" s="165"/>
      <c r="QRC60" s="165"/>
      <c r="QRD60" s="165"/>
      <c r="QRE60" s="165"/>
      <c r="QRF60" s="165"/>
      <c r="QRG60" s="165"/>
      <c r="QRH60" s="165"/>
      <c r="QRI60" s="165"/>
      <c r="QRJ60" s="165"/>
      <c r="QRK60" s="165"/>
      <c r="QRL60" s="165"/>
      <c r="QRM60" s="165"/>
      <c r="QRN60" s="165"/>
      <c r="QRO60" s="165"/>
      <c r="QRP60" s="165"/>
      <c r="QRQ60" s="165"/>
      <c r="QRR60" s="165"/>
      <c r="QRS60" s="165"/>
      <c r="QRT60" s="165"/>
      <c r="QRU60" s="165"/>
      <c r="QRV60" s="165"/>
      <c r="QRW60" s="165"/>
      <c r="QRX60" s="165"/>
      <c r="QRY60" s="165"/>
      <c r="QRZ60" s="165"/>
      <c r="QSA60" s="165"/>
      <c r="QSB60" s="165"/>
      <c r="QSC60" s="165"/>
      <c r="QSD60" s="165"/>
      <c r="QSE60" s="165"/>
      <c r="QSF60" s="165"/>
      <c r="QSG60" s="165"/>
      <c r="QSH60" s="165"/>
      <c r="QSI60" s="165"/>
      <c r="QSJ60" s="165"/>
      <c r="QSK60" s="165"/>
      <c r="QSL60" s="165"/>
      <c r="QSM60" s="165"/>
      <c r="QSN60" s="165"/>
      <c r="QSO60" s="165"/>
      <c r="QSP60" s="165"/>
      <c r="QSQ60" s="165"/>
      <c r="QSR60" s="165"/>
      <c r="QSS60" s="165"/>
      <c r="QST60" s="165"/>
      <c r="QSU60" s="165"/>
      <c r="QSV60" s="165"/>
      <c r="QSW60" s="165"/>
      <c r="QSX60" s="165"/>
      <c r="QSY60" s="165"/>
      <c r="QSZ60" s="165"/>
      <c r="QTA60" s="165"/>
      <c r="QTB60" s="165"/>
      <c r="QTC60" s="165"/>
      <c r="QTD60" s="165"/>
      <c r="QTE60" s="165"/>
      <c r="QTF60" s="165"/>
      <c r="QTG60" s="165"/>
      <c r="QTH60" s="165"/>
      <c r="QTI60" s="165"/>
      <c r="QTJ60" s="165"/>
      <c r="QTK60" s="165"/>
      <c r="QTL60" s="165"/>
      <c r="QTM60" s="165"/>
      <c r="QTN60" s="165"/>
      <c r="QTO60" s="165"/>
      <c r="QTP60" s="165"/>
      <c r="QTQ60" s="165"/>
      <c r="QTR60" s="165"/>
      <c r="QTS60" s="165"/>
      <c r="QTT60" s="165"/>
      <c r="QTU60" s="165"/>
      <c r="QTV60" s="165"/>
      <c r="QTW60" s="165"/>
      <c r="QTX60" s="165"/>
      <c r="QTY60" s="165"/>
      <c r="QTZ60" s="165"/>
      <c r="QUA60" s="165"/>
      <c r="QUB60" s="165"/>
      <c r="QUC60" s="165"/>
      <c r="QUD60" s="165"/>
      <c r="QUE60" s="165"/>
      <c r="QUF60" s="165"/>
      <c r="QUG60" s="165"/>
      <c r="QUH60" s="165"/>
      <c r="QUI60" s="165"/>
      <c r="QUJ60" s="165"/>
      <c r="QUK60" s="165"/>
      <c r="QUL60" s="165"/>
      <c r="QUM60" s="165"/>
      <c r="QUN60" s="165"/>
      <c r="QUO60" s="165"/>
      <c r="QUP60" s="165"/>
      <c r="QUQ60" s="165"/>
      <c r="QUR60" s="165"/>
      <c r="QUS60" s="165"/>
      <c r="QUT60" s="165"/>
      <c r="QUU60" s="165"/>
      <c r="QUV60" s="165"/>
      <c r="QUW60" s="165"/>
      <c r="QUX60" s="165"/>
      <c r="QUY60" s="165"/>
      <c r="QUZ60" s="165"/>
      <c r="QVA60" s="165"/>
      <c r="QVB60" s="165"/>
      <c r="QVC60" s="165"/>
      <c r="QVD60" s="165"/>
      <c r="QVE60" s="165"/>
      <c r="QVF60" s="165"/>
      <c r="QVG60" s="165"/>
      <c r="QVH60" s="165"/>
      <c r="QVI60" s="165"/>
      <c r="QVJ60" s="165"/>
      <c r="QVK60" s="165"/>
      <c r="QVL60" s="165"/>
      <c r="QVM60" s="165"/>
      <c r="QVN60" s="165"/>
      <c r="QVO60" s="165"/>
      <c r="QVP60" s="165"/>
      <c r="QVQ60" s="165"/>
      <c r="QVR60" s="165"/>
      <c r="QVS60" s="165"/>
      <c r="QVT60" s="165"/>
      <c r="QVU60" s="165"/>
      <c r="QVV60" s="165"/>
      <c r="QVW60" s="165"/>
      <c r="QVX60" s="165"/>
      <c r="QVY60" s="165"/>
      <c r="QVZ60" s="165"/>
      <c r="QWA60" s="165"/>
      <c r="QWB60" s="165"/>
      <c r="QWC60" s="165"/>
      <c r="QWD60" s="165"/>
      <c r="QWE60" s="165"/>
      <c r="QWF60" s="165"/>
      <c r="QWG60" s="165"/>
      <c r="QWH60" s="165"/>
      <c r="QWI60" s="165"/>
      <c r="QWJ60" s="165"/>
      <c r="QWK60" s="165"/>
      <c r="QWL60" s="165"/>
      <c r="QWM60" s="165"/>
      <c r="QWN60" s="165"/>
      <c r="QWO60" s="165"/>
      <c r="QWP60" s="165"/>
      <c r="QWQ60" s="165"/>
      <c r="QWR60" s="165"/>
      <c r="QWS60" s="165"/>
      <c r="QWT60" s="165"/>
      <c r="QWU60" s="165"/>
      <c r="QWV60" s="165"/>
      <c r="QWW60" s="165"/>
      <c r="QWX60" s="165"/>
      <c r="QWY60" s="165"/>
      <c r="QWZ60" s="165"/>
      <c r="QXA60" s="165"/>
      <c r="QXB60" s="165"/>
      <c r="QXC60" s="165"/>
      <c r="QXD60" s="165"/>
      <c r="QXE60" s="165"/>
      <c r="QXF60" s="165"/>
      <c r="QXG60" s="165"/>
      <c r="QXH60" s="165"/>
      <c r="QXI60" s="165"/>
      <c r="QXJ60" s="165"/>
      <c r="QXK60" s="165"/>
      <c r="QXL60" s="165"/>
      <c r="QXM60" s="165"/>
      <c r="QXN60" s="165"/>
      <c r="QXO60" s="165"/>
      <c r="QXP60" s="165"/>
      <c r="QXQ60" s="165"/>
      <c r="QXR60" s="165"/>
      <c r="QXS60" s="165"/>
      <c r="QXT60" s="165"/>
      <c r="QXU60" s="165"/>
      <c r="QXV60" s="165"/>
      <c r="QXW60" s="165"/>
      <c r="QXX60" s="165"/>
      <c r="QXY60" s="165"/>
      <c r="QXZ60" s="165"/>
      <c r="QYA60" s="165"/>
      <c r="QYB60" s="165"/>
      <c r="QYC60" s="165"/>
      <c r="QYD60" s="165"/>
      <c r="QYE60" s="165"/>
      <c r="QYF60" s="165"/>
      <c r="QYG60" s="165"/>
      <c r="QYH60" s="165"/>
      <c r="QYI60" s="165"/>
      <c r="QYJ60" s="165"/>
      <c r="QYK60" s="165"/>
      <c r="QYL60" s="165"/>
      <c r="QYM60" s="165"/>
      <c r="QYN60" s="165"/>
      <c r="QYO60" s="165"/>
      <c r="QYP60" s="165"/>
      <c r="QYQ60" s="165"/>
      <c r="QYR60" s="165"/>
      <c r="QYS60" s="165"/>
      <c r="QYT60" s="165"/>
      <c r="QYU60" s="165"/>
      <c r="QYV60" s="165"/>
      <c r="QYW60" s="165"/>
      <c r="QYX60" s="165"/>
      <c r="QYY60" s="165"/>
      <c r="QYZ60" s="165"/>
      <c r="QZA60" s="165"/>
      <c r="QZB60" s="165"/>
      <c r="QZC60" s="165"/>
      <c r="QZD60" s="165"/>
      <c r="QZE60" s="165"/>
      <c r="QZF60" s="165"/>
      <c r="QZG60" s="165"/>
      <c r="QZH60" s="165"/>
      <c r="QZI60" s="165"/>
      <c r="QZJ60" s="165"/>
      <c r="QZK60" s="165"/>
      <c r="QZL60" s="165"/>
      <c r="QZM60" s="165"/>
      <c r="QZN60" s="165"/>
      <c r="QZO60" s="165"/>
      <c r="QZP60" s="165"/>
      <c r="QZQ60" s="165"/>
      <c r="QZR60" s="165"/>
      <c r="QZS60" s="165"/>
      <c r="QZT60" s="165"/>
      <c r="QZU60" s="165"/>
      <c r="QZV60" s="165"/>
      <c r="QZW60" s="165"/>
      <c r="QZX60" s="165"/>
      <c r="QZY60" s="165"/>
      <c r="QZZ60" s="165"/>
      <c r="RAA60" s="165"/>
      <c r="RAB60" s="165"/>
      <c r="RAC60" s="165"/>
      <c r="RAD60" s="165"/>
      <c r="RAE60" s="165"/>
      <c r="RAF60" s="165"/>
      <c r="RAG60" s="165"/>
      <c r="RAH60" s="165"/>
      <c r="RAI60" s="165"/>
      <c r="RAJ60" s="165"/>
      <c r="RAK60" s="165"/>
      <c r="RAL60" s="165"/>
      <c r="RAM60" s="165"/>
      <c r="RAN60" s="165"/>
      <c r="RAO60" s="165"/>
      <c r="RAP60" s="165"/>
      <c r="RAQ60" s="165"/>
      <c r="RAR60" s="165"/>
      <c r="RAS60" s="165"/>
      <c r="RAT60" s="165"/>
      <c r="RAU60" s="165"/>
      <c r="RAV60" s="165"/>
      <c r="RAW60" s="165"/>
      <c r="RAX60" s="165"/>
      <c r="RAY60" s="165"/>
      <c r="RAZ60" s="165"/>
      <c r="RBA60" s="165"/>
      <c r="RBB60" s="165"/>
      <c r="RBC60" s="165"/>
      <c r="RBD60" s="165"/>
      <c r="RBE60" s="165"/>
      <c r="RBF60" s="165"/>
      <c r="RBG60" s="165"/>
      <c r="RBH60" s="165"/>
      <c r="RBI60" s="165"/>
      <c r="RBJ60" s="165"/>
      <c r="RBK60" s="165"/>
      <c r="RBL60" s="165"/>
      <c r="RBM60" s="165"/>
      <c r="RBN60" s="165"/>
      <c r="RBO60" s="165"/>
      <c r="RBP60" s="165"/>
      <c r="RBQ60" s="165"/>
      <c r="RBR60" s="165"/>
      <c r="RBS60" s="165"/>
      <c r="RBT60" s="165"/>
      <c r="RBU60" s="165"/>
      <c r="RBV60" s="165"/>
      <c r="RBW60" s="165"/>
      <c r="RBX60" s="165"/>
      <c r="RBY60" s="165"/>
      <c r="RBZ60" s="165"/>
      <c r="RCA60" s="165"/>
      <c r="RCB60" s="165"/>
      <c r="RCC60" s="165"/>
      <c r="RCD60" s="165"/>
      <c r="RCE60" s="165"/>
      <c r="RCF60" s="165"/>
      <c r="RCG60" s="165"/>
      <c r="RCH60" s="165"/>
      <c r="RCI60" s="165"/>
      <c r="RCJ60" s="165"/>
      <c r="RCK60" s="165"/>
      <c r="RCL60" s="165"/>
      <c r="RCM60" s="165"/>
      <c r="RCN60" s="165"/>
      <c r="RCO60" s="165"/>
      <c r="RCP60" s="165"/>
      <c r="RCQ60" s="165"/>
      <c r="RCR60" s="165"/>
      <c r="RCS60" s="165"/>
      <c r="RCT60" s="165"/>
      <c r="RCU60" s="165"/>
      <c r="RCV60" s="165"/>
      <c r="RCW60" s="165"/>
      <c r="RCX60" s="165"/>
      <c r="RCY60" s="165"/>
      <c r="RCZ60" s="165"/>
      <c r="RDA60" s="165"/>
      <c r="RDB60" s="165"/>
      <c r="RDC60" s="165"/>
      <c r="RDD60" s="165"/>
      <c r="RDE60" s="165"/>
      <c r="RDF60" s="165"/>
      <c r="RDG60" s="165"/>
      <c r="RDH60" s="165"/>
      <c r="RDI60" s="165"/>
      <c r="RDJ60" s="165"/>
      <c r="RDK60" s="165"/>
      <c r="RDL60" s="165"/>
      <c r="RDM60" s="165"/>
      <c r="RDN60" s="165"/>
      <c r="RDO60" s="165"/>
      <c r="RDP60" s="165"/>
      <c r="RDQ60" s="165"/>
      <c r="RDR60" s="165"/>
      <c r="RDS60" s="165"/>
      <c r="RDT60" s="165"/>
      <c r="RDU60" s="165"/>
      <c r="RDV60" s="165"/>
      <c r="RDW60" s="165"/>
      <c r="RDX60" s="165"/>
      <c r="RDY60" s="165"/>
      <c r="RDZ60" s="165"/>
      <c r="REA60" s="165"/>
      <c r="REB60" s="165"/>
      <c r="REC60" s="165"/>
      <c r="RED60" s="165"/>
      <c r="REE60" s="165"/>
      <c r="REF60" s="165"/>
      <c r="REG60" s="165"/>
      <c r="REH60" s="165"/>
      <c r="REI60" s="165"/>
      <c r="REJ60" s="165"/>
      <c r="REK60" s="165"/>
      <c r="REL60" s="165"/>
      <c r="REM60" s="165"/>
      <c r="REN60" s="165"/>
      <c r="REO60" s="165"/>
      <c r="REP60" s="165"/>
      <c r="REQ60" s="165"/>
      <c r="RER60" s="165"/>
      <c r="RES60" s="165"/>
      <c r="RET60" s="165"/>
      <c r="REU60" s="165"/>
      <c r="REV60" s="165"/>
      <c r="REW60" s="165"/>
      <c r="REX60" s="165"/>
      <c r="REY60" s="165"/>
      <c r="REZ60" s="165"/>
      <c r="RFA60" s="165"/>
      <c r="RFB60" s="165"/>
      <c r="RFC60" s="165"/>
      <c r="RFD60" s="165"/>
      <c r="RFE60" s="165"/>
      <c r="RFF60" s="165"/>
      <c r="RFG60" s="165"/>
      <c r="RFH60" s="165"/>
      <c r="RFI60" s="165"/>
      <c r="RFJ60" s="165"/>
      <c r="RFK60" s="165"/>
      <c r="RFL60" s="165"/>
      <c r="RFM60" s="165"/>
      <c r="RFN60" s="165"/>
      <c r="RFO60" s="165"/>
      <c r="RFP60" s="165"/>
      <c r="RFQ60" s="165"/>
      <c r="RFR60" s="165"/>
      <c r="RFS60" s="165"/>
      <c r="RFT60" s="165"/>
      <c r="RFU60" s="165"/>
      <c r="RFV60" s="165"/>
      <c r="RFW60" s="165"/>
      <c r="RFX60" s="165"/>
      <c r="RFY60" s="165"/>
      <c r="RFZ60" s="165"/>
      <c r="RGA60" s="165"/>
      <c r="RGB60" s="165"/>
      <c r="RGC60" s="165"/>
      <c r="RGD60" s="165"/>
      <c r="RGE60" s="165"/>
      <c r="RGF60" s="165"/>
      <c r="RGG60" s="165"/>
      <c r="RGH60" s="165"/>
      <c r="RGI60" s="165"/>
      <c r="RGJ60" s="165"/>
      <c r="RGK60" s="165"/>
      <c r="RGL60" s="165"/>
      <c r="RGM60" s="165"/>
      <c r="RGN60" s="165"/>
      <c r="RGO60" s="165"/>
      <c r="RGP60" s="165"/>
      <c r="RGQ60" s="165"/>
      <c r="RGR60" s="165"/>
      <c r="RGS60" s="165"/>
      <c r="RGT60" s="165"/>
      <c r="RGU60" s="165"/>
      <c r="RGV60" s="165"/>
      <c r="RGW60" s="165"/>
      <c r="RGX60" s="165"/>
      <c r="RGY60" s="165"/>
      <c r="RGZ60" s="165"/>
      <c r="RHA60" s="165"/>
      <c r="RHB60" s="165"/>
      <c r="RHC60" s="165"/>
      <c r="RHD60" s="165"/>
      <c r="RHE60" s="165"/>
      <c r="RHF60" s="165"/>
      <c r="RHG60" s="165"/>
      <c r="RHH60" s="165"/>
      <c r="RHI60" s="165"/>
      <c r="RHJ60" s="165"/>
      <c r="RHK60" s="165"/>
      <c r="RHL60" s="165"/>
      <c r="RHM60" s="165"/>
      <c r="RHN60" s="165"/>
      <c r="RHO60" s="165"/>
      <c r="RHP60" s="165"/>
      <c r="RHQ60" s="165"/>
      <c r="RHR60" s="165"/>
      <c r="RHS60" s="165"/>
      <c r="RHT60" s="165"/>
      <c r="RHU60" s="165"/>
      <c r="RHV60" s="165"/>
      <c r="RHW60" s="165"/>
      <c r="RHX60" s="165"/>
      <c r="RHY60" s="165"/>
      <c r="RHZ60" s="165"/>
      <c r="RIA60" s="165"/>
      <c r="RIB60" s="165"/>
      <c r="RIC60" s="165"/>
      <c r="RID60" s="165"/>
      <c r="RIE60" s="165"/>
      <c r="RIF60" s="165"/>
      <c r="RIG60" s="165"/>
      <c r="RIH60" s="165"/>
      <c r="RII60" s="165"/>
      <c r="RIJ60" s="165"/>
      <c r="RIK60" s="165"/>
      <c r="RIL60" s="165"/>
      <c r="RIM60" s="165"/>
      <c r="RIN60" s="165"/>
      <c r="RIO60" s="165"/>
      <c r="RIP60" s="165"/>
      <c r="RIQ60" s="165"/>
      <c r="RIR60" s="165"/>
      <c r="RIS60" s="165"/>
      <c r="RIT60" s="165"/>
      <c r="RIU60" s="165"/>
      <c r="RIV60" s="165"/>
      <c r="RIW60" s="165"/>
      <c r="RIX60" s="165"/>
      <c r="RIY60" s="165"/>
      <c r="RIZ60" s="165"/>
      <c r="RJA60" s="165"/>
      <c r="RJB60" s="165"/>
      <c r="RJC60" s="165"/>
      <c r="RJD60" s="165"/>
      <c r="RJE60" s="165"/>
      <c r="RJF60" s="165"/>
      <c r="RJG60" s="165"/>
      <c r="RJH60" s="165"/>
      <c r="RJI60" s="165"/>
      <c r="RJJ60" s="165"/>
      <c r="RJK60" s="165"/>
      <c r="RJL60" s="165"/>
      <c r="RJM60" s="165"/>
      <c r="RJN60" s="165"/>
      <c r="RJO60" s="165"/>
      <c r="RJP60" s="165"/>
      <c r="RJQ60" s="165"/>
      <c r="RJR60" s="165"/>
      <c r="RJS60" s="165"/>
      <c r="RJT60" s="165"/>
      <c r="RJU60" s="165"/>
      <c r="RJV60" s="165"/>
      <c r="RJW60" s="165"/>
      <c r="RJX60" s="165"/>
      <c r="RJY60" s="165"/>
      <c r="RJZ60" s="165"/>
      <c r="RKA60" s="165"/>
      <c r="RKB60" s="165"/>
      <c r="RKC60" s="165"/>
      <c r="RKD60" s="165"/>
      <c r="RKE60" s="165"/>
      <c r="RKF60" s="165"/>
      <c r="RKG60" s="165"/>
      <c r="RKH60" s="165"/>
      <c r="RKI60" s="165"/>
      <c r="RKJ60" s="165"/>
      <c r="RKK60" s="165"/>
      <c r="RKL60" s="165"/>
      <c r="RKM60" s="165"/>
      <c r="RKN60" s="165"/>
      <c r="RKO60" s="165"/>
      <c r="RKP60" s="165"/>
      <c r="RKQ60" s="165"/>
      <c r="RKR60" s="165"/>
      <c r="RKS60" s="165"/>
      <c r="RKT60" s="165"/>
      <c r="RKU60" s="165"/>
      <c r="RKV60" s="165"/>
      <c r="RKW60" s="165"/>
      <c r="RKX60" s="165"/>
      <c r="RKY60" s="165"/>
      <c r="RKZ60" s="165"/>
      <c r="RLA60" s="165"/>
      <c r="RLB60" s="165"/>
      <c r="RLC60" s="165"/>
      <c r="RLD60" s="165"/>
      <c r="RLE60" s="165"/>
      <c r="RLF60" s="165"/>
      <c r="RLG60" s="165"/>
      <c r="RLH60" s="165"/>
      <c r="RLI60" s="165"/>
      <c r="RLJ60" s="165"/>
      <c r="RLK60" s="165"/>
      <c r="RLL60" s="165"/>
      <c r="RLM60" s="165"/>
      <c r="RLN60" s="165"/>
      <c r="RLO60" s="165"/>
      <c r="RLP60" s="165"/>
      <c r="RLQ60" s="165"/>
      <c r="RLR60" s="165"/>
      <c r="RLS60" s="165"/>
      <c r="RLT60" s="165"/>
      <c r="RLU60" s="165"/>
      <c r="RLV60" s="165"/>
      <c r="RLW60" s="165"/>
      <c r="RLX60" s="165"/>
      <c r="RLY60" s="165"/>
      <c r="RLZ60" s="165"/>
      <c r="RMA60" s="165"/>
      <c r="RMB60" s="165"/>
      <c r="RMC60" s="165"/>
      <c r="RMD60" s="165"/>
      <c r="RME60" s="165"/>
      <c r="RMF60" s="165"/>
      <c r="RMG60" s="165"/>
      <c r="RMH60" s="165"/>
      <c r="RMI60" s="165"/>
      <c r="RMJ60" s="165"/>
      <c r="RMK60" s="165"/>
      <c r="RML60" s="165"/>
      <c r="RMM60" s="165"/>
      <c r="RMN60" s="165"/>
      <c r="RMO60" s="165"/>
      <c r="RMP60" s="165"/>
      <c r="RMQ60" s="165"/>
      <c r="RMR60" s="165"/>
      <c r="RMS60" s="165"/>
      <c r="RMT60" s="165"/>
      <c r="RMU60" s="165"/>
      <c r="RMV60" s="165"/>
      <c r="RMW60" s="165"/>
      <c r="RMX60" s="165"/>
      <c r="RMY60" s="165"/>
      <c r="RMZ60" s="165"/>
      <c r="RNA60" s="165"/>
      <c r="RNB60" s="165"/>
      <c r="RNC60" s="165"/>
      <c r="RND60" s="165"/>
      <c r="RNE60" s="165"/>
      <c r="RNF60" s="165"/>
      <c r="RNG60" s="165"/>
      <c r="RNH60" s="165"/>
      <c r="RNI60" s="165"/>
      <c r="RNJ60" s="165"/>
      <c r="RNK60" s="165"/>
      <c r="RNL60" s="165"/>
      <c r="RNM60" s="165"/>
      <c r="RNN60" s="165"/>
      <c r="RNO60" s="165"/>
      <c r="RNP60" s="165"/>
      <c r="RNQ60" s="165"/>
      <c r="RNR60" s="165"/>
      <c r="RNS60" s="165"/>
      <c r="RNT60" s="165"/>
      <c r="RNU60" s="165"/>
      <c r="RNV60" s="165"/>
      <c r="RNW60" s="165"/>
      <c r="RNX60" s="165"/>
      <c r="RNY60" s="165"/>
      <c r="RNZ60" s="165"/>
      <c r="ROA60" s="165"/>
      <c r="ROB60" s="165"/>
      <c r="ROC60" s="165"/>
      <c r="ROD60" s="165"/>
      <c r="ROE60" s="165"/>
      <c r="ROF60" s="165"/>
      <c r="ROG60" s="165"/>
      <c r="ROH60" s="165"/>
      <c r="ROI60" s="165"/>
      <c r="ROJ60" s="165"/>
      <c r="ROK60" s="165"/>
      <c r="ROL60" s="165"/>
      <c r="ROM60" s="165"/>
      <c r="RON60" s="165"/>
      <c r="ROO60" s="165"/>
      <c r="ROP60" s="165"/>
      <c r="ROQ60" s="165"/>
      <c r="ROR60" s="165"/>
      <c r="ROS60" s="165"/>
      <c r="ROT60" s="165"/>
      <c r="ROU60" s="165"/>
      <c r="ROV60" s="165"/>
      <c r="ROW60" s="165"/>
      <c r="ROX60" s="165"/>
      <c r="ROY60" s="165"/>
      <c r="ROZ60" s="165"/>
      <c r="RPA60" s="165"/>
      <c r="RPB60" s="165"/>
      <c r="RPC60" s="165"/>
      <c r="RPD60" s="165"/>
      <c r="RPE60" s="165"/>
      <c r="RPF60" s="165"/>
      <c r="RPG60" s="165"/>
      <c r="RPH60" s="165"/>
      <c r="RPI60" s="165"/>
      <c r="RPJ60" s="165"/>
      <c r="RPK60" s="165"/>
      <c r="RPL60" s="165"/>
      <c r="RPM60" s="165"/>
      <c r="RPN60" s="165"/>
      <c r="RPO60" s="165"/>
      <c r="RPP60" s="165"/>
      <c r="RPQ60" s="165"/>
      <c r="RPR60" s="165"/>
      <c r="RPS60" s="165"/>
      <c r="RPT60" s="165"/>
      <c r="RPU60" s="165"/>
      <c r="RPV60" s="165"/>
      <c r="RPW60" s="165"/>
      <c r="RPX60" s="165"/>
      <c r="RPY60" s="165"/>
      <c r="RPZ60" s="165"/>
      <c r="RQA60" s="165"/>
      <c r="RQB60" s="165"/>
      <c r="RQC60" s="165"/>
      <c r="RQD60" s="165"/>
      <c r="RQE60" s="165"/>
      <c r="RQF60" s="165"/>
      <c r="RQG60" s="165"/>
      <c r="RQH60" s="165"/>
      <c r="RQI60" s="165"/>
      <c r="RQJ60" s="165"/>
      <c r="RQK60" s="165"/>
      <c r="RQL60" s="165"/>
      <c r="RQM60" s="165"/>
      <c r="RQN60" s="165"/>
      <c r="RQO60" s="165"/>
      <c r="RQP60" s="165"/>
      <c r="RQQ60" s="165"/>
      <c r="RQR60" s="165"/>
      <c r="RQS60" s="165"/>
      <c r="RQT60" s="165"/>
      <c r="RQU60" s="165"/>
      <c r="RQV60" s="165"/>
      <c r="RQW60" s="165"/>
      <c r="RQX60" s="165"/>
      <c r="RQY60" s="165"/>
      <c r="RQZ60" s="165"/>
      <c r="RRA60" s="165"/>
      <c r="RRB60" s="165"/>
      <c r="RRC60" s="165"/>
      <c r="RRD60" s="165"/>
      <c r="RRE60" s="165"/>
      <c r="RRF60" s="165"/>
      <c r="RRG60" s="165"/>
      <c r="RRH60" s="165"/>
      <c r="RRI60" s="165"/>
      <c r="RRJ60" s="165"/>
      <c r="RRK60" s="165"/>
      <c r="RRL60" s="165"/>
      <c r="RRM60" s="165"/>
      <c r="RRN60" s="165"/>
      <c r="RRO60" s="165"/>
      <c r="RRP60" s="165"/>
      <c r="RRQ60" s="165"/>
      <c r="RRR60" s="165"/>
      <c r="RRS60" s="165"/>
      <c r="RRT60" s="165"/>
      <c r="RRU60" s="165"/>
      <c r="RRV60" s="165"/>
      <c r="RRW60" s="165"/>
      <c r="RRX60" s="165"/>
      <c r="RRY60" s="165"/>
      <c r="RRZ60" s="165"/>
      <c r="RSA60" s="165"/>
      <c r="RSB60" s="165"/>
      <c r="RSC60" s="165"/>
      <c r="RSD60" s="165"/>
      <c r="RSE60" s="165"/>
      <c r="RSF60" s="165"/>
      <c r="RSG60" s="165"/>
      <c r="RSH60" s="165"/>
      <c r="RSI60" s="165"/>
      <c r="RSJ60" s="165"/>
      <c r="RSK60" s="165"/>
      <c r="RSL60" s="165"/>
      <c r="RSM60" s="165"/>
      <c r="RSN60" s="165"/>
      <c r="RSO60" s="165"/>
      <c r="RSP60" s="165"/>
      <c r="RSQ60" s="165"/>
      <c r="RSR60" s="165"/>
      <c r="RSS60" s="165"/>
      <c r="RST60" s="165"/>
      <c r="RSU60" s="165"/>
      <c r="RSV60" s="165"/>
      <c r="RSW60" s="165"/>
      <c r="RSX60" s="165"/>
      <c r="RSY60" s="165"/>
      <c r="RSZ60" s="165"/>
      <c r="RTA60" s="165"/>
      <c r="RTB60" s="165"/>
      <c r="RTC60" s="165"/>
      <c r="RTD60" s="165"/>
      <c r="RTE60" s="165"/>
      <c r="RTF60" s="165"/>
      <c r="RTG60" s="165"/>
      <c r="RTH60" s="165"/>
      <c r="RTI60" s="165"/>
      <c r="RTJ60" s="165"/>
      <c r="RTK60" s="165"/>
      <c r="RTL60" s="165"/>
      <c r="RTM60" s="165"/>
      <c r="RTN60" s="165"/>
      <c r="RTO60" s="165"/>
      <c r="RTP60" s="165"/>
      <c r="RTQ60" s="165"/>
      <c r="RTR60" s="165"/>
      <c r="RTS60" s="165"/>
      <c r="RTT60" s="165"/>
      <c r="RTU60" s="165"/>
      <c r="RTV60" s="165"/>
      <c r="RTW60" s="165"/>
      <c r="RTX60" s="165"/>
      <c r="RTY60" s="165"/>
      <c r="RTZ60" s="165"/>
      <c r="RUA60" s="165"/>
      <c r="RUB60" s="165"/>
      <c r="RUC60" s="165"/>
      <c r="RUD60" s="165"/>
      <c r="RUE60" s="165"/>
      <c r="RUF60" s="165"/>
      <c r="RUG60" s="165"/>
      <c r="RUH60" s="165"/>
      <c r="RUI60" s="165"/>
      <c r="RUJ60" s="165"/>
      <c r="RUK60" s="165"/>
      <c r="RUL60" s="165"/>
      <c r="RUM60" s="165"/>
      <c r="RUN60" s="165"/>
      <c r="RUO60" s="165"/>
      <c r="RUP60" s="165"/>
      <c r="RUQ60" s="165"/>
      <c r="RUR60" s="165"/>
      <c r="RUS60" s="165"/>
      <c r="RUT60" s="165"/>
      <c r="RUU60" s="165"/>
      <c r="RUV60" s="165"/>
      <c r="RUW60" s="165"/>
      <c r="RUX60" s="165"/>
      <c r="RUY60" s="165"/>
      <c r="RUZ60" s="165"/>
      <c r="RVA60" s="165"/>
      <c r="RVB60" s="165"/>
      <c r="RVC60" s="165"/>
      <c r="RVD60" s="165"/>
      <c r="RVE60" s="165"/>
      <c r="RVF60" s="165"/>
      <c r="RVG60" s="165"/>
      <c r="RVH60" s="165"/>
      <c r="RVI60" s="165"/>
      <c r="RVJ60" s="165"/>
      <c r="RVK60" s="165"/>
      <c r="RVL60" s="165"/>
      <c r="RVM60" s="165"/>
      <c r="RVN60" s="165"/>
      <c r="RVO60" s="165"/>
      <c r="RVP60" s="165"/>
      <c r="RVQ60" s="165"/>
      <c r="RVR60" s="165"/>
      <c r="RVS60" s="165"/>
      <c r="RVT60" s="165"/>
      <c r="RVU60" s="165"/>
      <c r="RVV60" s="165"/>
      <c r="RVW60" s="165"/>
      <c r="RVX60" s="165"/>
      <c r="RVY60" s="165"/>
      <c r="RVZ60" s="165"/>
      <c r="RWA60" s="165"/>
      <c r="RWB60" s="165"/>
      <c r="RWC60" s="165"/>
      <c r="RWD60" s="165"/>
      <c r="RWE60" s="165"/>
      <c r="RWF60" s="165"/>
      <c r="RWG60" s="165"/>
      <c r="RWH60" s="165"/>
      <c r="RWI60" s="165"/>
      <c r="RWJ60" s="165"/>
      <c r="RWK60" s="165"/>
      <c r="RWL60" s="165"/>
      <c r="RWM60" s="165"/>
      <c r="RWN60" s="165"/>
      <c r="RWO60" s="165"/>
      <c r="RWP60" s="165"/>
      <c r="RWQ60" s="165"/>
      <c r="RWR60" s="165"/>
      <c r="RWS60" s="165"/>
      <c r="RWT60" s="165"/>
      <c r="RWU60" s="165"/>
      <c r="RWV60" s="165"/>
      <c r="RWW60" s="165"/>
      <c r="RWX60" s="165"/>
      <c r="RWY60" s="165"/>
      <c r="RWZ60" s="165"/>
      <c r="RXA60" s="165"/>
      <c r="RXB60" s="165"/>
      <c r="RXC60" s="165"/>
      <c r="RXD60" s="165"/>
      <c r="RXE60" s="165"/>
      <c r="RXF60" s="165"/>
      <c r="RXG60" s="165"/>
      <c r="RXH60" s="165"/>
      <c r="RXI60" s="165"/>
      <c r="RXJ60" s="165"/>
      <c r="RXK60" s="165"/>
      <c r="RXL60" s="165"/>
      <c r="RXM60" s="165"/>
      <c r="RXN60" s="165"/>
      <c r="RXO60" s="165"/>
      <c r="RXP60" s="165"/>
      <c r="RXQ60" s="165"/>
      <c r="RXR60" s="165"/>
      <c r="RXS60" s="165"/>
      <c r="RXT60" s="165"/>
      <c r="RXU60" s="165"/>
      <c r="RXV60" s="165"/>
      <c r="RXW60" s="165"/>
      <c r="RXX60" s="165"/>
      <c r="RXY60" s="165"/>
      <c r="RXZ60" s="165"/>
      <c r="RYA60" s="165"/>
      <c r="RYB60" s="165"/>
      <c r="RYC60" s="165"/>
      <c r="RYD60" s="165"/>
      <c r="RYE60" s="165"/>
      <c r="RYF60" s="165"/>
      <c r="RYG60" s="165"/>
      <c r="RYH60" s="165"/>
      <c r="RYI60" s="165"/>
      <c r="RYJ60" s="165"/>
      <c r="RYK60" s="165"/>
      <c r="RYL60" s="165"/>
      <c r="RYM60" s="165"/>
      <c r="RYN60" s="165"/>
      <c r="RYO60" s="165"/>
      <c r="RYP60" s="165"/>
      <c r="RYQ60" s="165"/>
      <c r="RYR60" s="165"/>
      <c r="RYS60" s="165"/>
      <c r="RYT60" s="165"/>
      <c r="RYU60" s="165"/>
      <c r="RYV60" s="165"/>
      <c r="RYW60" s="165"/>
      <c r="RYX60" s="165"/>
      <c r="RYY60" s="165"/>
      <c r="RYZ60" s="165"/>
      <c r="RZA60" s="165"/>
      <c r="RZB60" s="165"/>
      <c r="RZC60" s="165"/>
      <c r="RZD60" s="165"/>
      <c r="RZE60" s="165"/>
      <c r="RZF60" s="165"/>
      <c r="RZG60" s="165"/>
      <c r="RZH60" s="165"/>
      <c r="RZI60" s="165"/>
      <c r="RZJ60" s="165"/>
      <c r="RZK60" s="165"/>
      <c r="RZL60" s="165"/>
      <c r="RZM60" s="165"/>
      <c r="RZN60" s="165"/>
      <c r="RZO60" s="165"/>
      <c r="RZP60" s="165"/>
      <c r="RZQ60" s="165"/>
      <c r="RZR60" s="165"/>
      <c r="RZS60" s="165"/>
      <c r="RZT60" s="165"/>
      <c r="RZU60" s="165"/>
      <c r="RZV60" s="165"/>
      <c r="RZW60" s="165"/>
      <c r="RZX60" s="165"/>
      <c r="RZY60" s="165"/>
      <c r="RZZ60" s="165"/>
      <c r="SAA60" s="165"/>
      <c r="SAB60" s="165"/>
      <c r="SAC60" s="165"/>
      <c r="SAD60" s="165"/>
      <c r="SAE60" s="165"/>
      <c r="SAF60" s="165"/>
      <c r="SAG60" s="165"/>
      <c r="SAH60" s="165"/>
      <c r="SAI60" s="165"/>
      <c r="SAJ60" s="165"/>
      <c r="SAK60" s="165"/>
      <c r="SAL60" s="165"/>
      <c r="SAM60" s="165"/>
      <c r="SAN60" s="165"/>
      <c r="SAO60" s="165"/>
      <c r="SAP60" s="165"/>
      <c r="SAQ60" s="165"/>
      <c r="SAR60" s="165"/>
      <c r="SAS60" s="165"/>
      <c r="SAT60" s="165"/>
      <c r="SAU60" s="165"/>
      <c r="SAV60" s="165"/>
      <c r="SAW60" s="165"/>
      <c r="SAX60" s="165"/>
      <c r="SAY60" s="165"/>
      <c r="SAZ60" s="165"/>
      <c r="SBA60" s="165"/>
      <c r="SBB60" s="165"/>
      <c r="SBC60" s="165"/>
      <c r="SBD60" s="165"/>
      <c r="SBE60" s="165"/>
      <c r="SBF60" s="165"/>
      <c r="SBG60" s="165"/>
      <c r="SBH60" s="165"/>
      <c r="SBI60" s="165"/>
      <c r="SBJ60" s="165"/>
      <c r="SBK60" s="165"/>
      <c r="SBL60" s="165"/>
      <c r="SBM60" s="165"/>
      <c r="SBN60" s="165"/>
      <c r="SBO60" s="165"/>
      <c r="SBP60" s="165"/>
      <c r="SBQ60" s="165"/>
      <c r="SBR60" s="165"/>
      <c r="SBS60" s="165"/>
      <c r="SBT60" s="165"/>
      <c r="SBU60" s="165"/>
      <c r="SBV60" s="165"/>
      <c r="SBW60" s="165"/>
      <c r="SBX60" s="165"/>
      <c r="SBY60" s="165"/>
      <c r="SBZ60" s="165"/>
      <c r="SCA60" s="165"/>
      <c r="SCB60" s="165"/>
      <c r="SCC60" s="165"/>
      <c r="SCD60" s="165"/>
      <c r="SCE60" s="165"/>
      <c r="SCF60" s="165"/>
      <c r="SCG60" s="165"/>
      <c r="SCH60" s="165"/>
      <c r="SCI60" s="165"/>
      <c r="SCJ60" s="165"/>
      <c r="SCK60" s="165"/>
      <c r="SCL60" s="165"/>
      <c r="SCM60" s="165"/>
      <c r="SCN60" s="165"/>
      <c r="SCO60" s="165"/>
      <c r="SCP60" s="165"/>
      <c r="SCQ60" s="165"/>
      <c r="SCR60" s="165"/>
      <c r="SCS60" s="165"/>
      <c r="SCT60" s="165"/>
      <c r="SCU60" s="165"/>
      <c r="SCV60" s="165"/>
      <c r="SCW60" s="165"/>
      <c r="SCX60" s="165"/>
      <c r="SCY60" s="165"/>
      <c r="SCZ60" s="165"/>
      <c r="SDA60" s="165"/>
      <c r="SDB60" s="165"/>
      <c r="SDC60" s="165"/>
      <c r="SDD60" s="165"/>
      <c r="SDE60" s="165"/>
      <c r="SDF60" s="165"/>
      <c r="SDG60" s="165"/>
      <c r="SDH60" s="165"/>
      <c r="SDI60" s="165"/>
      <c r="SDJ60" s="165"/>
      <c r="SDK60" s="165"/>
      <c r="SDL60" s="165"/>
      <c r="SDM60" s="165"/>
      <c r="SDN60" s="165"/>
      <c r="SDO60" s="165"/>
      <c r="SDP60" s="165"/>
      <c r="SDQ60" s="165"/>
      <c r="SDR60" s="165"/>
      <c r="SDS60" s="165"/>
      <c r="SDT60" s="165"/>
      <c r="SDU60" s="165"/>
      <c r="SDV60" s="165"/>
      <c r="SDW60" s="165"/>
      <c r="SDX60" s="165"/>
      <c r="SDY60" s="165"/>
      <c r="SDZ60" s="165"/>
      <c r="SEA60" s="165"/>
      <c r="SEB60" s="165"/>
      <c r="SEC60" s="165"/>
      <c r="SED60" s="165"/>
      <c r="SEE60" s="165"/>
      <c r="SEF60" s="165"/>
      <c r="SEG60" s="165"/>
      <c r="SEH60" s="165"/>
      <c r="SEI60" s="165"/>
      <c r="SEJ60" s="165"/>
      <c r="SEK60" s="165"/>
      <c r="SEL60" s="165"/>
      <c r="SEM60" s="165"/>
      <c r="SEN60" s="165"/>
      <c r="SEO60" s="165"/>
      <c r="SEP60" s="165"/>
      <c r="SEQ60" s="165"/>
      <c r="SER60" s="165"/>
      <c r="SES60" s="165"/>
      <c r="SET60" s="165"/>
      <c r="SEU60" s="165"/>
      <c r="SEV60" s="165"/>
      <c r="SEW60" s="165"/>
      <c r="SEX60" s="165"/>
      <c r="SEY60" s="165"/>
      <c r="SEZ60" s="165"/>
      <c r="SFA60" s="165"/>
      <c r="SFB60" s="165"/>
      <c r="SFC60" s="165"/>
      <c r="SFD60" s="165"/>
      <c r="SFE60" s="165"/>
      <c r="SFF60" s="165"/>
      <c r="SFG60" s="165"/>
      <c r="SFH60" s="165"/>
      <c r="SFI60" s="165"/>
      <c r="SFJ60" s="165"/>
      <c r="SFK60" s="165"/>
      <c r="SFL60" s="165"/>
      <c r="SFM60" s="165"/>
      <c r="SFN60" s="165"/>
      <c r="SFO60" s="165"/>
      <c r="SFP60" s="165"/>
      <c r="SFQ60" s="165"/>
      <c r="SFR60" s="165"/>
      <c r="SFS60" s="165"/>
      <c r="SFT60" s="165"/>
      <c r="SFU60" s="165"/>
      <c r="SFV60" s="165"/>
      <c r="SFW60" s="165"/>
      <c r="SFX60" s="165"/>
      <c r="SFY60" s="165"/>
      <c r="SFZ60" s="165"/>
      <c r="SGA60" s="165"/>
      <c r="SGB60" s="165"/>
      <c r="SGC60" s="165"/>
      <c r="SGD60" s="165"/>
      <c r="SGE60" s="165"/>
      <c r="SGF60" s="165"/>
      <c r="SGG60" s="165"/>
      <c r="SGH60" s="165"/>
      <c r="SGI60" s="165"/>
      <c r="SGJ60" s="165"/>
      <c r="SGK60" s="165"/>
      <c r="SGL60" s="165"/>
      <c r="SGM60" s="165"/>
      <c r="SGN60" s="165"/>
      <c r="SGO60" s="165"/>
      <c r="SGP60" s="165"/>
      <c r="SGQ60" s="165"/>
      <c r="SGR60" s="165"/>
      <c r="SGS60" s="165"/>
      <c r="SGT60" s="165"/>
      <c r="SGU60" s="165"/>
      <c r="SGV60" s="165"/>
      <c r="SGW60" s="165"/>
      <c r="SGX60" s="165"/>
      <c r="SGY60" s="165"/>
      <c r="SGZ60" s="165"/>
      <c r="SHA60" s="165"/>
      <c r="SHB60" s="165"/>
      <c r="SHC60" s="165"/>
      <c r="SHD60" s="165"/>
      <c r="SHE60" s="165"/>
      <c r="SHF60" s="165"/>
      <c r="SHG60" s="165"/>
      <c r="SHH60" s="165"/>
      <c r="SHI60" s="165"/>
      <c r="SHJ60" s="165"/>
      <c r="SHK60" s="165"/>
      <c r="SHL60" s="165"/>
      <c r="SHM60" s="165"/>
      <c r="SHN60" s="165"/>
      <c r="SHO60" s="165"/>
      <c r="SHP60" s="165"/>
      <c r="SHQ60" s="165"/>
      <c r="SHR60" s="165"/>
      <c r="SHS60" s="165"/>
      <c r="SHT60" s="165"/>
      <c r="SHU60" s="165"/>
      <c r="SHV60" s="165"/>
      <c r="SHW60" s="165"/>
      <c r="SHX60" s="165"/>
      <c r="SHY60" s="165"/>
      <c r="SHZ60" s="165"/>
      <c r="SIA60" s="165"/>
      <c r="SIB60" s="165"/>
      <c r="SIC60" s="165"/>
      <c r="SID60" s="165"/>
      <c r="SIE60" s="165"/>
      <c r="SIF60" s="165"/>
      <c r="SIG60" s="165"/>
      <c r="SIH60" s="165"/>
      <c r="SII60" s="165"/>
      <c r="SIJ60" s="165"/>
      <c r="SIK60" s="165"/>
      <c r="SIL60" s="165"/>
      <c r="SIM60" s="165"/>
      <c r="SIN60" s="165"/>
      <c r="SIO60" s="165"/>
      <c r="SIP60" s="165"/>
      <c r="SIQ60" s="165"/>
      <c r="SIR60" s="165"/>
      <c r="SIS60" s="165"/>
      <c r="SIT60" s="165"/>
      <c r="SIU60" s="165"/>
      <c r="SIV60" s="165"/>
      <c r="SIW60" s="165"/>
      <c r="SIX60" s="165"/>
      <c r="SIY60" s="165"/>
      <c r="SIZ60" s="165"/>
      <c r="SJA60" s="165"/>
      <c r="SJB60" s="165"/>
      <c r="SJC60" s="165"/>
      <c r="SJD60" s="165"/>
      <c r="SJE60" s="165"/>
      <c r="SJF60" s="165"/>
      <c r="SJG60" s="165"/>
      <c r="SJH60" s="165"/>
      <c r="SJI60" s="165"/>
      <c r="SJJ60" s="165"/>
      <c r="SJK60" s="165"/>
      <c r="SJL60" s="165"/>
      <c r="SJM60" s="165"/>
      <c r="SJN60" s="165"/>
      <c r="SJO60" s="165"/>
      <c r="SJP60" s="165"/>
      <c r="SJQ60" s="165"/>
      <c r="SJR60" s="165"/>
      <c r="SJS60" s="165"/>
      <c r="SJT60" s="165"/>
      <c r="SJU60" s="165"/>
      <c r="SJV60" s="165"/>
      <c r="SJW60" s="165"/>
      <c r="SJX60" s="165"/>
      <c r="SJY60" s="165"/>
      <c r="SJZ60" s="165"/>
      <c r="SKA60" s="165"/>
      <c r="SKB60" s="165"/>
      <c r="SKC60" s="165"/>
      <c r="SKD60" s="165"/>
      <c r="SKE60" s="165"/>
      <c r="SKF60" s="165"/>
      <c r="SKG60" s="165"/>
      <c r="SKH60" s="165"/>
      <c r="SKI60" s="165"/>
      <c r="SKJ60" s="165"/>
      <c r="SKK60" s="165"/>
      <c r="SKL60" s="165"/>
      <c r="SKM60" s="165"/>
      <c r="SKN60" s="165"/>
      <c r="SKO60" s="165"/>
      <c r="SKP60" s="165"/>
      <c r="SKQ60" s="165"/>
      <c r="SKR60" s="165"/>
      <c r="SKS60" s="165"/>
      <c r="SKT60" s="165"/>
      <c r="SKU60" s="165"/>
      <c r="SKV60" s="165"/>
      <c r="SKW60" s="165"/>
      <c r="SKX60" s="165"/>
      <c r="SKY60" s="165"/>
      <c r="SKZ60" s="165"/>
      <c r="SLA60" s="165"/>
      <c r="SLB60" s="165"/>
      <c r="SLC60" s="165"/>
      <c r="SLD60" s="165"/>
      <c r="SLE60" s="165"/>
      <c r="SLF60" s="165"/>
      <c r="SLG60" s="165"/>
      <c r="SLH60" s="165"/>
      <c r="SLI60" s="165"/>
      <c r="SLJ60" s="165"/>
      <c r="SLK60" s="165"/>
      <c r="SLL60" s="165"/>
      <c r="SLM60" s="165"/>
      <c r="SLN60" s="165"/>
      <c r="SLO60" s="165"/>
      <c r="SLP60" s="165"/>
      <c r="SLQ60" s="165"/>
      <c r="SLR60" s="165"/>
      <c r="SLS60" s="165"/>
      <c r="SLT60" s="165"/>
      <c r="SLU60" s="165"/>
      <c r="SLV60" s="165"/>
      <c r="SLW60" s="165"/>
      <c r="SLX60" s="165"/>
      <c r="SLY60" s="165"/>
      <c r="SLZ60" s="165"/>
      <c r="SMA60" s="165"/>
      <c r="SMB60" s="165"/>
      <c r="SMC60" s="165"/>
      <c r="SMD60" s="165"/>
      <c r="SME60" s="165"/>
      <c r="SMF60" s="165"/>
      <c r="SMG60" s="165"/>
      <c r="SMH60" s="165"/>
      <c r="SMI60" s="165"/>
      <c r="SMJ60" s="165"/>
      <c r="SMK60" s="165"/>
      <c r="SML60" s="165"/>
      <c r="SMM60" s="165"/>
      <c r="SMN60" s="165"/>
      <c r="SMO60" s="165"/>
      <c r="SMP60" s="165"/>
      <c r="SMQ60" s="165"/>
      <c r="SMR60" s="165"/>
      <c r="SMS60" s="165"/>
      <c r="SMT60" s="165"/>
      <c r="SMU60" s="165"/>
      <c r="SMV60" s="165"/>
      <c r="SMW60" s="165"/>
      <c r="SMX60" s="165"/>
      <c r="SMY60" s="165"/>
      <c r="SMZ60" s="165"/>
      <c r="SNA60" s="165"/>
      <c r="SNB60" s="165"/>
      <c r="SNC60" s="165"/>
      <c r="SND60" s="165"/>
      <c r="SNE60" s="165"/>
      <c r="SNF60" s="165"/>
      <c r="SNG60" s="165"/>
      <c r="SNH60" s="165"/>
      <c r="SNI60" s="165"/>
      <c r="SNJ60" s="165"/>
      <c r="SNK60" s="165"/>
      <c r="SNL60" s="165"/>
      <c r="SNM60" s="165"/>
      <c r="SNN60" s="165"/>
      <c r="SNO60" s="165"/>
      <c r="SNP60" s="165"/>
      <c r="SNQ60" s="165"/>
      <c r="SNR60" s="165"/>
      <c r="SNS60" s="165"/>
      <c r="SNT60" s="165"/>
      <c r="SNU60" s="165"/>
      <c r="SNV60" s="165"/>
      <c r="SNW60" s="165"/>
      <c r="SNX60" s="165"/>
      <c r="SNY60" s="165"/>
      <c r="SNZ60" s="165"/>
      <c r="SOA60" s="165"/>
      <c r="SOB60" s="165"/>
      <c r="SOC60" s="165"/>
      <c r="SOD60" s="165"/>
      <c r="SOE60" s="165"/>
      <c r="SOF60" s="165"/>
      <c r="SOG60" s="165"/>
      <c r="SOH60" s="165"/>
      <c r="SOI60" s="165"/>
      <c r="SOJ60" s="165"/>
      <c r="SOK60" s="165"/>
      <c r="SOL60" s="165"/>
      <c r="SOM60" s="165"/>
      <c r="SON60" s="165"/>
      <c r="SOO60" s="165"/>
      <c r="SOP60" s="165"/>
      <c r="SOQ60" s="165"/>
      <c r="SOR60" s="165"/>
      <c r="SOS60" s="165"/>
      <c r="SOT60" s="165"/>
      <c r="SOU60" s="165"/>
      <c r="SOV60" s="165"/>
      <c r="SOW60" s="165"/>
      <c r="SOX60" s="165"/>
      <c r="SOY60" s="165"/>
      <c r="SOZ60" s="165"/>
      <c r="SPA60" s="165"/>
      <c r="SPB60" s="165"/>
      <c r="SPC60" s="165"/>
      <c r="SPD60" s="165"/>
      <c r="SPE60" s="165"/>
      <c r="SPF60" s="165"/>
      <c r="SPG60" s="165"/>
      <c r="SPH60" s="165"/>
      <c r="SPI60" s="165"/>
      <c r="SPJ60" s="165"/>
      <c r="SPK60" s="165"/>
      <c r="SPL60" s="165"/>
      <c r="SPM60" s="165"/>
      <c r="SPN60" s="165"/>
      <c r="SPO60" s="165"/>
      <c r="SPP60" s="165"/>
      <c r="SPQ60" s="165"/>
      <c r="SPR60" s="165"/>
      <c r="SPS60" s="165"/>
      <c r="SPT60" s="165"/>
      <c r="SPU60" s="165"/>
      <c r="SPV60" s="165"/>
      <c r="SPW60" s="165"/>
      <c r="SPX60" s="165"/>
      <c r="SPY60" s="165"/>
      <c r="SPZ60" s="165"/>
      <c r="SQA60" s="165"/>
      <c r="SQB60" s="165"/>
      <c r="SQC60" s="165"/>
      <c r="SQD60" s="165"/>
      <c r="SQE60" s="165"/>
      <c r="SQF60" s="165"/>
      <c r="SQG60" s="165"/>
      <c r="SQH60" s="165"/>
      <c r="SQI60" s="165"/>
      <c r="SQJ60" s="165"/>
      <c r="SQK60" s="165"/>
      <c r="SQL60" s="165"/>
      <c r="SQM60" s="165"/>
      <c r="SQN60" s="165"/>
      <c r="SQO60" s="165"/>
      <c r="SQP60" s="165"/>
      <c r="SQQ60" s="165"/>
      <c r="SQR60" s="165"/>
      <c r="SQS60" s="165"/>
      <c r="SQT60" s="165"/>
      <c r="SQU60" s="165"/>
      <c r="SQV60" s="165"/>
      <c r="SQW60" s="165"/>
      <c r="SQX60" s="165"/>
      <c r="SQY60" s="165"/>
      <c r="SQZ60" s="165"/>
      <c r="SRA60" s="165"/>
      <c r="SRB60" s="165"/>
      <c r="SRC60" s="165"/>
      <c r="SRD60" s="165"/>
      <c r="SRE60" s="165"/>
      <c r="SRF60" s="165"/>
      <c r="SRG60" s="165"/>
      <c r="SRH60" s="165"/>
      <c r="SRI60" s="165"/>
      <c r="SRJ60" s="165"/>
      <c r="SRK60" s="165"/>
      <c r="SRL60" s="165"/>
      <c r="SRM60" s="165"/>
      <c r="SRN60" s="165"/>
      <c r="SRO60" s="165"/>
      <c r="SRP60" s="165"/>
      <c r="SRQ60" s="165"/>
      <c r="SRR60" s="165"/>
      <c r="SRS60" s="165"/>
      <c r="SRT60" s="165"/>
      <c r="SRU60" s="165"/>
      <c r="SRV60" s="165"/>
      <c r="SRW60" s="165"/>
      <c r="SRX60" s="165"/>
      <c r="SRY60" s="165"/>
      <c r="SRZ60" s="165"/>
      <c r="SSA60" s="165"/>
      <c r="SSB60" s="165"/>
      <c r="SSC60" s="165"/>
      <c r="SSD60" s="165"/>
      <c r="SSE60" s="165"/>
      <c r="SSF60" s="165"/>
      <c r="SSG60" s="165"/>
      <c r="SSH60" s="165"/>
      <c r="SSI60" s="165"/>
      <c r="SSJ60" s="165"/>
      <c r="SSK60" s="165"/>
      <c r="SSL60" s="165"/>
      <c r="SSM60" s="165"/>
      <c r="SSN60" s="165"/>
      <c r="SSO60" s="165"/>
      <c r="SSP60" s="165"/>
      <c r="SSQ60" s="165"/>
      <c r="SSR60" s="165"/>
      <c r="SSS60" s="165"/>
      <c r="SST60" s="165"/>
      <c r="SSU60" s="165"/>
      <c r="SSV60" s="165"/>
      <c r="SSW60" s="165"/>
      <c r="SSX60" s="165"/>
      <c r="SSY60" s="165"/>
      <c r="SSZ60" s="165"/>
      <c r="STA60" s="165"/>
      <c r="STB60" s="165"/>
      <c r="STC60" s="165"/>
      <c r="STD60" s="165"/>
      <c r="STE60" s="165"/>
      <c r="STF60" s="165"/>
      <c r="STG60" s="165"/>
      <c r="STH60" s="165"/>
      <c r="STI60" s="165"/>
      <c r="STJ60" s="165"/>
      <c r="STK60" s="165"/>
      <c r="STL60" s="165"/>
      <c r="STM60" s="165"/>
      <c r="STN60" s="165"/>
      <c r="STO60" s="165"/>
      <c r="STP60" s="165"/>
      <c r="STQ60" s="165"/>
      <c r="STR60" s="165"/>
      <c r="STS60" s="165"/>
      <c r="STT60" s="165"/>
      <c r="STU60" s="165"/>
      <c r="STV60" s="165"/>
      <c r="STW60" s="165"/>
      <c r="STX60" s="165"/>
      <c r="STY60" s="165"/>
      <c r="STZ60" s="165"/>
      <c r="SUA60" s="165"/>
      <c r="SUB60" s="165"/>
      <c r="SUC60" s="165"/>
      <c r="SUD60" s="165"/>
      <c r="SUE60" s="165"/>
      <c r="SUF60" s="165"/>
      <c r="SUG60" s="165"/>
      <c r="SUH60" s="165"/>
      <c r="SUI60" s="165"/>
      <c r="SUJ60" s="165"/>
      <c r="SUK60" s="165"/>
      <c r="SUL60" s="165"/>
      <c r="SUM60" s="165"/>
      <c r="SUN60" s="165"/>
      <c r="SUO60" s="165"/>
      <c r="SUP60" s="165"/>
      <c r="SUQ60" s="165"/>
      <c r="SUR60" s="165"/>
      <c r="SUS60" s="165"/>
      <c r="SUT60" s="165"/>
      <c r="SUU60" s="165"/>
      <c r="SUV60" s="165"/>
      <c r="SUW60" s="165"/>
      <c r="SUX60" s="165"/>
      <c r="SUY60" s="165"/>
      <c r="SUZ60" s="165"/>
      <c r="SVA60" s="165"/>
      <c r="SVB60" s="165"/>
      <c r="SVC60" s="165"/>
      <c r="SVD60" s="165"/>
      <c r="SVE60" s="165"/>
      <c r="SVF60" s="165"/>
      <c r="SVG60" s="165"/>
      <c r="SVH60" s="165"/>
      <c r="SVI60" s="165"/>
      <c r="SVJ60" s="165"/>
      <c r="SVK60" s="165"/>
      <c r="SVL60" s="165"/>
      <c r="SVM60" s="165"/>
      <c r="SVN60" s="165"/>
      <c r="SVO60" s="165"/>
      <c r="SVP60" s="165"/>
      <c r="SVQ60" s="165"/>
      <c r="SVR60" s="165"/>
      <c r="SVS60" s="165"/>
      <c r="SVT60" s="165"/>
      <c r="SVU60" s="165"/>
      <c r="SVV60" s="165"/>
      <c r="SVW60" s="165"/>
      <c r="SVX60" s="165"/>
      <c r="SVY60" s="165"/>
      <c r="SVZ60" s="165"/>
      <c r="SWA60" s="165"/>
      <c r="SWB60" s="165"/>
      <c r="SWC60" s="165"/>
      <c r="SWD60" s="165"/>
      <c r="SWE60" s="165"/>
      <c r="SWF60" s="165"/>
      <c r="SWG60" s="165"/>
      <c r="SWH60" s="165"/>
      <c r="SWI60" s="165"/>
      <c r="SWJ60" s="165"/>
      <c r="SWK60" s="165"/>
      <c r="SWL60" s="165"/>
      <c r="SWM60" s="165"/>
      <c r="SWN60" s="165"/>
      <c r="SWO60" s="165"/>
      <c r="SWP60" s="165"/>
      <c r="SWQ60" s="165"/>
      <c r="SWR60" s="165"/>
      <c r="SWS60" s="165"/>
      <c r="SWT60" s="165"/>
      <c r="SWU60" s="165"/>
      <c r="SWV60" s="165"/>
      <c r="SWW60" s="165"/>
      <c r="SWX60" s="165"/>
      <c r="SWY60" s="165"/>
      <c r="SWZ60" s="165"/>
      <c r="SXA60" s="165"/>
      <c r="SXB60" s="165"/>
      <c r="SXC60" s="165"/>
      <c r="SXD60" s="165"/>
      <c r="SXE60" s="165"/>
      <c r="SXF60" s="165"/>
      <c r="SXG60" s="165"/>
      <c r="SXH60" s="165"/>
      <c r="SXI60" s="165"/>
      <c r="SXJ60" s="165"/>
      <c r="SXK60" s="165"/>
      <c r="SXL60" s="165"/>
      <c r="SXM60" s="165"/>
      <c r="SXN60" s="165"/>
      <c r="SXO60" s="165"/>
      <c r="SXP60" s="165"/>
      <c r="SXQ60" s="165"/>
      <c r="SXR60" s="165"/>
      <c r="SXS60" s="165"/>
      <c r="SXT60" s="165"/>
      <c r="SXU60" s="165"/>
      <c r="SXV60" s="165"/>
      <c r="SXW60" s="165"/>
      <c r="SXX60" s="165"/>
      <c r="SXY60" s="165"/>
      <c r="SXZ60" s="165"/>
      <c r="SYA60" s="165"/>
      <c r="SYB60" s="165"/>
      <c r="SYC60" s="165"/>
      <c r="SYD60" s="165"/>
      <c r="SYE60" s="165"/>
      <c r="SYF60" s="165"/>
      <c r="SYG60" s="165"/>
      <c r="SYH60" s="165"/>
      <c r="SYI60" s="165"/>
      <c r="SYJ60" s="165"/>
      <c r="SYK60" s="165"/>
      <c r="SYL60" s="165"/>
      <c r="SYM60" s="165"/>
      <c r="SYN60" s="165"/>
      <c r="SYO60" s="165"/>
      <c r="SYP60" s="165"/>
      <c r="SYQ60" s="165"/>
      <c r="SYR60" s="165"/>
      <c r="SYS60" s="165"/>
      <c r="SYT60" s="165"/>
      <c r="SYU60" s="165"/>
      <c r="SYV60" s="165"/>
      <c r="SYW60" s="165"/>
      <c r="SYX60" s="165"/>
      <c r="SYY60" s="165"/>
      <c r="SYZ60" s="165"/>
      <c r="SZA60" s="165"/>
      <c r="SZB60" s="165"/>
      <c r="SZC60" s="165"/>
      <c r="SZD60" s="165"/>
      <c r="SZE60" s="165"/>
      <c r="SZF60" s="165"/>
      <c r="SZG60" s="165"/>
      <c r="SZH60" s="165"/>
      <c r="SZI60" s="165"/>
      <c r="SZJ60" s="165"/>
      <c r="SZK60" s="165"/>
      <c r="SZL60" s="165"/>
      <c r="SZM60" s="165"/>
      <c r="SZN60" s="165"/>
      <c r="SZO60" s="165"/>
      <c r="SZP60" s="165"/>
      <c r="SZQ60" s="165"/>
      <c r="SZR60" s="165"/>
      <c r="SZS60" s="165"/>
      <c r="SZT60" s="165"/>
      <c r="SZU60" s="165"/>
      <c r="SZV60" s="165"/>
      <c r="SZW60" s="165"/>
      <c r="SZX60" s="165"/>
      <c r="SZY60" s="165"/>
      <c r="SZZ60" s="165"/>
      <c r="TAA60" s="165"/>
      <c r="TAB60" s="165"/>
      <c r="TAC60" s="165"/>
      <c r="TAD60" s="165"/>
      <c r="TAE60" s="165"/>
      <c r="TAF60" s="165"/>
      <c r="TAG60" s="165"/>
      <c r="TAH60" s="165"/>
      <c r="TAI60" s="165"/>
      <c r="TAJ60" s="165"/>
      <c r="TAK60" s="165"/>
      <c r="TAL60" s="165"/>
      <c r="TAM60" s="165"/>
      <c r="TAN60" s="165"/>
      <c r="TAO60" s="165"/>
      <c r="TAP60" s="165"/>
      <c r="TAQ60" s="165"/>
      <c r="TAR60" s="165"/>
      <c r="TAS60" s="165"/>
      <c r="TAT60" s="165"/>
      <c r="TAU60" s="165"/>
      <c r="TAV60" s="165"/>
      <c r="TAW60" s="165"/>
      <c r="TAX60" s="165"/>
      <c r="TAY60" s="165"/>
      <c r="TAZ60" s="165"/>
      <c r="TBA60" s="165"/>
      <c r="TBB60" s="165"/>
      <c r="TBC60" s="165"/>
      <c r="TBD60" s="165"/>
      <c r="TBE60" s="165"/>
      <c r="TBF60" s="165"/>
      <c r="TBG60" s="165"/>
      <c r="TBH60" s="165"/>
      <c r="TBI60" s="165"/>
      <c r="TBJ60" s="165"/>
      <c r="TBK60" s="165"/>
      <c r="TBL60" s="165"/>
      <c r="TBM60" s="165"/>
      <c r="TBN60" s="165"/>
      <c r="TBO60" s="165"/>
      <c r="TBP60" s="165"/>
      <c r="TBQ60" s="165"/>
      <c r="TBR60" s="165"/>
      <c r="TBS60" s="165"/>
      <c r="TBT60" s="165"/>
      <c r="TBU60" s="165"/>
      <c r="TBV60" s="165"/>
      <c r="TBW60" s="165"/>
      <c r="TBX60" s="165"/>
      <c r="TBY60" s="165"/>
      <c r="TBZ60" s="165"/>
      <c r="TCA60" s="165"/>
      <c r="TCB60" s="165"/>
      <c r="TCC60" s="165"/>
      <c r="TCD60" s="165"/>
      <c r="TCE60" s="165"/>
      <c r="TCF60" s="165"/>
      <c r="TCG60" s="165"/>
      <c r="TCH60" s="165"/>
      <c r="TCI60" s="165"/>
      <c r="TCJ60" s="165"/>
      <c r="TCK60" s="165"/>
      <c r="TCL60" s="165"/>
      <c r="TCM60" s="165"/>
      <c r="TCN60" s="165"/>
      <c r="TCO60" s="165"/>
      <c r="TCP60" s="165"/>
      <c r="TCQ60" s="165"/>
      <c r="TCR60" s="165"/>
      <c r="TCS60" s="165"/>
      <c r="TCT60" s="165"/>
      <c r="TCU60" s="165"/>
      <c r="TCV60" s="165"/>
      <c r="TCW60" s="165"/>
      <c r="TCX60" s="165"/>
      <c r="TCY60" s="165"/>
      <c r="TCZ60" s="165"/>
      <c r="TDA60" s="165"/>
      <c r="TDB60" s="165"/>
      <c r="TDC60" s="165"/>
      <c r="TDD60" s="165"/>
      <c r="TDE60" s="165"/>
      <c r="TDF60" s="165"/>
      <c r="TDG60" s="165"/>
      <c r="TDH60" s="165"/>
      <c r="TDI60" s="165"/>
      <c r="TDJ60" s="165"/>
      <c r="TDK60" s="165"/>
      <c r="TDL60" s="165"/>
      <c r="TDM60" s="165"/>
      <c r="TDN60" s="165"/>
      <c r="TDO60" s="165"/>
      <c r="TDP60" s="165"/>
      <c r="TDQ60" s="165"/>
      <c r="TDR60" s="165"/>
      <c r="TDS60" s="165"/>
      <c r="TDT60" s="165"/>
      <c r="TDU60" s="165"/>
      <c r="TDV60" s="165"/>
      <c r="TDW60" s="165"/>
      <c r="TDX60" s="165"/>
      <c r="TDY60" s="165"/>
      <c r="TDZ60" s="165"/>
      <c r="TEA60" s="165"/>
      <c r="TEB60" s="165"/>
      <c r="TEC60" s="165"/>
      <c r="TED60" s="165"/>
      <c r="TEE60" s="165"/>
      <c r="TEF60" s="165"/>
      <c r="TEG60" s="165"/>
      <c r="TEH60" s="165"/>
      <c r="TEI60" s="165"/>
      <c r="TEJ60" s="165"/>
      <c r="TEK60" s="165"/>
      <c r="TEL60" s="165"/>
      <c r="TEM60" s="165"/>
      <c r="TEN60" s="165"/>
      <c r="TEO60" s="165"/>
      <c r="TEP60" s="165"/>
      <c r="TEQ60" s="165"/>
      <c r="TER60" s="165"/>
      <c r="TES60" s="165"/>
      <c r="TET60" s="165"/>
      <c r="TEU60" s="165"/>
      <c r="TEV60" s="165"/>
      <c r="TEW60" s="165"/>
      <c r="TEX60" s="165"/>
      <c r="TEY60" s="165"/>
      <c r="TEZ60" s="165"/>
      <c r="TFA60" s="165"/>
      <c r="TFB60" s="165"/>
      <c r="TFC60" s="165"/>
      <c r="TFD60" s="165"/>
      <c r="TFE60" s="165"/>
      <c r="TFF60" s="165"/>
      <c r="TFG60" s="165"/>
      <c r="TFH60" s="165"/>
      <c r="TFI60" s="165"/>
      <c r="TFJ60" s="165"/>
      <c r="TFK60" s="165"/>
      <c r="TFL60" s="165"/>
      <c r="TFM60" s="165"/>
      <c r="TFN60" s="165"/>
      <c r="TFO60" s="165"/>
      <c r="TFP60" s="165"/>
      <c r="TFQ60" s="165"/>
      <c r="TFR60" s="165"/>
      <c r="TFS60" s="165"/>
      <c r="TFT60" s="165"/>
      <c r="TFU60" s="165"/>
      <c r="TFV60" s="165"/>
      <c r="TFW60" s="165"/>
      <c r="TFX60" s="165"/>
      <c r="TFY60" s="165"/>
      <c r="TFZ60" s="165"/>
      <c r="TGA60" s="165"/>
      <c r="TGB60" s="165"/>
      <c r="TGC60" s="165"/>
      <c r="TGD60" s="165"/>
      <c r="TGE60" s="165"/>
      <c r="TGF60" s="165"/>
      <c r="TGG60" s="165"/>
      <c r="TGH60" s="165"/>
      <c r="TGI60" s="165"/>
      <c r="TGJ60" s="165"/>
      <c r="TGK60" s="165"/>
      <c r="TGL60" s="165"/>
      <c r="TGM60" s="165"/>
      <c r="TGN60" s="165"/>
      <c r="TGO60" s="165"/>
      <c r="TGP60" s="165"/>
      <c r="TGQ60" s="165"/>
      <c r="TGR60" s="165"/>
      <c r="TGS60" s="165"/>
      <c r="TGT60" s="165"/>
      <c r="TGU60" s="165"/>
      <c r="TGV60" s="165"/>
      <c r="TGW60" s="165"/>
      <c r="TGX60" s="165"/>
      <c r="TGY60" s="165"/>
      <c r="TGZ60" s="165"/>
      <c r="THA60" s="165"/>
      <c r="THB60" s="165"/>
      <c r="THC60" s="165"/>
      <c r="THD60" s="165"/>
      <c r="THE60" s="165"/>
      <c r="THF60" s="165"/>
      <c r="THG60" s="165"/>
      <c r="THH60" s="165"/>
      <c r="THI60" s="165"/>
      <c r="THJ60" s="165"/>
      <c r="THK60" s="165"/>
      <c r="THL60" s="165"/>
      <c r="THM60" s="165"/>
      <c r="THN60" s="165"/>
      <c r="THO60" s="165"/>
      <c r="THP60" s="165"/>
      <c r="THQ60" s="165"/>
      <c r="THR60" s="165"/>
      <c r="THS60" s="165"/>
      <c r="THT60" s="165"/>
      <c r="THU60" s="165"/>
      <c r="THV60" s="165"/>
      <c r="THW60" s="165"/>
      <c r="THX60" s="165"/>
      <c r="THY60" s="165"/>
      <c r="THZ60" s="165"/>
      <c r="TIA60" s="165"/>
      <c r="TIB60" s="165"/>
      <c r="TIC60" s="165"/>
      <c r="TID60" s="165"/>
      <c r="TIE60" s="165"/>
      <c r="TIF60" s="165"/>
      <c r="TIG60" s="165"/>
      <c r="TIH60" s="165"/>
      <c r="TII60" s="165"/>
      <c r="TIJ60" s="165"/>
      <c r="TIK60" s="165"/>
      <c r="TIL60" s="165"/>
      <c r="TIM60" s="165"/>
      <c r="TIN60" s="165"/>
      <c r="TIO60" s="165"/>
      <c r="TIP60" s="165"/>
      <c r="TIQ60" s="165"/>
      <c r="TIR60" s="165"/>
      <c r="TIS60" s="165"/>
      <c r="TIT60" s="165"/>
      <c r="TIU60" s="165"/>
      <c r="TIV60" s="165"/>
      <c r="TIW60" s="165"/>
      <c r="TIX60" s="165"/>
      <c r="TIY60" s="165"/>
      <c r="TIZ60" s="165"/>
      <c r="TJA60" s="165"/>
      <c r="TJB60" s="165"/>
      <c r="TJC60" s="165"/>
      <c r="TJD60" s="165"/>
      <c r="TJE60" s="165"/>
      <c r="TJF60" s="165"/>
      <c r="TJG60" s="165"/>
      <c r="TJH60" s="165"/>
      <c r="TJI60" s="165"/>
      <c r="TJJ60" s="165"/>
      <c r="TJK60" s="165"/>
      <c r="TJL60" s="165"/>
      <c r="TJM60" s="165"/>
      <c r="TJN60" s="165"/>
      <c r="TJO60" s="165"/>
      <c r="TJP60" s="165"/>
      <c r="TJQ60" s="165"/>
      <c r="TJR60" s="165"/>
      <c r="TJS60" s="165"/>
      <c r="TJT60" s="165"/>
      <c r="TJU60" s="165"/>
      <c r="TJV60" s="165"/>
      <c r="TJW60" s="165"/>
      <c r="TJX60" s="165"/>
      <c r="TJY60" s="165"/>
      <c r="TJZ60" s="165"/>
      <c r="TKA60" s="165"/>
      <c r="TKB60" s="165"/>
      <c r="TKC60" s="165"/>
      <c r="TKD60" s="165"/>
      <c r="TKE60" s="165"/>
      <c r="TKF60" s="165"/>
      <c r="TKG60" s="165"/>
      <c r="TKH60" s="165"/>
      <c r="TKI60" s="165"/>
      <c r="TKJ60" s="165"/>
      <c r="TKK60" s="165"/>
      <c r="TKL60" s="165"/>
      <c r="TKM60" s="165"/>
      <c r="TKN60" s="165"/>
      <c r="TKO60" s="165"/>
      <c r="TKP60" s="165"/>
      <c r="TKQ60" s="165"/>
      <c r="TKR60" s="165"/>
      <c r="TKS60" s="165"/>
      <c r="TKT60" s="165"/>
      <c r="TKU60" s="165"/>
      <c r="TKV60" s="165"/>
      <c r="TKW60" s="165"/>
      <c r="TKX60" s="165"/>
      <c r="TKY60" s="165"/>
      <c r="TKZ60" s="165"/>
      <c r="TLA60" s="165"/>
      <c r="TLB60" s="165"/>
      <c r="TLC60" s="165"/>
      <c r="TLD60" s="165"/>
      <c r="TLE60" s="165"/>
      <c r="TLF60" s="165"/>
      <c r="TLG60" s="165"/>
      <c r="TLH60" s="165"/>
      <c r="TLI60" s="165"/>
      <c r="TLJ60" s="165"/>
      <c r="TLK60" s="165"/>
      <c r="TLL60" s="165"/>
      <c r="TLM60" s="165"/>
      <c r="TLN60" s="165"/>
      <c r="TLO60" s="165"/>
      <c r="TLP60" s="165"/>
      <c r="TLQ60" s="165"/>
      <c r="TLR60" s="165"/>
      <c r="TLS60" s="165"/>
      <c r="TLT60" s="165"/>
      <c r="TLU60" s="165"/>
      <c r="TLV60" s="165"/>
      <c r="TLW60" s="165"/>
      <c r="TLX60" s="165"/>
      <c r="TLY60" s="165"/>
      <c r="TLZ60" s="165"/>
      <c r="TMA60" s="165"/>
      <c r="TMB60" s="165"/>
      <c r="TMC60" s="165"/>
      <c r="TMD60" s="165"/>
      <c r="TME60" s="165"/>
      <c r="TMF60" s="165"/>
      <c r="TMG60" s="165"/>
      <c r="TMH60" s="165"/>
      <c r="TMI60" s="165"/>
      <c r="TMJ60" s="165"/>
      <c r="TMK60" s="165"/>
      <c r="TML60" s="165"/>
      <c r="TMM60" s="165"/>
      <c r="TMN60" s="165"/>
      <c r="TMO60" s="165"/>
      <c r="TMP60" s="165"/>
      <c r="TMQ60" s="165"/>
      <c r="TMR60" s="165"/>
      <c r="TMS60" s="165"/>
      <c r="TMT60" s="165"/>
      <c r="TMU60" s="165"/>
      <c r="TMV60" s="165"/>
      <c r="TMW60" s="165"/>
      <c r="TMX60" s="165"/>
      <c r="TMY60" s="165"/>
      <c r="TMZ60" s="165"/>
      <c r="TNA60" s="165"/>
      <c r="TNB60" s="165"/>
      <c r="TNC60" s="165"/>
      <c r="TND60" s="165"/>
      <c r="TNE60" s="165"/>
      <c r="TNF60" s="165"/>
      <c r="TNG60" s="165"/>
      <c r="TNH60" s="165"/>
      <c r="TNI60" s="165"/>
      <c r="TNJ60" s="165"/>
      <c r="TNK60" s="165"/>
      <c r="TNL60" s="165"/>
      <c r="TNM60" s="165"/>
      <c r="TNN60" s="165"/>
      <c r="TNO60" s="165"/>
      <c r="TNP60" s="165"/>
      <c r="TNQ60" s="165"/>
      <c r="TNR60" s="165"/>
      <c r="TNS60" s="165"/>
      <c r="TNT60" s="165"/>
      <c r="TNU60" s="165"/>
      <c r="TNV60" s="165"/>
      <c r="TNW60" s="165"/>
      <c r="TNX60" s="165"/>
      <c r="TNY60" s="165"/>
      <c r="TNZ60" s="165"/>
      <c r="TOA60" s="165"/>
      <c r="TOB60" s="165"/>
      <c r="TOC60" s="165"/>
      <c r="TOD60" s="165"/>
      <c r="TOE60" s="165"/>
      <c r="TOF60" s="165"/>
      <c r="TOG60" s="165"/>
      <c r="TOH60" s="165"/>
      <c r="TOI60" s="165"/>
      <c r="TOJ60" s="165"/>
      <c r="TOK60" s="165"/>
      <c r="TOL60" s="165"/>
      <c r="TOM60" s="165"/>
      <c r="TON60" s="165"/>
      <c r="TOO60" s="165"/>
      <c r="TOP60" s="165"/>
      <c r="TOQ60" s="165"/>
      <c r="TOR60" s="165"/>
      <c r="TOS60" s="165"/>
      <c r="TOT60" s="165"/>
      <c r="TOU60" s="165"/>
      <c r="TOV60" s="165"/>
      <c r="TOW60" s="165"/>
      <c r="TOX60" s="165"/>
      <c r="TOY60" s="165"/>
      <c r="TOZ60" s="165"/>
      <c r="TPA60" s="165"/>
      <c r="TPB60" s="165"/>
      <c r="TPC60" s="165"/>
      <c r="TPD60" s="165"/>
      <c r="TPE60" s="165"/>
      <c r="TPF60" s="165"/>
      <c r="TPG60" s="165"/>
      <c r="TPH60" s="165"/>
      <c r="TPI60" s="165"/>
      <c r="TPJ60" s="165"/>
      <c r="TPK60" s="165"/>
      <c r="TPL60" s="165"/>
      <c r="TPM60" s="165"/>
      <c r="TPN60" s="165"/>
      <c r="TPO60" s="165"/>
      <c r="TPP60" s="165"/>
      <c r="TPQ60" s="165"/>
      <c r="TPR60" s="165"/>
      <c r="TPS60" s="165"/>
      <c r="TPT60" s="165"/>
      <c r="TPU60" s="165"/>
      <c r="TPV60" s="165"/>
      <c r="TPW60" s="165"/>
      <c r="TPX60" s="165"/>
      <c r="TPY60" s="165"/>
      <c r="TPZ60" s="165"/>
      <c r="TQA60" s="165"/>
      <c r="TQB60" s="165"/>
      <c r="TQC60" s="165"/>
      <c r="TQD60" s="165"/>
      <c r="TQE60" s="165"/>
      <c r="TQF60" s="165"/>
      <c r="TQG60" s="165"/>
      <c r="TQH60" s="165"/>
      <c r="TQI60" s="165"/>
      <c r="TQJ60" s="165"/>
      <c r="TQK60" s="165"/>
      <c r="TQL60" s="165"/>
      <c r="TQM60" s="165"/>
      <c r="TQN60" s="165"/>
      <c r="TQO60" s="165"/>
      <c r="TQP60" s="165"/>
      <c r="TQQ60" s="165"/>
      <c r="TQR60" s="165"/>
      <c r="TQS60" s="165"/>
      <c r="TQT60" s="165"/>
      <c r="TQU60" s="165"/>
      <c r="TQV60" s="165"/>
      <c r="TQW60" s="165"/>
      <c r="TQX60" s="165"/>
      <c r="TQY60" s="165"/>
      <c r="TQZ60" s="165"/>
      <c r="TRA60" s="165"/>
      <c r="TRB60" s="165"/>
      <c r="TRC60" s="165"/>
      <c r="TRD60" s="165"/>
      <c r="TRE60" s="165"/>
      <c r="TRF60" s="165"/>
      <c r="TRG60" s="165"/>
      <c r="TRH60" s="165"/>
      <c r="TRI60" s="165"/>
      <c r="TRJ60" s="165"/>
      <c r="TRK60" s="165"/>
      <c r="TRL60" s="165"/>
      <c r="TRM60" s="165"/>
      <c r="TRN60" s="165"/>
      <c r="TRO60" s="165"/>
      <c r="TRP60" s="165"/>
      <c r="TRQ60" s="165"/>
      <c r="TRR60" s="165"/>
      <c r="TRS60" s="165"/>
      <c r="TRT60" s="165"/>
      <c r="TRU60" s="165"/>
      <c r="TRV60" s="165"/>
      <c r="TRW60" s="165"/>
      <c r="TRX60" s="165"/>
      <c r="TRY60" s="165"/>
      <c r="TRZ60" s="165"/>
      <c r="TSA60" s="165"/>
      <c r="TSB60" s="165"/>
      <c r="TSC60" s="165"/>
      <c r="TSD60" s="165"/>
      <c r="TSE60" s="165"/>
      <c r="TSF60" s="165"/>
      <c r="TSG60" s="165"/>
      <c r="TSH60" s="165"/>
      <c r="TSI60" s="165"/>
      <c r="TSJ60" s="165"/>
      <c r="TSK60" s="165"/>
      <c r="TSL60" s="165"/>
      <c r="TSM60" s="165"/>
      <c r="TSN60" s="165"/>
      <c r="TSO60" s="165"/>
      <c r="TSP60" s="165"/>
      <c r="TSQ60" s="165"/>
      <c r="TSR60" s="165"/>
      <c r="TSS60" s="165"/>
      <c r="TST60" s="165"/>
      <c r="TSU60" s="165"/>
      <c r="TSV60" s="165"/>
      <c r="TSW60" s="165"/>
      <c r="TSX60" s="165"/>
      <c r="TSY60" s="165"/>
      <c r="TSZ60" s="165"/>
      <c r="TTA60" s="165"/>
      <c r="TTB60" s="165"/>
      <c r="TTC60" s="165"/>
      <c r="TTD60" s="165"/>
      <c r="TTE60" s="165"/>
      <c r="TTF60" s="165"/>
      <c r="TTG60" s="165"/>
      <c r="TTH60" s="165"/>
      <c r="TTI60" s="165"/>
      <c r="TTJ60" s="165"/>
      <c r="TTK60" s="165"/>
      <c r="TTL60" s="165"/>
      <c r="TTM60" s="165"/>
      <c r="TTN60" s="165"/>
      <c r="TTO60" s="165"/>
      <c r="TTP60" s="165"/>
      <c r="TTQ60" s="165"/>
      <c r="TTR60" s="165"/>
      <c r="TTS60" s="165"/>
      <c r="TTT60" s="165"/>
      <c r="TTU60" s="165"/>
      <c r="TTV60" s="165"/>
      <c r="TTW60" s="165"/>
      <c r="TTX60" s="165"/>
      <c r="TTY60" s="165"/>
      <c r="TTZ60" s="165"/>
      <c r="TUA60" s="165"/>
      <c r="TUB60" s="165"/>
      <c r="TUC60" s="165"/>
      <c r="TUD60" s="165"/>
      <c r="TUE60" s="165"/>
      <c r="TUF60" s="165"/>
      <c r="TUG60" s="165"/>
      <c r="TUH60" s="165"/>
      <c r="TUI60" s="165"/>
      <c r="TUJ60" s="165"/>
      <c r="TUK60" s="165"/>
      <c r="TUL60" s="165"/>
      <c r="TUM60" s="165"/>
      <c r="TUN60" s="165"/>
      <c r="TUO60" s="165"/>
      <c r="TUP60" s="165"/>
      <c r="TUQ60" s="165"/>
      <c r="TUR60" s="165"/>
      <c r="TUS60" s="165"/>
      <c r="TUT60" s="165"/>
      <c r="TUU60" s="165"/>
      <c r="TUV60" s="165"/>
      <c r="TUW60" s="165"/>
      <c r="TUX60" s="165"/>
      <c r="TUY60" s="165"/>
      <c r="TUZ60" s="165"/>
      <c r="TVA60" s="165"/>
      <c r="TVB60" s="165"/>
      <c r="TVC60" s="165"/>
      <c r="TVD60" s="165"/>
      <c r="TVE60" s="165"/>
      <c r="TVF60" s="165"/>
      <c r="TVG60" s="165"/>
      <c r="TVH60" s="165"/>
      <c r="TVI60" s="165"/>
      <c r="TVJ60" s="165"/>
      <c r="TVK60" s="165"/>
      <c r="TVL60" s="165"/>
      <c r="TVM60" s="165"/>
      <c r="TVN60" s="165"/>
      <c r="TVO60" s="165"/>
      <c r="TVP60" s="165"/>
      <c r="TVQ60" s="165"/>
      <c r="TVR60" s="165"/>
      <c r="TVS60" s="165"/>
      <c r="TVT60" s="165"/>
      <c r="TVU60" s="165"/>
      <c r="TVV60" s="165"/>
      <c r="TVW60" s="165"/>
      <c r="TVX60" s="165"/>
      <c r="TVY60" s="165"/>
      <c r="TVZ60" s="165"/>
      <c r="TWA60" s="165"/>
      <c r="TWB60" s="165"/>
      <c r="TWC60" s="165"/>
      <c r="TWD60" s="165"/>
      <c r="TWE60" s="165"/>
      <c r="TWF60" s="165"/>
      <c r="TWG60" s="165"/>
      <c r="TWH60" s="165"/>
      <c r="TWI60" s="165"/>
      <c r="TWJ60" s="165"/>
      <c r="TWK60" s="165"/>
      <c r="TWL60" s="165"/>
      <c r="TWM60" s="165"/>
      <c r="TWN60" s="165"/>
      <c r="TWO60" s="165"/>
      <c r="TWP60" s="165"/>
      <c r="TWQ60" s="165"/>
      <c r="TWR60" s="165"/>
      <c r="TWS60" s="165"/>
      <c r="TWT60" s="165"/>
      <c r="TWU60" s="165"/>
      <c r="TWV60" s="165"/>
      <c r="TWW60" s="165"/>
      <c r="TWX60" s="165"/>
      <c r="TWY60" s="165"/>
      <c r="TWZ60" s="165"/>
      <c r="TXA60" s="165"/>
      <c r="TXB60" s="165"/>
      <c r="TXC60" s="165"/>
      <c r="TXD60" s="165"/>
      <c r="TXE60" s="165"/>
      <c r="TXF60" s="165"/>
      <c r="TXG60" s="165"/>
      <c r="TXH60" s="165"/>
      <c r="TXI60" s="165"/>
      <c r="TXJ60" s="165"/>
      <c r="TXK60" s="165"/>
      <c r="TXL60" s="165"/>
      <c r="TXM60" s="165"/>
      <c r="TXN60" s="165"/>
      <c r="TXO60" s="165"/>
      <c r="TXP60" s="165"/>
      <c r="TXQ60" s="165"/>
      <c r="TXR60" s="165"/>
      <c r="TXS60" s="165"/>
      <c r="TXT60" s="165"/>
      <c r="TXU60" s="165"/>
      <c r="TXV60" s="165"/>
      <c r="TXW60" s="165"/>
      <c r="TXX60" s="165"/>
      <c r="TXY60" s="165"/>
      <c r="TXZ60" s="165"/>
      <c r="TYA60" s="165"/>
      <c r="TYB60" s="165"/>
      <c r="TYC60" s="165"/>
      <c r="TYD60" s="165"/>
      <c r="TYE60" s="165"/>
      <c r="TYF60" s="165"/>
      <c r="TYG60" s="165"/>
      <c r="TYH60" s="165"/>
      <c r="TYI60" s="165"/>
      <c r="TYJ60" s="165"/>
      <c r="TYK60" s="165"/>
      <c r="TYL60" s="165"/>
      <c r="TYM60" s="165"/>
      <c r="TYN60" s="165"/>
      <c r="TYO60" s="165"/>
      <c r="TYP60" s="165"/>
      <c r="TYQ60" s="165"/>
      <c r="TYR60" s="165"/>
      <c r="TYS60" s="165"/>
      <c r="TYT60" s="165"/>
      <c r="TYU60" s="165"/>
      <c r="TYV60" s="165"/>
      <c r="TYW60" s="165"/>
      <c r="TYX60" s="165"/>
      <c r="TYY60" s="165"/>
      <c r="TYZ60" s="165"/>
      <c r="TZA60" s="165"/>
      <c r="TZB60" s="165"/>
      <c r="TZC60" s="165"/>
      <c r="TZD60" s="165"/>
      <c r="TZE60" s="165"/>
      <c r="TZF60" s="165"/>
      <c r="TZG60" s="165"/>
      <c r="TZH60" s="165"/>
      <c r="TZI60" s="165"/>
      <c r="TZJ60" s="165"/>
      <c r="TZK60" s="165"/>
      <c r="TZL60" s="165"/>
      <c r="TZM60" s="165"/>
      <c r="TZN60" s="165"/>
      <c r="TZO60" s="165"/>
      <c r="TZP60" s="165"/>
      <c r="TZQ60" s="165"/>
      <c r="TZR60" s="165"/>
      <c r="TZS60" s="165"/>
      <c r="TZT60" s="165"/>
      <c r="TZU60" s="165"/>
      <c r="TZV60" s="165"/>
      <c r="TZW60" s="165"/>
      <c r="TZX60" s="165"/>
      <c r="TZY60" s="165"/>
      <c r="TZZ60" s="165"/>
      <c r="UAA60" s="165"/>
      <c r="UAB60" s="165"/>
      <c r="UAC60" s="165"/>
      <c r="UAD60" s="165"/>
      <c r="UAE60" s="165"/>
      <c r="UAF60" s="165"/>
      <c r="UAG60" s="165"/>
      <c r="UAH60" s="165"/>
      <c r="UAI60" s="165"/>
      <c r="UAJ60" s="165"/>
      <c r="UAK60" s="165"/>
      <c r="UAL60" s="165"/>
      <c r="UAM60" s="165"/>
      <c r="UAN60" s="165"/>
      <c r="UAO60" s="165"/>
      <c r="UAP60" s="165"/>
      <c r="UAQ60" s="165"/>
      <c r="UAR60" s="165"/>
      <c r="UAS60" s="165"/>
      <c r="UAT60" s="165"/>
      <c r="UAU60" s="165"/>
      <c r="UAV60" s="165"/>
      <c r="UAW60" s="165"/>
      <c r="UAX60" s="165"/>
      <c r="UAY60" s="165"/>
      <c r="UAZ60" s="165"/>
      <c r="UBA60" s="165"/>
      <c r="UBB60" s="165"/>
      <c r="UBC60" s="165"/>
      <c r="UBD60" s="165"/>
      <c r="UBE60" s="165"/>
      <c r="UBF60" s="165"/>
      <c r="UBG60" s="165"/>
      <c r="UBH60" s="165"/>
      <c r="UBI60" s="165"/>
      <c r="UBJ60" s="165"/>
      <c r="UBK60" s="165"/>
      <c r="UBL60" s="165"/>
      <c r="UBM60" s="165"/>
      <c r="UBN60" s="165"/>
      <c r="UBO60" s="165"/>
      <c r="UBP60" s="165"/>
      <c r="UBQ60" s="165"/>
      <c r="UBR60" s="165"/>
      <c r="UBS60" s="165"/>
      <c r="UBT60" s="165"/>
      <c r="UBU60" s="165"/>
      <c r="UBV60" s="165"/>
      <c r="UBW60" s="165"/>
      <c r="UBX60" s="165"/>
      <c r="UBY60" s="165"/>
      <c r="UBZ60" s="165"/>
      <c r="UCA60" s="165"/>
      <c r="UCB60" s="165"/>
      <c r="UCC60" s="165"/>
      <c r="UCD60" s="165"/>
      <c r="UCE60" s="165"/>
      <c r="UCF60" s="165"/>
      <c r="UCG60" s="165"/>
      <c r="UCH60" s="165"/>
      <c r="UCI60" s="165"/>
      <c r="UCJ60" s="165"/>
      <c r="UCK60" s="165"/>
      <c r="UCL60" s="165"/>
      <c r="UCM60" s="165"/>
      <c r="UCN60" s="165"/>
      <c r="UCO60" s="165"/>
      <c r="UCP60" s="165"/>
      <c r="UCQ60" s="165"/>
      <c r="UCR60" s="165"/>
      <c r="UCS60" s="165"/>
      <c r="UCT60" s="165"/>
      <c r="UCU60" s="165"/>
      <c r="UCV60" s="165"/>
      <c r="UCW60" s="165"/>
      <c r="UCX60" s="165"/>
      <c r="UCY60" s="165"/>
      <c r="UCZ60" s="165"/>
      <c r="UDA60" s="165"/>
      <c r="UDB60" s="165"/>
      <c r="UDC60" s="165"/>
      <c r="UDD60" s="165"/>
      <c r="UDE60" s="165"/>
      <c r="UDF60" s="165"/>
      <c r="UDG60" s="165"/>
      <c r="UDH60" s="165"/>
      <c r="UDI60" s="165"/>
      <c r="UDJ60" s="165"/>
      <c r="UDK60" s="165"/>
      <c r="UDL60" s="165"/>
      <c r="UDM60" s="165"/>
      <c r="UDN60" s="165"/>
      <c r="UDO60" s="165"/>
      <c r="UDP60" s="165"/>
      <c r="UDQ60" s="165"/>
      <c r="UDR60" s="165"/>
      <c r="UDS60" s="165"/>
      <c r="UDT60" s="165"/>
      <c r="UDU60" s="165"/>
      <c r="UDV60" s="165"/>
      <c r="UDW60" s="165"/>
      <c r="UDX60" s="165"/>
      <c r="UDY60" s="165"/>
      <c r="UDZ60" s="165"/>
      <c r="UEA60" s="165"/>
      <c r="UEB60" s="165"/>
      <c r="UEC60" s="165"/>
      <c r="UED60" s="165"/>
      <c r="UEE60" s="165"/>
      <c r="UEF60" s="165"/>
      <c r="UEG60" s="165"/>
      <c r="UEH60" s="165"/>
      <c r="UEI60" s="165"/>
      <c r="UEJ60" s="165"/>
      <c r="UEK60" s="165"/>
      <c r="UEL60" s="165"/>
      <c r="UEM60" s="165"/>
      <c r="UEN60" s="165"/>
      <c r="UEO60" s="165"/>
      <c r="UEP60" s="165"/>
      <c r="UEQ60" s="165"/>
      <c r="UER60" s="165"/>
      <c r="UES60" s="165"/>
      <c r="UET60" s="165"/>
      <c r="UEU60" s="165"/>
      <c r="UEV60" s="165"/>
      <c r="UEW60" s="165"/>
      <c r="UEX60" s="165"/>
      <c r="UEY60" s="165"/>
      <c r="UEZ60" s="165"/>
      <c r="UFA60" s="165"/>
      <c r="UFB60" s="165"/>
      <c r="UFC60" s="165"/>
      <c r="UFD60" s="165"/>
      <c r="UFE60" s="165"/>
      <c r="UFF60" s="165"/>
      <c r="UFG60" s="165"/>
      <c r="UFH60" s="165"/>
      <c r="UFI60" s="165"/>
      <c r="UFJ60" s="165"/>
      <c r="UFK60" s="165"/>
      <c r="UFL60" s="165"/>
      <c r="UFM60" s="165"/>
      <c r="UFN60" s="165"/>
      <c r="UFO60" s="165"/>
      <c r="UFP60" s="165"/>
      <c r="UFQ60" s="165"/>
      <c r="UFR60" s="165"/>
      <c r="UFS60" s="165"/>
      <c r="UFT60" s="165"/>
      <c r="UFU60" s="165"/>
      <c r="UFV60" s="165"/>
      <c r="UFW60" s="165"/>
      <c r="UFX60" s="165"/>
      <c r="UFY60" s="165"/>
      <c r="UFZ60" s="165"/>
      <c r="UGA60" s="165"/>
      <c r="UGB60" s="165"/>
      <c r="UGC60" s="165"/>
      <c r="UGD60" s="165"/>
      <c r="UGE60" s="165"/>
      <c r="UGF60" s="165"/>
      <c r="UGG60" s="165"/>
      <c r="UGH60" s="165"/>
      <c r="UGI60" s="165"/>
      <c r="UGJ60" s="165"/>
      <c r="UGK60" s="165"/>
      <c r="UGL60" s="165"/>
      <c r="UGM60" s="165"/>
      <c r="UGN60" s="165"/>
      <c r="UGO60" s="165"/>
      <c r="UGP60" s="165"/>
      <c r="UGQ60" s="165"/>
      <c r="UGR60" s="165"/>
      <c r="UGS60" s="165"/>
      <c r="UGT60" s="165"/>
      <c r="UGU60" s="165"/>
      <c r="UGV60" s="165"/>
      <c r="UGW60" s="165"/>
      <c r="UGX60" s="165"/>
      <c r="UGY60" s="165"/>
      <c r="UGZ60" s="165"/>
      <c r="UHA60" s="165"/>
      <c r="UHB60" s="165"/>
      <c r="UHC60" s="165"/>
      <c r="UHD60" s="165"/>
      <c r="UHE60" s="165"/>
      <c r="UHF60" s="165"/>
      <c r="UHG60" s="165"/>
      <c r="UHH60" s="165"/>
      <c r="UHI60" s="165"/>
      <c r="UHJ60" s="165"/>
      <c r="UHK60" s="165"/>
      <c r="UHL60" s="165"/>
      <c r="UHM60" s="165"/>
      <c r="UHN60" s="165"/>
      <c r="UHO60" s="165"/>
      <c r="UHP60" s="165"/>
      <c r="UHQ60" s="165"/>
      <c r="UHR60" s="165"/>
      <c r="UHS60" s="165"/>
      <c r="UHT60" s="165"/>
      <c r="UHU60" s="165"/>
      <c r="UHV60" s="165"/>
      <c r="UHW60" s="165"/>
      <c r="UHX60" s="165"/>
      <c r="UHY60" s="165"/>
      <c r="UHZ60" s="165"/>
      <c r="UIA60" s="165"/>
      <c r="UIB60" s="165"/>
      <c r="UIC60" s="165"/>
      <c r="UID60" s="165"/>
      <c r="UIE60" s="165"/>
      <c r="UIF60" s="165"/>
      <c r="UIG60" s="165"/>
      <c r="UIH60" s="165"/>
      <c r="UII60" s="165"/>
      <c r="UIJ60" s="165"/>
      <c r="UIK60" s="165"/>
      <c r="UIL60" s="165"/>
      <c r="UIM60" s="165"/>
      <c r="UIN60" s="165"/>
      <c r="UIO60" s="165"/>
      <c r="UIP60" s="165"/>
      <c r="UIQ60" s="165"/>
      <c r="UIR60" s="165"/>
      <c r="UIS60" s="165"/>
      <c r="UIT60" s="165"/>
      <c r="UIU60" s="165"/>
      <c r="UIV60" s="165"/>
      <c r="UIW60" s="165"/>
      <c r="UIX60" s="165"/>
      <c r="UIY60" s="165"/>
      <c r="UIZ60" s="165"/>
      <c r="UJA60" s="165"/>
      <c r="UJB60" s="165"/>
      <c r="UJC60" s="165"/>
      <c r="UJD60" s="165"/>
      <c r="UJE60" s="165"/>
      <c r="UJF60" s="165"/>
      <c r="UJG60" s="165"/>
      <c r="UJH60" s="165"/>
      <c r="UJI60" s="165"/>
      <c r="UJJ60" s="165"/>
      <c r="UJK60" s="165"/>
      <c r="UJL60" s="165"/>
      <c r="UJM60" s="165"/>
      <c r="UJN60" s="165"/>
      <c r="UJO60" s="165"/>
      <c r="UJP60" s="165"/>
      <c r="UJQ60" s="165"/>
      <c r="UJR60" s="165"/>
      <c r="UJS60" s="165"/>
      <c r="UJT60" s="165"/>
      <c r="UJU60" s="165"/>
      <c r="UJV60" s="165"/>
      <c r="UJW60" s="165"/>
      <c r="UJX60" s="165"/>
      <c r="UJY60" s="165"/>
      <c r="UJZ60" s="165"/>
      <c r="UKA60" s="165"/>
      <c r="UKB60" s="165"/>
      <c r="UKC60" s="165"/>
      <c r="UKD60" s="165"/>
      <c r="UKE60" s="165"/>
      <c r="UKF60" s="165"/>
      <c r="UKG60" s="165"/>
      <c r="UKH60" s="165"/>
      <c r="UKI60" s="165"/>
      <c r="UKJ60" s="165"/>
      <c r="UKK60" s="165"/>
      <c r="UKL60" s="165"/>
      <c r="UKM60" s="165"/>
      <c r="UKN60" s="165"/>
      <c r="UKO60" s="165"/>
      <c r="UKP60" s="165"/>
      <c r="UKQ60" s="165"/>
      <c r="UKR60" s="165"/>
      <c r="UKS60" s="165"/>
      <c r="UKT60" s="165"/>
      <c r="UKU60" s="165"/>
      <c r="UKV60" s="165"/>
      <c r="UKW60" s="165"/>
      <c r="UKX60" s="165"/>
      <c r="UKY60" s="165"/>
      <c r="UKZ60" s="165"/>
      <c r="ULA60" s="165"/>
      <c r="ULB60" s="165"/>
      <c r="ULC60" s="165"/>
      <c r="ULD60" s="165"/>
      <c r="ULE60" s="165"/>
      <c r="ULF60" s="165"/>
      <c r="ULG60" s="165"/>
      <c r="ULH60" s="165"/>
      <c r="ULI60" s="165"/>
      <c r="ULJ60" s="165"/>
      <c r="ULK60" s="165"/>
      <c r="ULL60" s="165"/>
      <c r="ULM60" s="165"/>
      <c r="ULN60" s="165"/>
      <c r="ULO60" s="165"/>
      <c r="ULP60" s="165"/>
      <c r="ULQ60" s="165"/>
      <c r="ULR60" s="165"/>
      <c r="ULS60" s="165"/>
      <c r="ULT60" s="165"/>
      <c r="ULU60" s="165"/>
      <c r="ULV60" s="165"/>
      <c r="ULW60" s="165"/>
      <c r="ULX60" s="165"/>
      <c r="ULY60" s="165"/>
      <c r="ULZ60" s="165"/>
      <c r="UMA60" s="165"/>
      <c r="UMB60" s="165"/>
      <c r="UMC60" s="165"/>
      <c r="UMD60" s="165"/>
      <c r="UME60" s="165"/>
      <c r="UMF60" s="165"/>
      <c r="UMG60" s="165"/>
      <c r="UMH60" s="165"/>
      <c r="UMI60" s="165"/>
      <c r="UMJ60" s="165"/>
      <c r="UMK60" s="165"/>
      <c r="UML60" s="165"/>
      <c r="UMM60" s="165"/>
      <c r="UMN60" s="165"/>
      <c r="UMO60" s="165"/>
      <c r="UMP60" s="165"/>
      <c r="UMQ60" s="165"/>
      <c r="UMR60" s="165"/>
      <c r="UMS60" s="165"/>
      <c r="UMT60" s="165"/>
      <c r="UMU60" s="165"/>
      <c r="UMV60" s="165"/>
      <c r="UMW60" s="165"/>
      <c r="UMX60" s="165"/>
      <c r="UMY60" s="165"/>
      <c r="UMZ60" s="165"/>
      <c r="UNA60" s="165"/>
      <c r="UNB60" s="165"/>
      <c r="UNC60" s="165"/>
      <c r="UND60" s="165"/>
      <c r="UNE60" s="165"/>
      <c r="UNF60" s="165"/>
      <c r="UNG60" s="165"/>
      <c r="UNH60" s="165"/>
      <c r="UNI60" s="165"/>
      <c r="UNJ60" s="165"/>
      <c r="UNK60" s="165"/>
      <c r="UNL60" s="165"/>
      <c r="UNM60" s="165"/>
      <c r="UNN60" s="165"/>
      <c r="UNO60" s="165"/>
      <c r="UNP60" s="165"/>
      <c r="UNQ60" s="165"/>
      <c r="UNR60" s="165"/>
      <c r="UNS60" s="165"/>
      <c r="UNT60" s="165"/>
      <c r="UNU60" s="165"/>
      <c r="UNV60" s="165"/>
      <c r="UNW60" s="165"/>
      <c r="UNX60" s="165"/>
      <c r="UNY60" s="165"/>
      <c r="UNZ60" s="165"/>
      <c r="UOA60" s="165"/>
      <c r="UOB60" s="165"/>
      <c r="UOC60" s="165"/>
      <c r="UOD60" s="165"/>
      <c r="UOE60" s="165"/>
      <c r="UOF60" s="165"/>
      <c r="UOG60" s="165"/>
      <c r="UOH60" s="165"/>
      <c r="UOI60" s="165"/>
      <c r="UOJ60" s="165"/>
      <c r="UOK60" s="165"/>
      <c r="UOL60" s="165"/>
      <c r="UOM60" s="165"/>
      <c r="UON60" s="165"/>
      <c r="UOO60" s="165"/>
      <c r="UOP60" s="165"/>
      <c r="UOQ60" s="165"/>
      <c r="UOR60" s="165"/>
      <c r="UOS60" s="165"/>
      <c r="UOT60" s="165"/>
      <c r="UOU60" s="165"/>
      <c r="UOV60" s="165"/>
      <c r="UOW60" s="165"/>
      <c r="UOX60" s="165"/>
      <c r="UOY60" s="165"/>
      <c r="UOZ60" s="165"/>
      <c r="UPA60" s="165"/>
      <c r="UPB60" s="165"/>
      <c r="UPC60" s="165"/>
      <c r="UPD60" s="165"/>
      <c r="UPE60" s="165"/>
      <c r="UPF60" s="165"/>
      <c r="UPG60" s="165"/>
      <c r="UPH60" s="165"/>
      <c r="UPI60" s="165"/>
      <c r="UPJ60" s="165"/>
      <c r="UPK60" s="165"/>
      <c r="UPL60" s="165"/>
      <c r="UPM60" s="165"/>
      <c r="UPN60" s="165"/>
      <c r="UPO60" s="165"/>
      <c r="UPP60" s="165"/>
      <c r="UPQ60" s="165"/>
      <c r="UPR60" s="165"/>
      <c r="UPS60" s="165"/>
      <c r="UPT60" s="165"/>
      <c r="UPU60" s="165"/>
      <c r="UPV60" s="165"/>
      <c r="UPW60" s="165"/>
      <c r="UPX60" s="165"/>
      <c r="UPY60" s="165"/>
      <c r="UPZ60" s="165"/>
      <c r="UQA60" s="165"/>
      <c r="UQB60" s="165"/>
      <c r="UQC60" s="165"/>
      <c r="UQD60" s="165"/>
      <c r="UQE60" s="165"/>
      <c r="UQF60" s="165"/>
      <c r="UQG60" s="165"/>
      <c r="UQH60" s="165"/>
      <c r="UQI60" s="165"/>
      <c r="UQJ60" s="165"/>
      <c r="UQK60" s="165"/>
      <c r="UQL60" s="165"/>
      <c r="UQM60" s="165"/>
      <c r="UQN60" s="165"/>
      <c r="UQO60" s="165"/>
      <c r="UQP60" s="165"/>
      <c r="UQQ60" s="165"/>
      <c r="UQR60" s="165"/>
      <c r="UQS60" s="165"/>
      <c r="UQT60" s="165"/>
      <c r="UQU60" s="165"/>
      <c r="UQV60" s="165"/>
      <c r="UQW60" s="165"/>
      <c r="UQX60" s="165"/>
      <c r="UQY60" s="165"/>
      <c r="UQZ60" s="165"/>
      <c r="URA60" s="165"/>
      <c r="URB60" s="165"/>
      <c r="URC60" s="165"/>
      <c r="URD60" s="165"/>
      <c r="URE60" s="165"/>
      <c r="URF60" s="165"/>
      <c r="URG60" s="165"/>
      <c r="URH60" s="165"/>
      <c r="URI60" s="165"/>
      <c r="URJ60" s="165"/>
      <c r="URK60" s="165"/>
      <c r="URL60" s="165"/>
      <c r="URM60" s="165"/>
      <c r="URN60" s="165"/>
      <c r="URO60" s="165"/>
      <c r="URP60" s="165"/>
      <c r="URQ60" s="165"/>
      <c r="URR60" s="165"/>
      <c r="URS60" s="165"/>
      <c r="URT60" s="165"/>
      <c r="URU60" s="165"/>
      <c r="URV60" s="165"/>
      <c r="URW60" s="165"/>
      <c r="URX60" s="165"/>
      <c r="URY60" s="165"/>
      <c r="URZ60" s="165"/>
      <c r="USA60" s="165"/>
      <c r="USB60" s="165"/>
      <c r="USC60" s="165"/>
      <c r="USD60" s="165"/>
      <c r="USE60" s="165"/>
      <c r="USF60" s="165"/>
      <c r="USG60" s="165"/>
      <c r="USH60" s="165"/>
      <c r="USI60" s="165"/>
      <c r="USJ60" s="165"/>
      <c r="USK60" s="165"/>
      <c r="USL60" s="165"/>
      <c r="USM60" s="165"/>
      <c r="USN60" s="165"/>
      <c r="USO60" s="165"/>
      <c r="USP60" s="165"/>
      <c r="USQ60" s="165"/>
      <c r="USR60" s="165"/>
      <c r="USS60" s="165"/>
      <c r="UST60" s="165"/>
      <c r="USU60" s="165"/>
      <c r="USV60" s="165"/>
      <c r="USW60" s="165"/>
      <c r="USX60" s="165"/>
      <c r="USY60" s="165"/>
      <c r="USZ60" s="165"/>
      <c r="UTA60" s="165"/>
      <c r="UTB60" s="165"/>
      <c r="UTC60" s="165"/>
      <c r="UTD60" s="165"/>
      <c r="UTE60" s="165"/>
      <c r="UTF60" s="165"/>
      <c r="UTG60" s="165"/>
      <c r="UTH60" s="165"/>
      <c r="UTI60" s="165"/>
      <c r="UTJ60" s="165"/>
      <c r="UTK60" s="165"/>
      <c r="UTL60" s="165"/>
      <c r="UTM60" s="165"/>
      <c r="UTN60" s="165"/>
      <c r="UTO60" s="165"/>
      <c r="UTP60" s="165"/>
      <c r="UTQ60" s="165"/>
      <c r="UTR60" s="165"/>
      <c r="UTS60" s="165"/>
      <c r="UTT60" s="165"/>
      <c r="UTU60" s="165"/>
      <c r="UTV60" s="165"/>
      <c r="UTW60" s="165"/>
      <c r="UTX60" s="165"/>
      <c r="UTY60" s="165"/>
      <c r="UTZ60" s="165"/>
      <c r="UUA60" s="165"/>
      <c r="UUB60" s="165"/>
      <c r="UUC60" s="165"/>
      <c r="UUD60" s="165"/>
      <c r="UUE60" s="165"/>
      <c r="UUF60" s="165"/>
      <c r="UUG60" s="165"/>
      <c r="UUH60" s="165"/>
      <c r="UUI60" s="165"/>
      <c r="UUJ60" s="165"/>
      <c r="UUK60" s="165"/>
      <c r="UUL60" s="165"/>
      <c r="UUM60" s="165"/>
      <c r="UUN60" s="165"/>
      <c r="UUO60" s="165"/>
      <c r="UUP60" s="165"/>
      <c r="UUQ60" s="165"/>
      <c r="UUR60" s="165"/>
      <c r="UUS60" s="165"/>
      <c r="UUT60" s="165"/>
      <c r="UUU60" s="165"/>
      <c r="UUV60" s="165"/>
      <c r="UUW60" s="165"/>
      <c r="UUX60" s="165"/>
      <c r="UUY60" s="165"/>
      <c r="UUZ60" s="165"/>
      <c r="UVA60" s="165"/>
      <c r="UVB60" s="165"/>
      <c r="UVC60" s="165"/>
      <c r="UVD60" s="165"/>
      <c r="UVE60" s="165"/>
      <c r="UVF60" s="165"/>
      <c r="UVG60" s="165"/>
      <c r="UVH60" s="165"/>
      <c r="UVI60" s="165"/>
      <c r="UVJ60" s="165"/>
      <c r="UVK60" s="165"/>
      <c r="UVL60" s="165"/>
      <c r="UVM60" s="165"/>
      <c r="UVN60" s="165"/>
      <c r="UVO60" s="165"/>
      <c r="UVP60" s="165"/>
      <c r="UVQ60" s="165"/>
      <c r="UVR60" s="165"/>
      <c r="UVS60" s="165"/>
      <c r="UVT60" s="165"/>
      <c r="UVU60" s="165"/>
      <c r="UVV60" s="165"/>
      <c r="UVW60" s="165"/>
      <c r="UVX60" s="165"/>
      <c r="UVY60" s="165"/>
      <c r="UVZ60" s="165"/>
      <c r="UWA60" s="165"/>
      <c r="UWB60" s="165"/>
      <c r="UWC60" s="165"/>
      <c r="UWD60" s="165"/>
      <c r="UWE60" s="165"/>
      <c r="UWF60" s="165"/>
      <c r="UWG60" s="165"/>
      <c r="UWH60" s="165"/>
      <c r="UWI60" s="165"/>
      <c r="UWJ60" s="165"/>
      <c r="UWK60" s="165"/>
      <c r="UWL60" s="165"/>
      <c r="UWM60" s="165"/>
      <c r="UWN60" s="165"/>
      <c r="UWO60" s="165"/>
      <c r="UWP60" s="165"/>
      <c r="UWQ60" s="165"/>
      <c r="UWR60" s="165"/>
      <c r="UWS60" s="165"/>
      <c r="UWT60" s="165"/>
      <c r="UWU60" s="165"/>
      <c r="UWV60" s="165"/>
      <c r="UWW60" s="165"/>
      <c r="UWX60" s="165"/>
      <c r="UWY60" s="165"/>
      <c r="UWZ60" s="165"/>
      <c r="UXA60" s="165"/>
      <c r="UXB60" s="165"/>
      <c r="UXC60" s="165"/>
      <c r="UXD60" s="165"/>
      <c r="UXE60" s="165"/>
      <c r="UXF60" s="165"/>
      <c r="UXG60" s="165"/>
      <c r="UXH60" s="165"/>
      <c r="UXI60" s="165"/>
      <c r="UXJ60" s="165"/>
      <c r="UXK60" s="165"/>
      <c r="UXL60" s="165"/>
      <c r="UXM60" s="165"/>
      <c r="UXN60" s="165"/>
      <c r="UXO60" s="165"/>
      <c r="UXP60" s="165"/>
      <c r="UXQ60" s="165"/>
      <c r="UXR60" s="165"/>
      <c r="UXS60" s="165"/>
      <c r="UXT60" s="165"/>
      <c r="UXU60" s="165"/>
      <c r="UXV60" s="165"/>
      <c r="UXW60" s="165"/>
      <c r="UXX60" s="165"/>
      <c r="UXY60" s="165"/>
      <c r="UXZ60" s="165"/>
      <c r="UYA60" s="165"/>
      <c r="UYB60" s="165"/>
      <c r="UYC60" s="165"/>
      <c r="UYD60" s="165"/>
      <c r="UYE60" s="165"/>
      <c r="UYF60" s="165"/>
      <c r="UYG60" s="165"/>
      <c r="UYH60" s="165"/>
      <c r="UYI60" s="165"/>
      <c r="UYJ60" s="165"/>
      <c r="UYK60" s="165"/>
      <c r="UYL60" s="165"/>
      <c r="UYM60" s="165"/>
      <c r="UYN60" s="165"/>
      <c r="UYO60" s="165"/>
      <c r="UYP60" s="165"/>
      <c r="UYQ60" s="165"/>
      <c r="UYR60" s="165"/>
      <c r="UYS60" s="165"/>
      <c r="UYT60" s="165"/>
      <c r="UYU60" s="165"/>
      <c r="UYV60" s="165"/>
      <c r="UYW60" s="165"/>
      <c r="UYX60" s="165"/>
      <c r="UYY60" s="165"/>
      <c r="UYZ60" s="165"/>
      <c r="UZA60" s="165"/>
      <c r="UZB60" s="165"/>
      <c r="UZC60" s="165"/>
      <c r="UZD60" s="165"/>
      <c r="UZE60" s="165"/>
      <c r="UZF60" s="165"/>
      <c r="UZG60" s="165"/>
      <c r="UZH60" s="165"/>
      <c r="UZI60" s="165"/>
      <c r="UZJ60" s="165"/>
      <c r="UZK60" s="165"/>
      <c r="UZL60" s="165"/>
      <c r="UZM60" s="165"/>
      <c r="UZN60" s="165"/>
      <c r="UZO60" s="165"/>
      <c r="UZP60" s="165"/>
      <c r="UZQ60" s="165"/>
      <c r="UZR60" s="165"/>
      <c r="UZS60" s="165"/>
      <c r="UZT60" s="165"/>
      <c r="UZU60" s="165"/>
      <c r="UZV60" s="165"/>
      <c r="UZW60" s="165"/>
      <c r="UZX60" s="165"/>
      <c r="UZY60" s="165"/>
      <c r="UZZ60" s="165"/>
      <c r="VAA60" s="165"/>
      <c r="VAB60" s="165"/>
      <c r="VAC60" s="165"/>
      <c r="VAD60" s="165"/>
      <c r="VAE60" s="165"/>
      <c r="VAF60" s="165"/>
      <c r="VAG60" s="165"/>
      <c r="VAH60" s="165"/>
      <c r="VAI60" s="165"/>
      <c r="VAJ60" s="165"/>
      <c r="VAK60" s="165"/>
      <c r="VAL60" s="165"/>
      <c r="VAM60" s="165"/>
      <c r="VAN60" s="165"/>
      <c r="VAO60" s="165"/>
      <c r="VAP60" s="165"/>
      <c r="VAQ60" s="165"/>
      <c r="VAR60" s="165"/>
      <c r="VAS60" s="165"/>
      <c r="VAT60" s="165"/>
      <c r="VAU60" s="165"/>
      <c r="VAV60" s="165"/>
      <c r="VAW60" s="165"/>
      <c r="VAX60" s="165"/>
      <c r="VAY60" s="165"/>
      <c r="VAZ60" s="165"/>
      <c r="VBA60" s="165"/>
      <c r="VBB60" s="165"/>
      <c r="VBC60" s="165"/>
      <c r="VBD60" s="165"/>
      <c r="VBE60" s="165"/>
      <c r="VBF60" s="165"/>
      <c r="VBG60" s="165"/>
      <c r="VBH60" s="165"/>
      <c r="VBI60" s="165"/>
      <c r="VBJ60" s="165"/>
      <c r="VBK60" s="165"/>
      <c r="VBL60" s="165"/>
      <c r="VBM60" s="165"/>
      <c r="VBN60" s="165"/>
      <c r="VBO60" s="165"/>
      <c r="VBP60" s="165"/>
      <c r="VBQ60" s="165"/>
      <c r="VBR60" s="165"/>
      <c r="VBS60" s="165"/>
      <c r="VBT60" s="165"/>
      <c r="VBU60" s="165"/>
      <c r="VBV60" s="165"/>
      <c r="VBW60" s="165"/>
      <c r="VBX60" s="165"/>
      <c r="VBY60" s="165"/>
      <c r="VBZ60" s="165"/>
      <c r="VCA60" s="165"/>
      <c r="VCB60" s="165"/>
      <c r="VCC60" s="165"/>
      <c r="VCD60" s="165"/>
      <c r="VCE60" s="165"/>
      <c r="VCF60" s="165"/>
      <c r="VCG60" s="165"/>
      <c r="VCH60" s="165"/>
      <c r="VCI60" s="165"/>
      <c r="VCJ60" s="165"/>
      <c r="VCK60" s="165"/>
      <c r="VCL60" s="165"/>
      <c r="VCM60" s="165"/>
      <c r="VCN60" s="165"/>
      <c r="VCO60" s="165"/>
      <c r="VCP60" s="165"/>
      <c r="VCQ60" s="165"/>
      <c r="VCR60" s="165"/>
      <c r="VCS60" s="165"/>
      <c r="VCT60" s="165"/>
      <c r="VCU60" s="165"/>
      <c r="VCV60" s="165"/>
      <c r="VCW60" s="165"/>
      <c r="VCX60" s="165"/>
      <c r="VCY60" s="165"/>
      <c r="VCZ60" s="165"/>
      <c r="VDA60" s="165"/>
      <c r="VDB60" s="165"/>
      <c r="VDC60" s="165"/>
      <c r="VDD60" s="165"/>
      <c r="VDE60" s="165"/>
      <c r="VDF60" s="165"/>
      <c r="VDG60" s="165"/>
      <c r="VDH60" s="165"/>
      <c r="VDI60" s="165"/>
      <c r="VDJ60" s="165"/>
      <c r="VDK60" s="165"/>
      <c r="VDL60" s="165"/>
      <c r="VDM60" s="165"/>
      <c r="VDN60" s="165"/>
      <c r="VDO60" s="165"/>
      <c r="VDP60" s="165"/>
      <c r="VDQ60" s="165"/>
      <c r="VDR60" s="165"/>
      <c r="VDS60" s="165"/>
      <c r="VDT60" s="165"/>
      <c r="VDU60" s="165"/>
      <c r="VDV60" s="165"/>
      <c r="VDW60" s="165"/>
      <c r="VDX60" s="165"/>
      <c r="VDY60" s="165"/>
      <c r="VDZ60" s="165"/>
      <c r="VEA60" s="165"/>
      <c r="VEB60" s="165"/>
      <c r="VEC60" s="165"/>
      <c r="VED60" s="165"/>
      <c r="VEE60" s="165"/>
      <c r="VEF60" s="165"/>
      <c r="VEG60" s="165"/>
      <c r="VEH60" s="165"/>
      <c r="VEI60" s="165"/>
      <c r="VEJ60" s="165"/>
      <c r="VEK60" s="165"/>
      <c r="VEL60" s="165"/>
      <c r="VEM60" s="165"/>
      <c r="VEN60" s="165"/>
      <c r="VEO60" s="165"/>
      <c r="VEP60" s="165"/>
      <c r="VEQ60" s="165"/>
      <c r="VER60" s="165"/>
      <c r="VES60" s="165"/>
      <c r="VET60" s="165"/>
      <c r="VEU60" s="165"/>
      <c r="VEV60" s="165"/>
      <c r="VEW60" s="165"/>
      <c r="VEX60" s="165"/>
      <c r="VEY60" s="165"/>
      <c r="VEZ60" s="165"/>
      <c r="VFA60" s="165"/>
      <c r="VFB60" s="165"/>
      <c r="VFC60" s="165"/>
      <c r="VFD60" s="165"/>
      <c r="VFE60" s="165"/>
      <c r="VFF60" s="165"/>
      <c r="VFG60" s="165"/>
      <c r="VFH60" s="165"/>
      <c r="VFI60" s="165"/>
      <c r="VFJ60" s="165"/>
      <c r="VFK60" s="165"/>
      <c r="VFL60" s="165"/>
      <c r="VFM60" s="165"/>
      <c r="VFN60" s="165"/>
      <c r="VFO60" s="165"/>
      <c r="VFP60" s="165"/>
      <c r="VFQ60" s="165"/>
      <c r="VFR60" s="165"/>
      <c r="VFS60" s="165"/>
      <c r="VFT60" s="165"/>
      <c r="VFU60" s="165"/>
      <c r="VFV60" s="165"/>
      <c r="VFW60" s="165"/>
      <c r="VFX60" s="165"/>
      <c r="VFY60" s="165"/>
      <c r="VFZ60" s="165"/>
      <c r="VGA60" s="165"/>
      <c r="VGB60" s="165"/>
      <c r="VGC60" s="165"/>
      <c r="VGD60" s="165"/>
      <c r="VGE60" s="165"/>
      <c r="VGF60" s="165"/>
      <c r="VGG60" s="165"/>
      <c r="VGH60" s="165"/>
      <c r="VGI60" s="165"/>
      <c r="VGJ60" s="165"/>
      <c r="VGK60" s="165"/>
      <c r="VGL60" s="165"/>
      <c r="VGM60" s="165"/>
      <c r="VGN60" s="165"/>
      <c r="VGO60" s="165"/>
      <c r="VGP60" s="165"/>
      <c r="VGQ60" s="165"/>
      <c r="VGR60" s="165"/>
      <c r="VGS60" s="165"/>
      <c r="VGT60" s="165"/>
      <c r="VGU60" s="165"/>
      <c r="VGV60" s="165"/>
      <c r="VGW60" s="165"/>
      <c r="VGX60" s="165"/>
      <c r="VGY60" s="165"/>
      <c r="VGZ60" s="165"/>
      <c r="VHA60" s="165"/>
      <c r="VHB60" s="165"/>
      <c r="VHC60" s="165"/>
      <c r="VHD60" s="165"/>
      <c r="VHE60" s="165"/>
      <c r="VHF60" s="165"/>
      <c r="VHG60" s="165"/>
      <c r="VHH60" s="165"/>
      <c r="VHI60" s="165"/>
      <c r="VHJ60" s="165"/>
      <c r="VHK60" s="165"/>
      <c r="VHL60" s="165"/>
      <c r="VHM60" s="165"/>
      <c r="VHN60" s="165"/>
      <c r="VHO60" s="165"/>
      <c r="VHP60" s="165"/>
      <c r="VHQ60" s="165"/>
      <c r="VHR60" s="165"/>
      <c r="VHS60" s="165"/>
      <c r="VHT60" s="165"/>
      <c r="VHU60" s="165"/>
      <c r="VHV60" s="165"/>
      <c r="VHW60" s="165"/>
      <c r="VHX60" s="165"/>
      <c r="VHY60" s="165"/>
      <c r="VHZ60" s="165"/>
      <c r="VIA60" s="165"/>
      <c r="VIB60" s="165"/>
      <c r="VIC60" s="165"/>
      <c r="VID60" s="165"/>
      <c r="VIE60" s="165"/>
      <c r="VIF60" s="165"/>
      <c r="VIG60" s="165"/>
      <c r="VIH60" s="165"/>
      <c r="VII60" s="165"/>
      <c r="VIJ60" s="165"/>
      <c r="VIK60" s="165"/>
      <c r="VIL60" s="165"/>
      <c r="VIM60" s="165"/>
      <c r="VIN60" s="165"/>
      <c r="VIO60" s="165"/>
      <c r="VIP60" s="165"/>
      <c r="VIQ60" s="165"/>
      <c r="VIR60" s="165"/>
      <c r="VIS60" s="165"/>
      <c r="VIT60" s="165"/>
      <c r="VIU60" s="165"/>
      <c r="VIV60" s="165"/>
      <c r="VIW60" s="165"/>
      <c r="VIX60" s="165"/>
      <c r="VIY60" s="165"/>
      <c r="VIZ60" s="165"/>
      <c r="VJA60" s="165"/>
      <c r="VJB60" s="165"/>
      <c r="VJC60" s="165"/>
      <c r="VJD60" s="165"/>
      <c r="VJE60" s="165"/>
      <c r="VJF60" s="165"/>
      <c r="VJG60" s="165"/>
      <c r="VJH60" s="165"/>
      <c r="VJI60" s="165"/>
      <c r="VJJ60" s="165"/>
      <c r="VJK60" s="165"/>
      <c r="VJL60" s="165"/>
      <c r="VJM60" s="165"/>
      <c r="VJN60" s="165"/>
      <c r="VJO60" s="165"/>
      <c r="VJP60" s="165"/>
      <c r="VJQ60" s="165"/>
      <c r="VJR60" s="165"/>
      <c r="VJS60" s="165"/>
      <c r="VJT60" s="165"/>
      <c r="VJU60" s="165"/>
      <c r="VJV60" s="165"/>
      <c r="VJW60" s="165"/>
      <c r="VJX60" s="165"/>
      <c r="VJY60" s="165"/>
      <c r="VJZ60" s="165"/>
      <c r="VKA60" s="165"/>
      <c r="VKB60" s="165"/>
      <c r="VKC60" s="165"/>
      <c r="VKD60" s="165"/>
      <c r="VKE60" s="165"/>
      <c r="VKF60" s="165"/>
      <c r="VKG60" s="165"/>
      <c r="VKH60" s="165"/>
      <c r="VKI60" s="165"/>
      <c r="VKJ60" s="165"/>
      <c r="VKK60" s="165"/>
      <c r="VKL60" s="165"/>
      <c r="VKM60" s="165"/>
      <c r="VKN60" s="165"/>
      <c r="VKO60" s="165"/>
      <c r="VKP60" s="165"/>
      <c r="VKQ60" s="165"/>
      <c r="VKR60" s="165"/>
      <c r="VKS60" s="165"/>
      <c r="VKT60" s="165"/>
      <c r="VKU60" s="165"/>
      <c r="VKV60" s="165"/>
      <c r="VKW60" s="165"/>
      <c r="VKX60" s="165"/>
      <c r="VKY60" s="165"/>
      <c r="VKZ60" s="165"/>
      <c r="VLA60" s="165"/>
      <c r="VLB60" s="165"/>
      <c r="VLC60" s="165"/>
      <c r="VLD60" s="165"/>
      <c r="VLE60" s="165"/>
      <c r="VLF60" s="165"/>
      <c r="VLG60" s="165"/>
      <c r="VLH60" s="165"/>
      <c r="VLI60" s="165"/>
      <c r="VLJ60" s="165"/>
      <c r="VLK60" s="165"/>
      <c r="VLL60" s="165"/>
      <c r="VLM60" s="165"/>
      <c r="VLN60" s="165"/>
      <c r="VLO60" s="165"/>
      <c r="VLP60" s="165"/>
      <c r="VLQ60" s="165"/>
      <c r="VLR60" s="165"/>
      <c r="VLS60" s="165"/>
      <c r="VLT60" s="165"/>
      <c r="VLU60" s="165"/>
      <c r="VLV60" s="165"/>
      <c r="VLW60" s="165"/>
      <c r="VLX60" s="165"/>
      <c r="VLY60" s="165"/>
      <c r="VLZ60" s="165"/>
      <c r="VMA60" s="165"/>
      <c r="VMB60" s="165"/>
      <c r="VMC60" s="165"/>
      <c r="VMD60" s="165"/>
      <c r="VME60" s="165"/>
      <c r="VMF60" s="165"/>
      <c r="VMG60" s="165"/>
      <c r="VMH60" s="165"/>
      <c r="VMI60" s="165"/>
      <c r="VMJ60" s="165"/>
      <c r="VMK60" s="165"/>
      <c r="VML60" s="165"/>
      <c r="VMM60" s="165"/>
      <c r="VMN60" s="165"/>
      <c r="VMO60" s="165"/>
      <c r="VMP60" s="165"/>
      <c r="VMQ60" s="165"/>
      <c r="VMR60" s="165"/>
      <c r="VMS60" s="165"/>
      <c r="VMT60" s="165"/>
      <c r="VMU60" s="165"/>
      <c r="VMV60" s="165"/>
      <c r="VMW60" s="165"/>
      <c r="VMX60" s="165"/>
      <c r="VMY60" s="165"/>
      <c r="VMZ60" s="165"/>
      <c r="VNA60" s="165"/>
      <c r="VNB60" s="165"/>
      <c r="VNC60" s="165"/>
      <c r="VND60" s="165"/>
      <c r="VNE60" s="165"/>
      <c r="VNF60" s="165"/>
      <c r="VNG60" s="165"/>
      <c r="VNH60" s="165"/>
      <c r="VNI60" s="165"/>
      <c r="VNJ60" s="165"/>
      <c r="VNK60" s="165"/>
      <c r="VNL60" s="165"/>
      <c r="VNM60" s="165"/>
      <c r="VNN60" s="165"/>
      <c r="VNO60" s="165"/>
      <c r="VNP60" s="165"/>
      <c r="VNQ60" s="165"/>
      <c r="VNR60" s="165"/>
      <c r="VNS60" s="165"/>
      <c r="VNT60" s="165"/>
      <c r="VNU60" s="165"/>
      <c r="VNV60" s="165"/>
      <c r="VNW60" s="165"/>
      <c r="VNX60" s="165"/>
      <c r="VNY60" s="165"/>
      <c r="VNZ60" s="165"/>
      <c r="VOA60" s="165"/>
      <c r="VOB60" s="165"/>
      <c r="VOC60" s="165"/>
      <c r="VOD60" s="165"/>
      <c r="VOE60" s="165"/>
      <c r="VOF60" s="165"/>
      <c r="VOG60" s="165"/>
      <c r="VOH60" s="165"/>
      <c r="VOI60" s="165"/>
      <c r="VOJ60" s="165"/>
      <c r="VOK60" s="165"/>
      <c r="VOL60" s="165"/>
      <c r="VOM60" s="165"/>
      <c r="VON60" s="165"/>
      <c r="VOO60" s="165"/>
      <c r="VOP60" s="165"/>
      <c r="VOQ60" s="165"/>
      <c r="VOR60" s="165"/>
      <c r="VOS60" s="165"/>
      <c r="VOT60" s="165"/>
      <c r="VOU60" s="165"/>
      <c r="VOV60" s="165"/>
      <c r="VOW60" s="165"/>
      <c r="VOX60" s="165"/>
      <c r="VOY60" s="165"/>
      <c r="VOZ60" s="165"/>
      <c r="VPA60" s="165"/>
      <c r="VPB60" s="165"/>
      <c r="VPC60" s="165"/>
      <c r="VPD60" s="165"/>
      <c r="VPE60" s="165"/>
      <c r="VPF60" s="165"/>
      <c r="VPG60" s="165"/>
      <c r="VPH60" s="165"/>
      <c r="VPI60" s="165"/>
      <c r="VPJ60" s="165"/>
      <c r="VPK60" s="165"/>
      <c r="VPL60" s="165"/>
      <c r="VPM60" s="165"/>
      <c r="VPN60" s="165"/>
      <c r="VPO60" s="165"/>
      <c r="VPP60" s="165"/>
      <c r="VPQ60" s="165"/>
      <c r="VPR60" s="165"/>
      <c r="VPS60" s="165"/>
      <c r="VPT60" s="165"/>
      <c r="VPU60" s="165"/>
      <c r="VPV60" s="165"/>
      <c r="VPW60" s="165"/>
      <c r="VPX60" s="165"/>
      <c r="VPY60" s="165"/>
      <c r="VPZ60" s="165"/>
      <c r="VQA60" s="165"/>
      <c r="VQB60" s="165"/>
      <c r="VQC60" s="165"/>
      <c r="VQD60" s="165"/>
      <c r="VQE60" s="165"/>
      <c r="VQF60" s="165"/>
      <c r="VQG60" s="165"/>
      <c r="VQH60" s="165"/>
      <c r="VQI60" s="165"/>
      <c r="VQJ60" s="165"/>
      <c r="VQK60" s="165"/>
      <c r="VQL60" s="165"/>
      <c r="VQM60" s="165"/>
      <c r="VQN60" s="165"/>
      <c r="VQO60" s="165"/>
      <c r="VQP60" s="165"/>
      <c r="VQQ60" s="165"/>
      <c r="VQR60" s="165"/>
      <c r="VQS60" s="165"/>
      <c r="VQT60" s="165"/>
      <c r="VQU60" s="165"/>
      <c r="VQV60" s="165"/>
      <c r="VQW60" s="165"/>
      <c r="VQX60" s="165"/>
      <c r="VQY60" s="165"/>
      <c r="VQZ60" s="165"/>
      <c r="VRA60" s="165"/>
      <c r="VRB60" s="165"/>
      <c r="VRC60" s="165"/>
      <c r="VRD60" s="165"/>
      <c r="VRE60" s="165"/>
      <c r="VRF60" s="165"/>
      <c r="VRG60" s="165"/>
      <c r="VRH60" s="165"/>
      <c r="VRI60" s="165"/>
      <c r="VRJ60" s="165"/>
      <c r="VRK60" s="165"/>
      <c r="VRL60" s="165"/>
      <c r="VRM60" s="165"/>
      <c r="VRN60" s="165"/>
      <c r="VRO60" s="165"/>
      <c r="VRP60" s="165"/>
      <c r="VRQ60" s="165"/>
      <c r="VRR60" s="165"/>
      <c r="VRS60" s="165"/>
      <c r="VRT60" s="165"/>
      <c r="VRU60" s="165"/>
      <c r="VRV60" s="165"/>
      <c r="VRW60" s="165"/>
      <c r="VRX60" s="165"/>
      <c r="VRY60" s="165"/>
      <c r="VRZ60" s="165"/>
      <c r="VSA60" s="165"/>
      <c r="VSB60" s="165"/>
      <c r="VSC60" s="165"/>
      <c r="VSD60" s="165"/>
      <c r="VSE60" s="165"/>
      <c r="VSF60" s="165"/>
      <c r="VSG60" s="165"/>
      <c r="VSH60" s="165"/>
      <c r="VSI60" s="165"/>
      <c r="VSJ60" s="165"/>
      <c r="VSK60" s="165"/>
      <c r="VSL60" s="165"/>
      <c r="VSM60" s="165"/>
      <c r="VSN60" s="165"/>
      <c r="VSO60" s="165"/>
      <c r="VSP60" s="165"/>
      <c r="VSQ60" s="165"/>
      <c r="VSR60" s="165"/>
      <c r="VSS60" s="165"/>
      <c r="VST60" s="165"/>
      <c r="VSU60" s="165"/>
      <c r="VSV60" s="165"/>
      <c r="VSW60" s="165"/>
      <c r="VSX60" s="165"/>
      <c r="VSY60" s="165"/>
      <c r="VSZ60" s="165"/>
      <c r="VTA60" s="165"/>
      <c r="VTB60" s="165"/>
      <c r="VTC60" s="165"/>
      <c r="VTD60" s="165"/>
      <c r="VTE60" s="165"/>
      <c r="VTF60" s="165"/>
      <c r="VTG60" s="165"/>
      <c r="VTH60" s="165"/>
      <c r="VTI60" s="165"/>
      <c r="VTJ60" s="165"/>
      <c r="VTK60" s="165"/>
      <c r="VTL60" s="165"/>
      <c r="VTM60" s="165"/>
      <c r="VTN60" s="165"/>
      <c r="VTO60" s="165"/>
      <c r="VTP60" s="165"/>
      <c r="VTQ60" s="165"/>
      <c r="VTR60" s="165"/>
      <c r="VTS60" s="165"/>
      <c r="VTT60" s="165"/>
      <c r="VTU60" s="165"/>
      <c r="VTV60" s="165"/>
      <c r="VTW60" s="165"/>
      <c r="VTX60" s="165"/>
      <c r="VTY60" s="165"/>
      <c r="VTZ60" s="165"/>
      <c r="VUA60" s="165"/>
      <c r="VUB60" s="165"/>
      <c r="VUC60" s="165"/>
      <c r="VUD60" s="165"/>
      <c r="VUE60" s="165"/>
      <c r="VUF60" s="165"/>
      <c r="VUG60" s="165"/>
      <c r="VUH60" s="165"/>
      <c r="VUI60" s="165"/>
      <c r="VUJ60" s="165"/>
      <c r="VUK60" s="165"/>
      <c r="VUL60" s="165"/>
      <c r="VUM60" s="165"/>
      <c r="VUN60" s="165"/>
      <c r="VUO60" s="165"/>
      <c r="VUP60" s="165"/>
      <c r="VUQ60" s="165"/>
      <c r="VUR60" s="165"/>
      <c r="VUS60" s="165"/>
      <c r="VUT60" s="165"/>
      <c r="VUU60" s="165"/>
      <c r="VUV60" s="165"/>
      <c r="VUW60" s="165"/>
      <c r="VUX60" s="165"/>
      <c r="VUY60" s="165"/>
      <c r="VUZ60" s="165"/>
      <c r="VVA60" s="165"/>
      <c r="VVB60" s="165"/>
      <c r="VVC60" s="165"/>
      <c r="VVD60" s="165"/>
      <c r="VVE60" s="165"/>
      <c r="VVF60" s="165"/>
      <c r="VVG60" s="165"/>
      <c r="VVH60" s="165"/>
      <c r="VVI60" s="165"/>
      <c r="VVJ60" s="165"/>
      <c r="VVK60" s="165"/>
      <c r="VVL60" s="165"/>
      <c r="VVM60" s="165"/>
      <c r="VVN60" s="165"/>
      <c r="VVO60" s="165"/>
      <c r="VVP60" s="165"/>
      <c r="VVQ60" s="165"/>
      <c r="VVR60" s="165"/>
      <c r="VVS60" s="165"/>
      <c r="VVT60" s="165"/>
      <c r="VVU60" s="165"/>
      <c r="VVV60" s="165"/>
      <c r="VVW60" s="165"/>
      <c r="VVX60" s="165"/>
      <c r="VVY60" s="165"/>
      <c r="VVZ60" s="165"/>
      <c r="VWA60" s="165"/>
      <c r="VWB60" s="165"/>
      <c r="VWC60" s="165"/>
      <c r="VWD60" s="165"/>
      <c r="VWE60" s="165"/>
      <c r="VWF60" s="165"/>
      <c r="VWG60" s="165"/>
      <c r="VWH60" s="165"/>
      <c r="VWI60" s="165"/>
      <c r="VWJ60" s="165"/>
      <c r="VWK60" s="165"/>
      <c r="VWL60" s="165"/>
      <c r="VWM60" s="165"/>
      <c r="VWN60" s="165"/>
      <c r="VWO60" s="165"/>
      <c r="VWP60" s="165"/>
      <c r="VWQ60" s="165"/>
      <c r="VWR60" s="165"/>
      <c r="VWS60" s="165"/>
      <c r="VWT60" s="165"/>
      <c r="VWU60" s="165"/>
      <c r="VWV60" s="165"/>
      <c r="VWW60" s="165"/>
      <c r="VWX60" s="165"/>
      <c r="VWY60" s="165"/>
      <c r="VWZ60" s="165"/>
      <c r="VXA60" s="165"/>
      <c r="VXB60" s="165"/>
      <c r="VXC60" s="165"/>
      <c r="VXD60" s="165"/>
      <c r="VXE60" s="165"/>
      <c r="VXF60" s="165"/>
      <c r="VXG60" s="165"/>
      <c r="VXH60" s="165"/>
      <c r="VXI60" s="165"/>
      <c r="VXJ60" s="165"/>
      <c r="VXK60" s="165"/>
      <c r="VXL60" s="165"/>
      <c r="VXM60" s="165"/>
      <c r="VXN60" s="165"/>
      <c r="VXO60" s="165"/>
      <c r="VXP60" s="165"/>
      <c r="VXQ60" s="165"/>
      <c r="VXR60" s="165"/>
      <c r="VXS60" s="165"/>
      <c r="VXT60" s="165"/>
      <c r="VXU60" s="165"/>
      <c r="VXV60" s="165"/>
      <c r="VXW60" s="165"/>
      <c r="VXX60" s="165"/>
      <c r="VXY60" s="165"/>
      <c r="VXZ60" s="165"/>
      <c r="VYA60" s="165"/>
      <c r="VYB60" s="165"/>
      <c r="VYC60" s="165"/>
      <c r="VYD60" s="165"/>
      <c r="VYE60" s="165"/>
      <c r="VYF60" s="165"/>
      <c r="VYG60" s="165"/>
      <c r="VYH60" s="165"/>
      <c r="VYI60" s="165"/>
      <c r="VYJ60" s="165"/>
      <c r="VYK60" s="165"/>
      <c r="VYL60" s="165"/>
      <c r="VYM60" s="165"/>
      <c r="VYN60" s="165"/>
      <c r="VYO60" s="165"/>
      <c r="VYP60" s="165"/>
      <c r="VYQ60" s="165"/>
      <c r="VYR60" s="165"/>
      <c r="VYS60" s="165"/>
      <c r="VYT60" s="165"/>
      <c r="VYU60" s="165"/>
      <c r="VYV60" s="165"/>
      <c r="VYW60" s="165"/>
      <c r="VYX60" s="165"/>
      <c r="VYY60" s="165"/>
      <c r="VYZ60" s="165"/>
      <c r="VZA60" s="165"/>
      <c r="VZB60" s="165"/>
      <c r="VZC60" s="165"/>
      <c r="VZD60" s="165"/>
      <c r="VZE60" s="165"/>
      <c r="VZF60" s="165"/>
      <c r="VZG60" s="165"/>
      <c r="VZH60" s="165"/>
      <c r="VZI60" s="165"/>
      <c r="VZJ60" s="165"/>
      <c r="VZK60" s="165"/>
      <c r="VZL60" s="165"/>
      <c r="VZM60" s="165"/>
      <c r="VZN60" s="165"/>
      <c r="VZO60" s="165"/>
      <c r="VZP60" s="165"/>
      <c r="VZQ60" s="165"/>
      <c r="VZR60" s="165"/>
      <c r="VZS60" s="165"/>
      <c r="VZT60" s="165"/>
      <c r="VZU60" s="165"/>
      <c r="VZV60" s="165"/>
      <c r="VZW60" s="165"/>
      <c r="VZX60" s="165"/>
      <c r="VZY60" s="165"/>
      <c r="VZZ60" s="165"/>
      <c r="WAA60" s="165"/>
      <c r="WAB60" s="165"/>
      <c r="WAC60" s="165"/>
      <c r="WAD60" s="165"/>
      <c r="WAE60" s="165"/>
      <c r="WAF60" s="165"/>
      <c r="WAG60" s="165"/>
      <c r="WAH60" s="165"/>
      <c r="WAI60" s="165"/>
      <c r="WAJ60" s="165"/>
      <c r="WAK60" s="165"/>
      <c r="WAL60" s="165"/>
      <c r="WAM60" s="165"/>
      <c r="WAN60" s="165"/>
      <c r="WAO60" s="165"/>
      <c r="WAP60" s="165"/>
      <c r="WAQ60" s="165"/>
      <c r="WAR60" s="165"/>
      <c r="WAS60" s="165"/>
      <c r="WAT60" s="165"/>
      <c r="WAU60" s="165"/>
      <c r="WAV60" s="165"/>
      <c r="WAW60" s="165"/>
      <c r="WAX60" s="165"/>
      <c r="WAY60" s="165"/>
      <c r="WAZ60" s="165"/>
      <c r="WBA60" s="165"/>
      <c r="WBB60" s="165"/>
      <c r="WBC60" s="165"/>
      <c r="WBD60" s="165"/>
      <c r="WBE60" s="165"/>
      <c r="WBF60" s="165"/>
      <c r="WBG60" s="165"/>
      <c r="WBH60" s="165"/>
      <c r="WBI60" s="165"/>
      <c r="WBJ60" s="165"/>
      <c r="WBK60" s="165"/>
      <c r="WBL60" s="165"/>
      <c r="WBM60" s="165"/>
      <c r="WBN60" s="165"/>
      <c r="WBO60" s="165"/>
      <c r="WBP60" s="165"/>
      <c r="WBQ60" s="165"/>
      <c r="WBR60" s="165"/>
      <c r="WBS60" s="165"/>
      <c r="WBT60" s="165"/>
      <c r="WBU60" s="165"/>
      <c r="WBV60" s="165"/>
      <c r="WBW60" s="165"/>
      <c r="WBX60" s="165"/>
      <c r="WBY60" s="165"/>
      <c r="WBZ60" s="165"/>
      <c r="WCA60" s="165"/>
      <c r="WCB60" s="165"/>
      <c r="WCC60" s="165"/>
      <c r="WCD60" s="165"/>
      <c r="WCE60" s="165"/>
      <c r="WCF60" s="165"/>
      <c r="WCG60" s="165"/>
      <c r="WCH60" s="165"/>
      <c r="WCI60" s="165"/>
      <c r="WCJ60" s="165"/>
      <c r="WCK60" s="165"/>
      <c r="WCL60" s="165"/>
      <c r="WCM60" s="165"/>
      <c r="WCN60" s="165"/>
      <c r="WCO60" s="165"/>
      <c r="WCP60" s="165"/>
      <c r="WCQ60" s="165"/>
      <c r="WCR60" s="165"/>
      <c r="WCS60" s="165"/>
      <c r="WCT60" s="165"/>
      <c r="WCU60" s="165"/>
      <c r="WCV60" s="165"/>
      <c r="WCW60" s="165"/>
      <c r="WCX60" s="165"/>
      <c r="WCY60" s="165"/>
      <c r="WCZ60" s="165"/>
      <c r="WDA60" s="165"/>
      <c r="WDB60" s="165"/>
      <c r="WDC60" s="165"/>
      <c r="WDD60" s="165"/>
      <c r="WDE60" s="165"/>
      <c r="WDF60" s="165"/>
      <c r="WDG60" s="165"/>
      <c r="WDH60" s="165"/>
      <c r="WDI60" s="165"/>
      <c r="WDJ60" s="165"/>
      <c r="WDK60" s="165"/>
      <c r="WDL60" s="165"/>
      <c r="WDM60" s="165"/>
      <c r="WDN60" s="165"/>
      <c r="WDO60" s="165"/>
      <c r="WDP60" s="165"/>
      <c r="WDQ60" s="165"/>
      <c r="WDR60" s="165"/>
      <c r="WDS60" s="165"/>
      <c r="WDT60" s="165"/>
      <c r="WDU60" s="165"/>
      <c r="WDV60" s="165"/>
      <c r="WDW60" s="165"/>
      <c r="WDX60" s="165"/>
      <c r="WDY60" s="165"/>
      <c r="WDZ60" s="165"/>
      <c r="WEA60" s="165"/>
      <c r="WEB60" s="165"/>
      <c r="WEC60" s="165"/>
      <c r="WED60" s="165"/>
      <c r="WEE60" s="165"/>
      <c r="WEF60" s="165"/>
      <c r="WEG60" s="165"/>
      <c r="WEH60" s="165"/>
      <c r="WEI60" s="165"/>
      <c r="WEJ60" s="165"/>
      <c r="WEK60" s="165"/>
      <c r="WEL60" s="165"/>
      <c r="WEM60" s="165"/>
      <c r="WEN60" s="165"/>
      <c r="WEO60" s="165"/>
      <c r="WEP60" s="165"/>
      <c r="WEQ60" s="165"/>
      <c r="WER60" s="165"/>
      <c r="WES60" s="165"/>
      <c r="WET60" s="165"/>
      <c r="WEU60" s="165"/>
      <c r="WEV60" s="165"/>
      <c r="WEW60" s="165"/>
      <c r="WEX60" s="165"/>
      <c r="WEY60" s="165"/>
      <c r="WEZ60" s="165"/>
      <c r="WFA60" s="165"/>
      <c r="WFB60" s="165"/>
      <c r="WFC60" s="165"/>
      <c r="WFD60" s="165"/>
      <c r="WFE60" s="165"/>
      <c r="WFF60" s="165"/>
      <c r="WFG60" s="165"/>
      <c r="WFH60" s="165"/>
      <c r="WFI60" s="165"/>
      <c r="WFJ60" s="165"/>
      <c r="WFK60" s="165"/>
      <c r="WFL60" s="165"/>
      <c r="WFM60" s="165"/>
      <c r="WFN60" s="165"/>
      <c r="WFO60" s="165"/>
      <c r="WFP60" s="165"/>
      <c r="WFQ60" s="165"/>
      <c r="WFR60" s="165"/>
      <c r="WFS60" s="165"/>
      <c r="WFT60" s="165"/>
      <c r="WFU60" s="165"/>
      <c r="WFV60" s="165"/>
      <c r="WFW60" s="165"/>
      <c r="WFX60" s="165"/>
      <c r="WFY60" s="165"/>
      <c r="WFZ60" s="165"/>
      <c r="WGA60" s="165"/>
      <c r="WGB60" s="165"/>
      <c r="WGC60" s="165"/>
      <c r="WGD60" s="165"/>
      <c r="WGE60" s="165"/>
      <c r="WGF60" s="165"/>
      <c r="WGG60" s="165"/>
      <c r="WGH60" s="165"/>
      <c r="WGI60" s="165"/>
      <c r="WGJ60" s="165"/>
      <c r="WGK60" s="165"/>
      <c r="WGL60" s="165"/>
      <c r="WGM60" s="165"/>
      <c r="WGN60" s="165"/>
      <c r="WGO60" s="165"/>
      <c r="WGP60" s="165"/>
      <c r="WGQ60" s="165"/>
      <c r="WGR60" s="165"/>
      <c r="WGS60" s="165"/>
      <c r="WGT60" s="165"/>
      <c r="WGU60" s="165"/>
      <c r="WGV60" s="165"/>
      <c r="WGW60" s="165"/>
      <c r="WGX60" s="165"/>
      <c r="WGY60" s="165"/>
      <c r="WGZ60" s="165"/>
      <c r="WHA60" s="165"/>
      <c r="WHB60" s="165"/>
      <c r="WHC60" s="165"/>
      <c r="WHD60" s="165"/>
      <c r="WHE60" s="165"/>
      <c r="WHF60" s="165"/>
      <c r="WHG60" s="165"/>
      <c r="WHH60" s="165"/>
      <c r="WHI60" s="165"/>
      <c r="WHJ60" s="165"/>
      <c r="WHK60" s="165"/>
      <c r="WHL60" s="165"/>
      <c r="WHM60" s="165"/>
      <c r="WHN60" s="165"/>
      <c r="WHO60" s="165"/>
      <c r="WHP60" s="165"/>
      <c r="WHQ60" s="165"/>
      <c r="WHR60" s="165"/>
      <c r="WHS60" s="165"/>
      <c r="WHT60" s="165"/>
      <c r="WHU60" s="165"/>
      <c r="WHV60" s="165"/>
      <c r="WHW60" s="165"/>
      <c r="WHX60" s="165"/>
      <c r="WHY60" s="165"/>
      <c r="WHZ60" s="165"/>
      <c r="WIA60" s="165"/>
      <c r="WIB60" s="165"/>
      <c r="WIC60" s="165"/>
      <c r="WID60" s="165"/>
      <c r="WIE60" s="165"/>
      <c r="WIF60" s="165"/>
      <c r="WIG60" s="165"/>
      <c r="WIH60" s="165"/>
      <c r="WII60" s="165"/>
      <c r="WIJ60" s="165"/>
      <c r="WIK60" s="165"/>
      <c r="WIL60" s="165"/>
      <c r="WIM60" s="165"/>
      <c r="WIN60" s="165"/>
      <c r="WIO60" s="165"/>
      <c r="WIP60" s="165"/>
      <c r="WIQ60" s="165"/>
      <c r="WIR60" s="165"/>
      <c r="WIS60" s="165"/>
      <c r="WIT60" s="165"/>
      <c r="WIU60" s="165"/>
      <c r="WIV60" s="165"/>
      <c r="WIW60" s="165"/>
      <c r="WIX60" s="165"/>
      <c r="WIY60" s="165"/>
      <c r="WIZ60" s="165"/>
      <c r="WJA60" s="165"/>
      <c r="WJB60" s="165"/>
      <c r="WJC60" s="165"/>
      <c r="WJD60" s="165"/>
      <c r="WJE60" s="165"/>
      <c r="WJF60" s="165"/>
      <c r="WJG60" s="165"/>
      <c r="WJH60" s="165"/>
      <c r="WJI60" s="165"/>
      <c r="WJJ60" s="165"/>
      <c r="WJK60" s="165"/>
      <c r="WJL60" s="165"/>
      <c r="WJM60" s="165"/>
      <c r="WJN60" s="165"/>
      <c r="WJO60" s="165"/>
      <c r="WJP60" s="165"/>
      <c r="WJQ60" s="165"/>
      <c r="WJR60" s="165"/>
      <c r="WJS60" s="165"/>
      <c r="WJT60" s="165"/>
      <c r="WJU60" s="165"/>
      <c r="WJV60" s="165"/>
      <c r="WJW60" s="165"/>
      <c r="WJX60" s="165"/>
      <c r="WJY60" s="165"/>
      <c r="WJZ60" s="165"/>
      <c r="WKA60" s="165"/>
      <c r="WKB60" s="165"/>
      <c r="WKC60" s="165"/>
      <c r="WKD60" s="165"/>
      <c r="WKE60" s="165"/>
      <c r="WKF60" s="165"/>
      <c r="WKG60" s="165"/>
      <c r="WKH60" s="165"/>
      <c r="WKI60" s="165"/>
      <c r="WKJ60" s="165"/>
      <c r="WKK60" s="165"/>
      <c r="WKL60" s="165"/>
      <c r="WKM60" s="165"/>
      <c r="WKN60" s="165"/>
      <c r="WKO60" s="165"/>
      <c r="WKP60" s="165"/>
      <c r="WKQ60" s="165"/>
      <c r="WKR60" s="165"/>
      <c r="WKS60" s="165"/>
      <c r="WKT60" s="165"/>
      <c r="WKU60" s="165"/>
      <c r="WKV60" s="165"/>
      <c r="WKW60" s="165"/>
      <c r="WKX60" s="165"/>
      <c r="WKY60" s="165"/>
      <c r="WKZ60" s="165"/>
      <c r="WLA60" s="165"/>
      <c r="WLB60" s="165"/>
      <c r="WLC60" s="165"/>
      <c r="WLD60" s="165"/>
      <c r="WLE60" s="165"/>
      <c r="WLF60" s="165"/>
      <c r="WLG60" s="165"/>
      <c r="WLH60" s="165"/>
      <c r="WLI60" s="165"/>
      <c r="WLJ60" s="165"/>
      <c r="WLK60" s="165"/>
      <c r="WLL60" s="165"/>
      <c r="WLM60" s="165"/>
      <c r="WLN60" s="165"/>
      <c r="WLO60" s="165"/>
      <c r="WLP60" s="165"/>
      <c r="WLQ60" s="165"/>
      <c r="WLR60" s="165"/>
      <c r="WLS60" s="165"/>
      <c r="WLT60" s="165"/>
      <c r="WLU60" s="165"/>
      <c r="WLV60" s="165"/>
      <c r="WLW60" s="165"/>
      <c r="WLX60" s="165"/>
      <c r="WLY60" s="165"/>
      <c r="WLZ60" s="165"/>
      <c r="WMA60" s="165"/>
      <c r="WMB60" s="165"/>
      <c r="WMC60" s="165"/>
      <c r="WMD60" s="165"/>
      <c r="WME60" s="165"/>
      <c r="WMF60" s="165"/>
      <c r="WMG60" s="165"/>
      <c r="WMH60" s="165"/>
      <c r="WMI60" s="165"/>
      <c r="WMJ60" s="165"/>
      <c r="WMK60" s="165"/>
      <c r="WML60" s="165"/>
      <c r="WMM60" s="165"/>
      <c r="WMN60" s="165"/>
      <c r="WMO60" s="165"/>
      <c r="WMP60" s="165"/>
      <c r="WMQ60" s="165"/>
      <c r="WMR60" s="165"/>
      <c r="WMS60" s="165"/>
      <c r="WMT60" s="165"/>
      <c r="WMU60" s="165"/>
      <c r="WMV60" s="165"/>
      <c r="WMW60" s="165"/>
      <c r="WMX60" s="165"/>
      <c r="WMY60" s="165"/>
      <c r="WMZ60" s="165"/>
      <c r="WNA60" s="165"/>
      <c r="WNB60" s="165"/>
      <c r="WNC60" s="165"/>
      <c r="WND60" s="165"/>
      <c r="WNE60" s="165"/>
      <c r="WNF60" s="165"/>
      <c r="WNG60" s="165"/>
      <c r="WNH60" s="165"/>
      <c r="WNI60" s="165"/>
      <c r="WNJ60" s="165"/>
      <c r="WNK60" s="165"/>
      <c r="WNL60" s="165"/>
      <c r="WNM60" s="165"/>
      <c r="WNN60" s="165"/>
      <c r="WNO60" s="165"/>
      <c r="WNP60" s="165"/>
      <c r="WNQ60" s="165"/>
      <c r="WNR60" s="165"/>
      <c r="WNS60" s="165"/>
      <c r="WNT60" s="165"/>
      <c r="WNU60" s="165"/>
      <c r="WNV60" s="165"/>
      <c r="WNW60" s="165"/>
      <c r="WNX60" s="165"/>
      <c r="WNY60" s="165"/>
      <c r="WNZ60" s="165"/>
      <c r="WOA60" s="165"/>
      <c r="WOB60" s="165"/>
      <c r="WOC60" s="165"/>
      <c r="WOD60" s="165"/>
      <c r="WOE60" s="165"/>
      <c r="WOF60" s="165"/>
      <c r="WOG60" s="165"/>
      <c r="WOH60" s="165"/>
      <c r="WOI60" s="165"/>
      <c r="WOJ60" s="165"/>
      <c r="WOK60" s="165"/>
      <c r="WOL60" s="165"/>
      <c r="WOM60" s="165"/>
      <c r="WON60" s="165"/>
      <c r="WOO60" s="165"/>
      <c r="WOP60" s="165"/>
      <c r="WOQ60" s="165"/>
      <c r="WOR60" s="165"/>
      <c r="WOS60" s="165"/>
      <c r="WOT60" s="165"/>
      <c r="WOU60" s="165"/>
      <c r="WOV60" s="165"/>
      <c r="WOW60" s="165"/>
      <c r="WOX60" s="165"/>
      <c r="WOY60" s="165"/>
      <c r="WOZ60" s="165"/>
      <c r="WPA60" s="165"/>
      <c r="WPB60" s="165"/>
      <c r="WPC60" s="165"/>
      <c r="WPD60" s="165"/>
      <c r="WPE60" s="165"/>
      <c r="WPF60" s="165"/>
      <c r="WPG60" s="165"/>
      <c r="WPH60" s="165"/>
      <c r="WPI60" s="165"/>
      <c r="WPJ60" s="165"/>
      <c r="WPK60" s="165"/>
      <c r="WPL60" s="165"/>
      <c r="WPM60" s="165"/>
      <c r="WPN60" s="165"/>
      <c r="WPO60" s="165"/>
      <c r="WPP60" s="165"/>
      <c r="WPQ60" s="165"/>
      <c r="WPR60" s="165"/>
      <c r="WPS60" s="165"/>
      <c r="WPT60" s="165"/>
      <c r="WPU60" s="165"/>
      <c r="WPV60" s="165"/>
      <c r="WPW60" s="165"/>
      <c r="WPX60" s="165"/>
      <c r="WPY60" s="165"/>
      <c r="WPZ60" s="165"/>
      <c r="WQA60" s="165"/>
      <c r="WQB60" s="165"/>
      <c r="WQC60" s="165"/>
      <c r="WQD60" s="165"/>
      <c r="WQE60" s="165"/>
      <c r="WQF60" s="165"/>
      <c r="WQG60" s="165"/>
      <c r="WQH60" s="165"/>
      <c r="WQI60" s="165"/>
      <c r="WQJ60" s="165"/>
      <c r="WQK60" s="165"/>
      <c r="WQL60" s="165"/>
      <c r="WQM60" s="165"/>
      <c r="WQN60" s="165"/>
      <c r="WQO60" s="165"/>
      <c r="WQP60" s="165"/>
      <c r="WQQ60" s="165"/>
      <c r="WQR60" s="165"/>
      <c r="WQS60" s="165"/>
      <c r="WQT60" s="165"/>
      <c r="WQU60" s="165"/>
      <c r="WQV60" s="165"/>
      <c r="WQW60" s="165"/>
      <c r="WQX60" s="165"/>
      <c r="WQY60" s="165"/>
      <c r="WQZ60" s="165"/>
      <c r="WRA60" s="165"/>
      <c r="WRB60" s="165"/>
      <c r="WRC60" s="165"/>
      <c r="WRD60" s="165"/>
      <c r="WRE60" s="165"/>
      <c r="WRF60" s="165"/>
      <c r="WRG60" s="165"/>
      <c r="WRH60" s="165"/>
      <c r="WRI60" s="165"/>
      <c r="WRJ60" s="165"/>
      <c r="WRK60" s="165"/>
      <c r="WRL60" s="165"/>
      <c r="WRM60" s="165"/>
      <c r="WRN60" s="165"/>
      <c r="WRO60" s="165"/>
      <c r="WRP60" s="165"/>
      <c r="WRQ60" s="165"/>
      <c r="WRR60" s="165"/>
      <c r="WRS60" s="165"/>
      <c r="WRT60" s="165"/>
      <c r="WRU60" s="165"/>
      <c r="WRV60" s="165"/>
      <c r="WRW60" s="165"/>
      <c r="WRX60" s="165"/>
      <c r="WRY60" s="165"/>
      <c r="WRZ60" s="165"/>
      <c r="WSA60" s="165"/>
      <c r="WSB60" s="165"/>
      <c r="WSC60" s="165"/>
      <c r="WSD60" s="165"/>
      <c r="WSE60" s="165"/>
      <c r="WSF60" s="165"/>
      <c r="WSG60" s="165"/>
      <c r="WSH60" s="165"/>
      <c r="WSI60" s="165"/>
      <c r="WSJ60" s="165"/>
      <c r="WSK60" s="165"/>
      <c r="WSL60" s="165"/>
      <c r="WSM60" s="165"/>
      <c r="WSN60" s="165"/>
      <c r="WSO60" s="165"/>
      <c r="WSP60" s="165"/>
      <c r="WSQ60" s="165"/>
      <c r="WSR60" s="165"/>
      <c r="WSS60" s="165"/>
      <c r="WST60" s="165"/>
      <c r="WSU60" s="165"/>
      <c r="WSV60" s="165"/>
      <c r="WSW60" s="165"/>
      <c r="WSX60" s="165"/>
      <c r="WSY60" s="165"/>
      <c r="WSZ60" s="165"/>
      <c r="WTA60" s="165"/>
      <c r="WTB60" s="165"/>
      <c r="WTC60" s="165"/>
      <c r="WTD60" s="165"/>
      <c r="WTE60" s="165"/>
      <c r="WTF60" s="165"/>
      <c r="WTG60" s="165"/>
      <c r="WTH60" s="165"/>
      <c r="WTI60" s="165"/>
      <c r="WTJ60" s="165"/>
      <c r="WTK60" s="165"/>
      <c r="WTL60" s="165"/>
      <c r="WTM60" s="165"/>
      <c r="WTN60" s="165"/>
      <c r="WTO60" s="165"/>
      <c r="WTP60" s="165"/>
      <c r="WTQ60" s="165"/>
      <c r="WTR60" s="165"/>
      <c r="WTS60" s="165"/>
      <c r="WTT60" s="165"/>
      <c r="WTU60" s="165"/>
      <c r="WTV60" s="165"/>
      <c r="WTW60" s="165"/>
      <c r="WTX60" s="165"/>
      <c r="WTY60" s="165"/>
      <c r="WTZ60" s="165"/>
      <c r="WUA60" s="165"/>
      <c r="WUB60" s="165"/>
      <c r="WUC60" s="165"/>
      <c r="WUD60" s="165"/>
      <c r="WUE60" s="165"/>
      <c r="WUF60" s="165"/>
      <c r="WUG60" s="165"/>
      <c r="WUH60" s="165"/>
      <c r="WUI60" s="165"/>
      <c r="WUJ60" s="165"/>
      <c r="WUK60" s="165"/>
      <c r="WUL60" s="165"/>
      <c r="WUM60" s="165"/>
      <c r="WUN60" s="165"/>
      <c r="WUO60" s="165"/>
      <c r="WUP60" s="165"/>
      <c r="WUQ60" s="165"/>
      <c r="WUR60" s="165"/>
      <c r="WUS60" s="165"/>
      <c r="WUT60" s="165"/>
      <c r="WUU60" s="165"/>
      <c r="WUV60" s="165"/>
      <c r="WUW60" s="165"/>
      <c r="WUX60" s="165"/>
      <c r="WUY60" s="165"/>
      <c r="WUZ60" s="165"/>
      <c r="WVA60" s="165"/>
      <c r="WVB60" s="165"/>
      <c r="WVC60" s="165"/>
      <c r="WVD60" s="165"/>
      <c r="WVE60" s="165"/>
      <c r="WVF60" s="165"/>
      <c r="WVG60" s="165"/>
      <c r="WVH60" s="165"/>
      <c r="WVI60" s="165"/>
      <c r="WVJ60" s="165"/>
      <c r="WVK60" s="165"/>
      <c r="WVL60" s="165"/>
      <c r="WVM60" s="165"/>
      <c r="WVN60" s="165"/>
      <c r="WVO60" s="165"/>
      <c r="WVP60" s="165"/>
      <c r="WVQ60" s="165"/>
      <c r="WVR60" s="165"/>
      <c r="WVS60" s="165"/>
      <c r="WVT60" s="165"/>
      <c r="WVU60" s="165"/>
      <c r="WVV60" s="165"/>
      <c r="WVW60" s="165"/>
      <c r="WVX60" s="165"/>
      <c r="WVY60" s="165"/>
      <c r="WVZ60" s="165"/>
      <c r="WWA60" s="165"/>
      <c r="WWB60" s="165"/>
      <c r="WWC60" s="165"/>
      <c r="WWD60" s="165"/>
      <c r="WWE60" s="165"/>
      <c r="WWF60" s="165"/>
      <c r="WWG60" s="165"/>
      <c r="WWH60" s="165"/>
      <c r="WWI60" s="165"/>
      <c r="WWJ60" s="165"/>
      <c r="WWK60" s="165"/>
      <c r="WWL60" s="165"/>
      <c r="WWM60" s="165"/>
      <c r="WWN60" s="165"/>
      <c r="WWO60" s="165"/>
      <c r="WWP60" s="165"/>
      <c r="WWQ60" s="165"/>
      <c r="WWR60" s="165"/>
      <c r="WWS60" s="165"/>
      <c r="WWT60" s="165"/>
      <c r="WWU60" s="165"/>
      <c r="WWV60" s="165"/>
      <c r="WWW60" s="165"/>
      <c r="WWX60" s="165"/>
      <c r="WWY60" s="165"/>
      <c r="WWZ60" s="165"/>
      <c r="WXA60" s="165"/>
      <c r="WXB60" s="165"/>
      <c r="WXC60" s="165"/>
      <c r="WXD60" s="165"/>
      <c r="WXE60" s="165"/>
      <c r="WXF60" s="165"/>
      <c r="WXG60" s="165"/>
      <c r="WXH60" s="165"/>
      <c r="WXI60" s="165"/>
      <c r="WXJ60" s="165"/>
      <c r="WXK60" s="165"/>
      <c r="WXL60" s="165"/>
      <c r="WXM60" s="165"/>
      <c r="WXN60" s="165"/>
      <c r="WXO60" s="165"/>
      <c r="WXP60" s="165"/>
      <c r="WXQ60" s="165"/>
      <c r="WXR60" s="165"/>
      <c r="WXS60" s="165"/>
      <c r="WXT60" s="165"/>
      <c r="WXU60" s="165"/>
      <c r="WXV60" s="165"/>
      <c r="WXW60" s="165"/>
      <c r="WXX60" s="165"/>
      <c r="WXY60" s="165"/>
      <c r="WXZ60" s="165"/>
      <c r="WYA60" s="165"/>
      <c r="WYB60" s="165"/>
      <c r="WYC60" s="165"/>
      <c r="WYD60" s="165"/>
      <c r="WYE60" s="165"/>
      <c r="WYF60" s="165"/>
      <c r="WYG60" s="165"/>
      <c r="WYH60" s="165"/>
      <c r="WYI60" s="165"/>
      <c r="WYJ60" s="165"/>
      <c r="WYK60" s="165"/>
      <c r="WYL60" s="165"/>
      <c r="WYM60" s="165"/>
      <c r="WYN60" s="165"/>
      <c r="WYO60" s="165"/>
      <c r="WYP60" s="165"/>
      <c r="WYQ60" s="165"/>
      <c r="WYR60" s="165"/>
      <c r="WYS60" s="165"/>
      <c r="WYT60" s="165"/>
      <c r="WYU60" s="165"/>
      <c r="WYV60" s="165"/>
      <c r="WYW60" s="165"/>
      <c r="WYX60" s="165"/>
      <c r="WYY60" s="165"/>
      <c r="WYZ60" s="165"/>
      <c r="WZA60" s="165"/>
      <c r="WZB60" s="165"/>
      <c r="WZC60" s="165"/>
      <c r="WZD60" s="165"/>
      <c r="WZE60" s="165"/>
      <c r="WZF60" s="165"/>
      <c r="WZG60" s="165"/>
      <c r="WZH60" s="165"/>
      <c r="WZI60" s="165"/>
      <c r="WZJ60" s="165"/>
      <c r="WZK60" s="165"/>
      <c r="WZL60" s="165"/>
      <c r="WZM60" s="165"/>
      <c r="WZN60" s="165"/>
      <c r="WZO60" s="165"/>
      <c r="WZP60" s="165"/>
      <c r="WZQ60" s="165"/>
      <c r="WZR60" s="165"/>
      <c r="WZS60" s="165"/>
      <c r="WZT60" s="165"/>
      <c r="WZU60" s="165"/>
      <c r="WZV60" s="165"/>
      <c r="WZW60" s="165"/>
      <c r="WZX60" s="165"/>
      <c r="WZY60" s="165"/>
      <c r="WZZ60" s="165"/>
      <c r="XAA60" s="165"/>
      <c r="XAB60" s="165"/>
      <c r="XAC60" s="165"/>
      <c r="XAD60" s="165"/>
      <c r="XAE60" s="165"/>
      <c r="XAF60" s="165"/>
      <c r="XAG60" s="165"/>
      <c r="XAH60" s="165"/>
      <c r="XAI60" s="165"/>
      <c r="XAJ60" s="165"/>
      <c r="XAK60" s="165"/>
      <c r="XAL60" s="165"/>
      <c r="XAM60" s="165"/>
      <c r="XAN60" s="165"/>
      <c r="XAO60" s="165"/>
      <c r="XAP60" s="165"/>
      <c r="XAQ60" s="165"/>
      <c r="XAR60" s="165"/>
      <c r="XAS60" s="165"/>
      <c r="XAT60" s="165"/>
      <c r="XAU60" s="165"/>
      <c r="XAV60" s="165"/>
      <c r="XAW60" s="165"/>
      <c r="XAX60" s="165"/>
      <c r="XAY60" s="165"/>
      <c r="XAZ60" s="165"/>
      <c r="XBA60" s="165"/>
      <c r="XBB60" s="165"/>
      <c r="XBC60" s="165"/>
      <c r="XBD60" s="165"/>
      <c r="XBE60" s="165"/>
      <c r="XBF60" s="165"/>
      <c r="XBG60" s="165"/>
      <c r="XBH60" s="165"/>
      <c r="XBI60" s="165"/>
      <c r="XBJ60" s="165"/>
      <c r="XBK60" s="165"/>
      <c r="XBL60" s="165"/>
      <c r="XBM60" s="165"/>
      <c r="XBN60" s="165"/>
      <c r="XBO60" s="165"/>
      <c r="XBP60" s="165"/>
      <c r="XBQ60" s="165"/>
      <c r="XBR60" s="165"/>
      <c r="XBS60" s="165"/>
      <c r="XBT60" s="165"/>
      <c r="XBU60" s="165"/>
      <c r="XBV60" s="165"/>
      <c r="XBW60" s="165"/>
      <c r="XBX60" s="165"/>
      <c r="XBY60" s="165"/>
      <c r="XBZ60" s="165"/>
      <c r="XCA60" s="165"/>
      <c r="XCB60" s="165"/>
      <c r="XCC60" s="165"/>
      <c r="XCD60" s="165"/>
      <c r="XCE60" s="165"/>
      <c r="XCF60" s="165"/>
      <c r="XCG60" s="165"/>
      <c r="XCH60" s="165"/>
      <c r="XCI60" s="165"/>
      <c r="XCJ60" s="165"/>
      <c r="XCK60" s="165"/>
      <c r="XCL60" s="165"/>
      <c r="XCM60" s="165"/>
      <c r="XCN60" s="165"/>
      <c r="XCO60" s="165"/>
      <c r="XCP60" s="165"/>
      <c r="XCQ60" s="165"/>
      <c r="XCR60" s="165"/>
      <c r="XCS60" s="165"/>
      <c r="XCT60" s="165"/>
      <c r="XCU60" s="165"/>
      <c r="XCV60" s="165"/>
      <c r="XCW60" s="165"/>
      <c r="XCX60" s="165"/>
      <c r="XCY60" s="165"/>
      <c r="XCZ60" s="165"/>
      <c r="XDA60" s="165"/>
      <c r="XDB60" s="165"/>
      <c r="XDC60" s="165"/>
      <c r="XDD60" s="165"/>
      <c r="XDE60" s="165"/>
      <c r="XDF60" s="165"/>
      <c r="XDG60" s="165"/>
      <c r="XDH60" s="165"/>
      <c r="XDI60" s="165"/>
      <c r="XDJ60" s="165"/>
      <c r="XDK60" s="165"/>
      <c r="XDL60" s="165"/>
      <c r="XDM60" s="165"/>
      <c r="XDN60" s="165"/>
      <c r="XDO60" s="165"/>
      <c r="XDP60" s="165"/>
      <c r="XDQ60" s="165"/>
      <c r="XDR60" s="165"/>
      <c r="XDS60" s="165"/>
      <c r="XDT60" s="165"/>
      <c r="XDU60" s="165"/>
      <c r="XDV60" s="165"/>
      <c r="XDW60" s="165"/>
      <c r="XDX60" s="165"/>
      <c r="XDY60" s="165"/>
      <c r="XDZ60" s="165"/>
      <c r="XEA60" s="165"/>
      <c r="XEB60" s="165"/>
      <c r="XEC60" s="165"/>
      <c r="XED60" s="165"/>
      <c r="XEE60" s="165"/>
      <c r="XEF60" s="165"/>
      <c r="XEG60" s="165"/>
      <c r="XEH60" s="165"/>
      <c r="XEI60" s="165"/>
      <c r="XEJ60" s="165"/>
      <c r="XEK60" s="165"/>
      <c r="XEL60" s="165"/>
      <c r="XEM60" s="165"/>
      <c r="XEN60" s="165"/>
      <c r="XEO60" s="165"/>
      <c r="XEP60" s="165"/>
      <c r="XEQ60" s="165"/>
      <c r="XER60" s="165"/>
      <c r="XES60" s="165"/>
      <c r="XET60" s="165"/>
      <c r="XEU60" s="165"/>
      <c r="XEV60" s="165"/>
      <c r="XEW60" s="165"/>
      <c r="XEX60" s="165"/>
      <c r="XEY60" s="165"/>
      <c r="XEZ60" s="165"/>
    </row>
    <row r="61" spans="1:16380" ht="30">
      <c r="A61" s="221">
        <v>44133</v>
      </c>
      <c r="B61" s="184"/>
      <c r="C61" s="184" t="s">
        <v>1103</v>
      </c>
      <c r="D61" s="184" t="s">
        <v>1104</v>
      </c>
      <c r="E61" s="184" t="s">
        <v>1105</v>
      </c>
      <c r="F61" s="184" t="s">
        <v>919</v>
      </c>
      <c r="G61" s="184" t="s">
        <v>912</v>
      </c>
      <c r="H61" s="184" t="s">
        <v>1106</v>
      </c>
      <c r="I61" s="184" t="s">
        <v>1106</v>
      </c>
      <c r="J61" s="184" t="s">
        <v>936</v>
      </c>
      <c r="K61" s="184" t="s">
        <v>1107</v>
      </c>
      <c r="L61" s="184"/>
      <c r="M61" s="126">
        <v>100000</v>
      </c>
      <c r="N61" s="126">
        <v>100000</v>
      </c>
      <c r="O61" s="127">
        <v>44117</v>
      </c>
      <c r="P61" s="127">
        <v>44469</v>
      </c>
      <c r="Q61" s="213" t="s">
        <v>753</v>
      </c>
      <c r="R61" s="213" t="s">
        <v>753</v>
      </c>
      <c r="S61" s="213"/>
      <c r="T61" s="184"/>
      <c r="U61" s="214"/>
      <c r="V61" s="184"/>
      <c r="W61" s="212"/>
      <c r="X61" s="184"/>
      <c r="Y61" s="184"/>
      <c r="Z61" s="184"/>
      <c r="AA61" s="184"/>
      <c r="AB61" s="119" t="s">
        <v>877</v>
      </c>
      <c r="AC61" s="184"/>
    </row>
    <row r="62" spans="1:16380" ht="15">
      <c r="A62" s="165"/>
      <c r="B62" s="165"/>
      <c r="C62" s="165" t="s">
        <v>1108</v>
      </c>
      <c r="D62" s="165" t="s">
        <v>1109</v>
      </c>
      <c r="E62" s="165" t="s">
        <v>1110</v>
      </c>
      <c r="F62" s="165" t="s">
        <v>919</v>
      </c>
      <c r="G62" s="165" t="s">
        <v>946</v>
      </c>
      <c r="H62" s="165" t="s">
        <v>1111</v>
      </c>
      <c r="I62" s="165" t="s">
        <v>1111</v>
      </c>
      <c r="J62" s="165" t="s">
        <v>936</v>
      </c>
      <c r="K62" s="165" t="s">
        <v>1108</v>
      </c>
      <c r="L62" s="165"/>
      <c r="M62" s="229">
        <v>50000</v>
      </c>
      <c r="N62" s="229">
        <v>50000</v>
      </c>
      <c r="O62" s="230">
        <v>44120</v>
      </c>
      <c r="P62" s="230">
        <v>44469</v>
      </c>
      <c r="Q62" s="193" t="s">
        <v>753</v>
      </c>
      <c r="R62" s="193" t="s">
        <v>753</v>
      </c>
      <c r="S62" s="165"/>
      <c r="T62" s="165"/>
      <c r="U62" s="165"/>
      <c r="V62" s="165"/>
      <c r="W62" s="165"/>
      <c r="X62" s="165"/>
      <c r="Y62" s="165"/>
      <c r="Z62" s="165"/>
      <c r="AA62" s="165"/>
      <c r="AB62" s="165" t="s">
        <v>877</v>
      </c>
      <c r="AC62" s="231"/>
    </row>
    <row r="63" spans="1:16380">
      <c r="A63" s="165"/>
      <c r="B63" s="165"/>
      <c r="C63" s="165" t="s">
        <v>1108</v>
      </c>
      <c r="D63" s="165" t="s">
        <v>1112</v>
      </c>
      <c r="E63" s="165" t="s">
        <v>1113</v>
      </c>
      <c r="F63" s="165" t="s">
        <v>919</v>
      </c>
      <c r="G63" s="165" t="s">
        <v>946</v>
      </c>
      <c r="H63" s="165" t="s">
        <v>1114</v>
      </c>
      <c r="I63" s="165" t="s">
        <v>1114</v>
      </c>
      <c r="J63" s="165" t="s">
        <v>936</v>
      </c>
      <c r="K63" s="165" t="s">
        <v>1108</v>
      </c>
      <c r="L63" s="165"/>
      <c r="M63" s="229">
        <v>50000</v>
      </c>
      <c r="N63" s="229">
        <v>50000</v>
      </c>
      <c r="O63" s="230">
        <v>44120</v>
      </c>
      <c r="P63" s="230">
        <v>44469</v>
      </c>
      <c r="Q63" s="230" t="s">
        <v>753</v>
      </c>
      <c r="R63" s="230" t="s">
        <v>753</v>
      </c>
      <c r="S63" s="165"/>
      <c r="T63" s="165"/>
      <c r="U63" s="165"/>
      <c r="V63" s="165"/>
      <c r="W63" s="165"/>
      <c r="X63" s="165"/>
      <c r="Y63" s="165"/>
      <c r="Z63" s="165"/>
      <c r="AA63" s="165"/>
      <c r="AB63" s="165" t="s">
        <v>877</v>
      </c>
      <c r="AC63" s="231"/>
    </row>
    <row r="64" spans="1:16380">
      <c r="C64" s="119" t="s">
        <v>1068</v>
      </c>
      <c r="D64" s="119" t="s">
        <v>1124</v>
      </c>
      <c r="E64" s="119" t="s">
        <v>1125</v>
      </c>
      <c r="F64" s="119" t="s">
        <v>919</v>
      </c>
      <c r="G64" s="119" t="s">
        <v>1004</v>
      </c>
      <c r="H64" s="119" t="s">
        <v>1126</v>
      </c>
      <c r="J64" s="119" t="s">
        <v>936</v>
      </c>
      <c r="K64" s="119" t="s">
        <v>1068</v>
      </c>
      <c r="M64" s="126">
        <v>2000</v>
      </c>
      <c r="N64" s="126">
        <v>2000</v>
      </c>
      <c r="O64" s="127">
        <v>44106</v>
      </c>
      <c r="P64" s="127">
        <v>44469</v>
      </c>
      <c r="Q64" s="127" t="s">
        <v>753</v>
      </c>
      <c r="R64" s="127" t="s">
        <v>753</v>
      </c>
      <c r="AB64" s="119" t="s">
        <v>877</v>
      </c>
    </row>
    <row r="65" spans="1:29">
      <c r="C65" s="119" t="s">
        <v>1068</v>
      </c>
      <c r="D65" s="119" t="s">
        <v>1127</v>
      </c>
      <c r="E65" s="119" t="s">
        <v>1128</v>
      </c>
      <c r="F65" s="119" t="s">
        <v>919</v>
      </c>
      <c r="G65" s="119" t="s">
        <v>1004</v>
      </c>
      <c r="H65" s="119" t="s">
        <v>1129</v>
      </c>
      <c r="J65" s="119" t="s">
        <v>936</v>
      </c>
      <c r="K65" s="119" t="s">
        <v>1068</v>
      </c>
      <c r="M65" s="126">
        <v>10000</v>
      </c>
      <c r="N65" s="126">
        <v>10000</v>
      </c>
      <c r="O65" s="127">
        <v>44131</v>
      </c>
      <c r="P65" s="127">
        <v>44469</v>
      </c>
      <c r="Q65" s="127" t="s">
        <v>753</v>
      </c>
      <c r="R65" s="127" t="s">
        <v>753</v>
      </c>
      <c r="S65" s="119" t="s">
        <v>753</v>
      </c>
      <c r="AB65" s="119" t="s">
        <v>877</v>
      </c>
    </row>
    <row r="66" spans="1:29">
      <c r="A66" s="211" t="s">
        <v>1008</v>
      </c>
      <c r="C66" s="119" t="s">
        <v>1068</v>
      </c>
      <c r="D66" s="119" t="s">
        <v>1120</v>
      </c>
      <c r="E66" s="119" t="s">
        <v>1121</v>
      </c>
      <c r="F66" s="119" t="s">
        <v>1122</v>
      </c>
      <c r="G66" s="119" t="s">
        <v>1004</v>
      </c>
      <c r="H66" s="119" t="s">
        <v>1123</v>
      </c>
      <c r="I66" s="119" t="s">
        <v>753</v>
      </c>
      <c r="J66" s="119" t="s">
        <v>936</v>
      </c>
      <c r="K66" s="119" t="s">
        <v>1068</v>
      </c>
      <c r="M66" s="126">
        <v>2</v>
      </c>
      <c r="N66" s="126">
        <v>2</v>
      </c>
      <c r="O66" s="127">
        <v>44120</v>
      </c>
      <c r="P66" s="127">
        <v>44469</v>
      </c>
      <c r="Q66" s="127" t="s">
        <v>753</v>
      </c>
      <c r="R66" s="127" t="s">
        <v>753</v>
      </c>
      <c r="AB66" s="119" t="s">
        <v>877</v>
      </c>
    </row>
    <row r="67" spans="1:29" ht="30">
      <c r="A67" s="232"/>
      <c r="B67" s="165"/>
      <c r="C67" s="165" t="s">
        <v>1108</v>
      </c>
      <c r="D67" s="165" t="s">
        <v>1116</v>
      </c>
      <c r="E67" s="165" t="s">
        <v>1117</v>
      </c>
      <c r="F67" s="165" t="s">
        <v>919</v>
      </c>
      <c r="G67" s="165" t="s">
        <v>946</v>
      </c>
      <c r="H67" s="165" t="s">
        <v>1118</v>
      </c>
      <c r="I67" s="165" t="s">
        <v>1118</v>
      </c>
      <c r="J67" s="165" t="s">
        <v>936</v>
      </c>
      <c r="K67" s="165" t="s">
        <v>1108</v>
      </c>
      <c r="L67" s="165"/>
      <c r="M67" s="229">
        <v>50000</v>
      </c>
      <c r="N67" s="229">
        <v>50000</v>
      </c>
      <c r="O67" s="230">
        <v>44120</v>
      </c>
      <c r="P67" s="230">
        <v>44469</v>
      </c>
      <c r="Q67" s="230"/>
      <c r="R67" s="230"/>
      <c r="S67" s="165"/>
      <c r="T67" s="165"/>
      <c r="U67" s="165"/>
      <c r="V67" s="165"/>
      <c r="W67" s="165"/>
      <c r="X67" s="159" t="s">
        <v>1119</v>
      </c>
      <c r="Y67" s="231"/>
      <c r="Z67" s="165"/>
      <c r="AA67" s="165"/>
      <c r="AB67" s="165"/>
      <c r="AC67" s="165"/>
    </row>
    <row r="68" spans="1:29">
      <c r="C68" s="119" t="s">
        <v>1098</v>
      </c>
      <c r="D68" s="119" t="s">
        <v>1134</v>
      </c>
      <c r="E68" s="119" t="s">
        <v>1135</v>
      </c>
      <c r="F68" s="119" t="s">
        <v>919</v>
      </c>
      <c r="G68" s="119" t="s">
        <v>946</v>
      </c>
      <c r="H68" s="119" t="s">
        <v>1136</v>
      </c>
      <c r="I68" s="119" t="s">
        <v>1137</v>
      </c>
      <c r="J68" s="119" t="s">
        <v>936</v>
      </c>
      <c r="K68" s="119" t="s">
        <v>1098</v>
      </c>
      <c r="M68" s="126">
        <v>10000</v>
      </c>
      <c r="N68" s="126">
        <v>10000</v>
      </c>
      <c r="O68" s="127">
        <v>44145</v>
      </c>
      <c r="P68" s="127">
        <v>44500</v>
      </c>
      <c r="Q68" s="127" t="s">
        <v>753</v>
      </c>
      <c r="R68" s="127" t="s">
        <v>753</v>
      </c>
      <c r="AB68" s="119" t="s">
        <v>877</v>
      </c>
    </row>
    <row r="69" spans="1:29">
      <c r="C69" s="119" t="s">
        <v>907</v>
      </c>
      <c r="D69" s="119" t="s">
        <v>1138</v>
      </c>
      <c r="E69" s="119" t="s">
        <v>1139</v>
      </c>
      <c r="F69" s="119" t="s">
        <v>919</v>
      </c>
      <c r="G69" s="119" t="s">
        <v>946</v>
      </c>
      <c r="H69" s="119" t="s">
        <v>1140</v>
      </c>
      <c r="J69" s="119" t="s">
        <v>936</v>
      </c>
      <c r="K69" s="119" t="s">
        <v>907</v>
      </c>
      <c r="M69" s="126">
        <v>200000</v>
      </c>
      <c r="N69" s="126">
        <v>200000</v>
      </c>
      <c r="O69" s="127">
        <v>44159</v>
      </c>
      <c r="P69" s="127">
        <v>44500</v>
      </c>
      <c r="Q69" s="127" t="s">
        <v>753</v>
      </c>
      <c r="R69" s="127" t="s">
        <v>753</v>
      </c>
      <c r="S69" s="119" t="s">
        <v>753</v>
      </c>
      <c r="AB69" s="119" t="s">
        <v>877</v>
      </c>
    </row>
    <row r="70" spans="1:29">
      <c r="C70" s="119" t="s">
        <v>1068</v>
      </c>
      <c r="D70" s="119" t="s">
        <v>1141</v>
      </c>
      <c r="E70" s="119" t="s">
        <v>1142</v>
      </c>
      <c r="F70" s="119" t="s">
        <v>919</v>
      </c>
      <c r="G70" s="119" t="s">
        <v>946</v>
      </c>
      <c r="H70" s="119" t="s">
        <v>1143</v>
      </c>
      <c r="I70" s="119" t="s">
        <v>1143</v>
      </c>
      <c r="J70" s="119" t="s">
        <v>936</v>
      </c>
      <c r="K70" s="119" t="s">
        <v>1068</v>
      </c>
      <c r="M70" s="126">
        <v>100</v>
      </c>
      <c r="N70" s="126">
        <v>100</v>
      </c>
      <c r="O70" s="127">
        <v>44144</v>
      </c>
      <c r="P70" s="127">
        <v>44500</v>
      </c>
      <c r="Q70" s="127" t="s">
        <v>753</v>
      </c>
      <c r="R70" s="127" t="s">
        <v>753</v>
      </c>
      <c r="S70" s="119" t="s">
        <v>753</v>
      </c>
      <c r="AB70" s="119" t="s">
        <v>877</v>
      </c>
    </row>
    <row r="71" spans="1:29">
      <c r="C71" s="119" t="s">
        <v>1869</v>
      </c>
      <c r="D71" s="119" t="s">
        <v>2144</v>
      </c>
      <c r="E71" s="119" t="s">
        <v>2143</v>
      </c>
      <c r="F71" s="119" t="s">
        <v>919</v>
      </c>
      <c r="G71" s="119" t="s">
        <v>912</v>
      </c>
      <c r="H71" s="119" t="s">
        <v>2145</v>
      </c>
      <c r="I71" s="119" t="s">
        <v>2145</v>
      </c>
      <c r="J71" s="119" t="s">
        <v>936</v>
      </c>
      <c r="K71" s="119" t="s">
        <v>2145</v>
      </c>
      <c r="M71" s="126">
        <v>50000</v>
      </c>
      <c r="N71" s="126">
        <v>50000</v>
      </c>
      <c r="O71" s="127">
        <v>44209</v>
      </c>
      <c r="P71" s="127">
        <v>44561</v>
      </c>
      <c r="Q71" s="127" t="s">
        <v>753</v>
      </c>
      <c r="R71" s="127" t="s">
        <v>753</v>
      </c>
    </row>
    <row r="72" spans="1:29" s="120" customFormat="1" ht="30" hidden="1">
      <c r="A72" s="119"/>
      <c r="B72" s="119"/>
      <c r="C72" s="119" t="s">
        <v>894</v>
      </c>
      <c r="D72" s="119" t="s">
        <v>895</v>
      </c>
      <c r="E72" s="120" t="s">
        <v>896</v>
      </c>
      <c r="F72" s="119" t="s">
        <v>876</v>
      </c>
      <c r="G72" s="119" t="s">
        <v>897</v>
      </c>
      <c r="H72" s="119" t="s">
        <v>753</v>
      </c>
      <c r="I72" s="119" t="s">
        <v>753</v>
      </c>
      <c r="J72" s="119" t="s">
        <v>753</v>
      </c>
      <c r="K72" s="119" t="s">
        <v>753</v>
      </c>
      <c r="L72" s="119" t="s">
        <v>753</v>
      </c>
      <c r="M72" s="126" t="s">
        <v>753</v>
      </c>
      <c r="N72" s="119" t="s">
        <v>753</v>
      </c>
      <c r="O72" s="127" t="s">
        <v>753</v>
      </c>
      <c r="P72" s="127" t="s">
        <v>753</v>
      </c>
      <c r="Q72" s="127" t="s">
        <v>753</v>
      </c>
      <c r="R72" s="127" t="s">
        <v>753</v>
      </c>
      <c r="S72" s="119"/>
      <c r="T72" s="119"/>
      <c r="U72" s="119"/>
      <c r="V72" s="119"/>
      <c r="W72" s="119"/>
      <c r="X72" s="119"/>
      <c r="Y72" s="119"/>
      <c r="Z72" s="119"/>
      <c r="AA72" s="119"/>
      <c r="AB72" s="119"/>
    </row>
    <row r="73" spans="1:29" hidden="1">
      <c r="D73" s="119" t="s">
        <v>899</v>
      </c>
      <c r="E73" s="119" t="s">
        <v>1115</v>
      </c>
      <c r="F73" s="119" t="s">
        <v>901</v>
      </c>
      <c r="J73" s="119" t="s">
        <v>912</v>
      </c>
    </row>
    <row r="74" spans="1:29" s="165" customFormat="1" hidden="1">
      <c r="C74" s="165" t="s">
        <v>884</v>
      </c>
      <c r="D74" s="165" t="s">
        <v>2135</v>
      </c>
      <c r="E74" s="165" t="s">
        <v>2136</v>
      </c>
      <c r="F74" s="165" t="s">
        <v>876</v>
      </c>
      <c r="G74" s="165" t="s">
        <v>886</v>
      </c>
      <c r="J74" s="165" t="s">
        <v>912</v>
      </c>
      <c r="M74" s="229" t="s">
        <v>753</v>
      </c>
      <c r="N74" s="165" t="s">
        <v>753</v>
      </c>
      <c r="O74" s="230" t="s">
        <v>753</v>
      </c>
      <c r="P74" s="230"/>
      <c r="Q74" s="230"/>
      <c r="R74" s="230"/>
      <c r="AC74" s="231"/>
    </row>
  </sheetData>
  <autoFilter ref="A1:AC74" xr:uid="{E203E33A-41FB-8E4B-A336-2F36E8F21ADD}">
    <filterColumn colId="5">
      <filters>
        <filter val="LTD."/>
        <filter val="PTE. LTD."/>
        <filter val="Secretary Service Only"/>
      </filters>
    </filterColumn>
    <sortState xmlns:xlrd2="http://schemas.microsoft.com/office/spreadsheetml/2017/richdata2" ref="A2:AC74">
      <sortCondition ref="P1:P74"/>
    </sortState>
  </autoFilter>
  <phoneticPr fontId="3" type="noConversion"/>
  <hyperlinks>
    <hyperlink ref="L20" r:id="rId1" xr:uid="{00000000-0004-0000-0400-000000000000}"/>
    <hyperlink ref="L35" r:id="rId2" xr:uid="{AB6C35F8-A941-0747-8E38-D0736D212A8E}"/>
    <hyperlink ref="L42" r:id="rId3" xr:uid="{5C170119-9453-364D-915E-6F6A962C6771}"/>
    <hyperlink ref="L43" r:id="rId4" xr:uid="{20629E8E-1577-AA4D-82C6-7F4A68BE6BDD}"/>
  </hyperlink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filterMode="1"/>
  <dimension ref="A1:XEY52"/>
  <sheetViews>
    <sheetView topLeftCell="J1" workbookViewId="0">
      <pane ySplit="1" topLeftCell="A41" activePane="bottomLeft" state="frozen"/>
      <selection pane="bottomLeft" activeCell="AB52" sqref="AB52"/>
    </sheetView>
  </sheetViews>
  <sheetFormatPr baseColWidth="10" defaultColWidth="9.83203125" defaultRowHeight="13"/>
  <cols>
    <col min="1" max="1" width="12.83203125" style="145" bestFit="1" customWidth="1"/>
    <col min="2" max="2" width="7.83203125" style="145" bestFit="1" customWidth="1"/>
    <col min="3" max="3" width="11.5" style="145" bestFit="1" customWidth="1"/>
    <col min="4" max="4" width="29.1640625" style="145" bestFit="1" customWidth="1"/>
    <col min="5" max="5" width="7.83203125" style="145" bestFit="1" customWidth="1"/>
    <col min="6" max="6" width="23.6640625" style="145" bestFit="1" customWidth="1"/>
    <col min="7" max="7" width="22.6640625" style="145" bestFit="1" customWidth="1"/>
    <col min="8" max="8" width="14.83203125" style="145" bestFit="1" customWidth="1"/>
    <col min="9" max="9" width="10.5" style="145" bestFit="1" customWidth="1"/>
    <col min="10" max="10" width="8.83203125" style="145" bestFit="1" customWidth="1"/>
    <col min="11" max="11" width="22" style="145" bestFit="1" customWidth="1"/>
    <col min="12" max="13" width="8.33203125" style="145" bestFit="1" customWidth="1"/>
    <col min="14" max="14" width="9.1640625" style="145" bestFit="1" customWidth="1"/>
    <col min="15" max="19" width="9.5" style="145" bestFit="1" customWidth="1"/>
    <col min="20" max="21" width="7.83203125" style="145" bestFit="1" customWidth="1"/>
    <col min="22" max="22" width="6.1640625" style="145" bestFit="1" customWidth="1"/>
    <col min="23" max="23" width="18.1640625" style="145" customWidth="1"/>
    <col min="24" max="24" width="14.6640625" style="145" customWidth="1"/>
    <col min="25" max="16384" width="9.83203125" style="145"/>
  </cols>
  <sheetData>
    <row r="1" spans="1:28" s="128" customFormat="1" ht="30">
      <c r="A1" s="128" t="s">
        <v>862</v>
      </c>
      <c r="B1" s="128" t="s">
        <v>863</v>
      </c>
      <c r="C1" s="128" t="s">
        <v>287</v>
      </c>
      <c r="D1" s="128" t="s">
        <v>288</v>
      </c>
      <c r="E1" s="128" t="s">
        <v>289</v>
      </c>
      <c r="F1" s="128" t="s">
        <v>290</v>
      </c>
      <c r="G1" s="128" t="s">
        <v>291</v>
      </c>
      <c r="H1" s="128" t="s">
        <v>292</v>
      </c>
      <c r="I1" s="128" t="s">
        <v>293</v>
      </c>
      <c r="J1" s="128" t="s">
        <v>294</v>
      </c>
      <c r="K1" s="128" t="s">
        <v>295</v>
      </c>
      <c r="L1" s="129" t="s">
        <v>296</v>
      </c>
      <c r="M1" s="128" t="s">
        <v>297</v>
      </c>
      <c r="N1" s="130" t="s">
        <v>298</v>
      </c>
      <c r="O1" s="130" t="s">
        <v>299</v>
      </c>
      <c r="P1" s="130" t="s">
        <v>300</v>
      </c>
      <c r="Q1" s="130" t="s">
        <v>301</v>
      </c>
      <c r="R1" s="128" t="s">
        <v>302</v>
      </c>
      <c r="S1" s="128" t="s">
        <v>303</v>
      </c>
      <c r="T1" s="128" t="s">
        <v>304</v>
      </c>
      <c r="U1" s="128" t="s">
        <v>305</v>
      </c>
      <c r="V1" s="128" t="s">
        <v>308</v>
      </c>
      <c r="W1" s="128" t="s">
        <v>307</v>
      </c>
      <c r="X1" s="128" t="s">
        <v>306</v>
      </c>
    </row>
    <row r="2" spans="1:28" s="128" customFormat="1" ht="45" hidden="1">
      <c r="A2" s="128" t="s">
        <v>1144</v>
      </c>
      <c r="C2" s="128" t="s">
        <v>374</v>
      </c>
      <c r="D2" s="128" t="s">
        <v>375</v>
      </c>
      <c r="H2" s="128" t="s">
        <v>376</v>
      </c>
      <c r="J2" s="128" t="s">
        <v>377</v>
      </c>
      <c r="K2" s="128" t="s">
        <v>378</v>
      </c>
      <c r="L2" s="129"/>
      <c r="N2" s="130">
        <v>42725</v>
      </c>
      <c r="O2" s="130">
        <v>43349</v>
      </c>
      <c r="P2" s="130">
        <v>42984</v>
      </c>
      <c r="Q2" s="130">
        <v>43054</v>
      </c>
      <c r="W2" s="128" t="s">
        <v>379</v>
      </c>
    </row>
    <row r="3" spans="1:28" s="128" customFormat="1" ht="60" hidden="1">
      <c r="A3" s="128" t="s">
        <v>1145</v>
      </c>
      <c r="C3" s="128" t="s">
        <v>418</v>
      </c>
      <c r="D3" s="128" t="s">
        <v>419</v>
      </c>
      <c r="G3" s="128" t="s">
        <v>420</v>
      </c>
      <c r="H3" s="128" t="s">
        <v>420</v>
      </c>
      <c r="I3" s="128" t="s">
        <v>332</v>
      </c>
      <c r="J3" s="128" t="s">
        <v>421</v>
      </c>
      <c r="K3" s="128" t="s">
        <v>422</v>
      </c>
      <c r="L3" s="129">
        <v>1</v>
      </c>
      <c r="N3" s="130">
        <v>42467</v>
      </c>
      <c r="O3" s="130">
        <v>43379</v>
      </c>
      <c r="P3" s="130">
        <v>43014</v>
      </c>
      <c r="Q3" s="130">
        <v>43270</v>
      </c>
      <c r="W3" s="128" t="s">
        <v>359</v>
      </c>
    </row>
    <row r="4" spans="1:28" s="131" customFormat="1" ht="60" hidden="1">
      <c r="A4" s="128" t="s">
        <v>1146</v>
      </c>
      <c r="B4" s="128"/>
      <c r="C4" s="131" t="s">
        <v>436</v>
      </c>
      <c r="D4" s="131" t="s">
        <v>437</v>
      </c>
      <c r="G4" s="131" t="s">
        <v>438</v>
      </c>
      <c r="H4" s="131" t="s">
        <v>438</v>
      </c>
      <c r="J4" s="131" t="s">
        <v>439</v>
      </c>
      <c r="K4" s="131">
        <v>96382145</v>
      </c>
      <c r="L4" s="132">
        <v>20000</v>
      </c>
      <c r="N4" s="133">
        <v>42718</v>
      </c>
      <c r="O4" s="133">
        <v>43333</v>
      </c>
      <c r="P4" s="133">
        <v>42968</v>
      </c>
      <c r="Q4" s="133">
        <v>42976</v>
      </c>
      <c r="W4" s="131" t="s">
        <v>440</v>
      </c>
    </row>
    <row r="5" spans="1:28" s="128" customFormat="1" ht="30" hidden="1">
      <c r="A5" s="128" t="s">
        <v>1145</v>
      </c>
      <c r="C5" s="128" t="s">
        <v>441</v>
      </c>
      <c r="D5" s="128" t="s">
        <v>442</v>
      </c>
      <c r="G5" s="128" t="s">
        <v>443</v>
      </c>
      <c r="H5" s="128" t="s">
        <v>443</v>
      </c>
      <c r="I5" s="128" t="s">
        <v>332</v>
      </c>
      <c r="J5" s="128" t="s">
        <v>444</v>
      </c>
      <c r="K5" s="128" t="s">
        <v>445</v>
      </c>
      <c r="L5" s="129">
        <v>50000</v>
      </c>
      <c r="N5" s="130">
        <v>43186</v>
      </c>
      <c r="O5" s="130">
        <v>43465</v>
      </c>
      <c r="P5" s="130">
        <v>43100</v>
      </c>
      <c r="Q5" s="130">
        <v>43185</v>
      </c>
    </row>
    <row r="6" spans="1:28" s="128" customFormat="1" ht="45" hidden="1">
      <c r="A6" s="128" t="s">
        <v>1146</v>
      </c>
      <c r="C6" s="128" t="s">
        <v>446</v>
      </c>
      <c r="D6" s="128" t="s">
        <v>447</v>
      </c>
      <c r="G6" s="128" t="s">
        <v>448</v>
      </c>
      <c r="H6" s="128" t="s">
        <v>449</v>
      </c>
      <c r="K6" s="128" t="s">
        <v>450</v>
      </c>
      <c r="L6" s="129">
        <v>200000</v>
      </c>
      <c r="N6" s="130">
        <v>43467</v>
      </c>
      <c r="O6" s="130">
        <v>43830</v>
      </c>
      <c r="P6" s="130"/>
      <c r="Q6" s="130">
        <v>43830</v>
      </c>
      <c r="W6" s="128" t="s">
        <v>451</v>
      </c>
    </row>
    <row r="7" spans="1:28" s="128" customFormat="1" ht="60" hidden="1">
      <c r="A7" s="128" t="s">
        <v>1146</v>
      </c>
      <c r="C7" s="128" t="s">
        <v>459</v>
      </c>
      <c r="D7" s="128" t="s">
        <v>460</v>
      </c>
      <c r="G7" s="128" t="s">
        <v>461</v>
      </c>
      <c r="H7" s="128" t="s">
        <v>461</v>
      </c>
      <c r="I7" s="128" t="s">
        <v>332</v>
      </c>
      <c r="J7" s="128" t="s">
        <v>462</v>
      </c>
      <c r="K7" s="128" t="s">
        <v>463</v>
      </c>
      <c r="L7" s="129">
        <v>10000</v>
      </c>
      <c r="N7" s="130">
        <v>43187</v>
      </c>
      <c r="O7" s="130">
        <v>43496</v>
      </c>
      <c r="P7" s="130">
        <v>43131</v>
      </c>
      <c r="Q7" s="130">
        <v>43186</v>
      </c>
      <c r="W7" s="128" t="s">
        <v>464</v>
      </c>
    </row>
    <row r="8" spans="1:28" s="128" customFormat="1" ht="60" hidden="1">
      <c r="A8" s="128" t="s">
        <v>1145</v>
      </c>
      <c r="C8" s="128" t="s">
        <v>476</v>
      </c>
      <c r="D8" s="128" t="s">
        <v>477</v>
      </c>
      <c r="G8" s="128" t="s">
        <v>478</v>
      </c>
      <c r="H8" s="128" t="s">
        <v>426</v>
      </c>
      <c r="J8" s="128" t="s">
        <v>348</v>
      </c>
      <c r="K8" s="134" t="s">
        <v>349</v>
      </c>
      <c r="L8" s="129">
        <v>200000</v>
      </c>
      <c r="N8" s="130">
        <v>43123</v>
      </c>
      <c r="O8" s="130">
        <v>43488</v>
      </c>
      <c r="P8" s="130">
        <v>43123</v>
      </c>
      <c r="Q8" s="130">
        <v>43123</v>
      </c>
      <c r="W8" s="128" t="s">
        <v>401</v>
      </c>
    </row>
    <row r="9" spans="1:28" s="120" customFormat="1" ht="105" hidden="1">
      <c r="A9" s="120" t="s">
        <v>1147</v>
      </c>
      <c r="C9" s="120" t="s">
        <v>641</v>
      </c>
      <c r="D9" s="120" t="s">
        <v>642</v>
      </c>
      <c r="E9" s="120" t="s">
        <v>919</v>
      </c>
      <c r="I9" s="120" t="s">
        <v>332</v>
      </c>
      <c r="J9" s="125" t="s">
        <v>644</v>
      </c>
      <c r="K9" s="125" t="s">
        <v>645</v>
      </c>
      <c r="L9" s="121">
        <v>10000</v>
      </c>
      <c r="M9" s="125"/>
      <c r="N9" s="122">
        <v>43242</v>
      </c>
      <c r="O9" s="122">
        <v>36526</v>
      </c>
      <c r="P9" s="122">
        <v>36526</v>
      </c>
      <c r="Q9" s="122">
        <v>36526</v>
      </c>
      <c r="V9" s="120" t="s">
        <v>646</v>
      </c>
      <c r="W9" s="120" t="s">
        <v>677</v>
      </c>
      <c r="X9" s="120" t="s">
        <v>647</v>
      </c>
    </row>
    <row r="10" spans="1:28" s="128" customFormat="1" ht="45" hidden="1">
      <c r="A10" s="128" t="s">
        <v>1146</v>
      </c>
      <c r="C10" s="128" t="s">
        <v>1148</v>
      </c>
      <c r="D10" s="128" t="s">
        <v>1149</v>
      </c>
      <c r="E10" s="128" t="s">
        <v>919</v>
      </c>
      <c r="F10" s="128" t="s">
        <v>946</v>
      </c>
      <c r="G10" s="128" t="s">
        <v>734</v>
      </c>
      <c r="H10" s="128" t="s">
        <v>734</v>
      </c>
      <c r="I10" s="128" t="s">
        <v>627</v>
      </c>
      <c r="L10" s="129">
        <v>400000</v>
      </c>
      <c r="N10" s="130">
        <v>43580</v>
      </c>
      <c r="O10" s="130">
        <f>Q10</f>
        <v>43921</v>
      </c>
      <c r="P10" s="130"/>
      <c r="Q10" s="130">
        <v>43921</v>
      </c>
      <c r="W10" s="128" t="s">
        <v>730</v>
      </c>
    </row>
    <row r="11" spans="1:28" s="128" customFormat="1" ht="60" hidden="1">
      <c r="C11" s="128" t="s">
        <v>328</v>
      </c>
      <c r="D11" s="128" t="s">
        <v>329</v>
      </c>
      <c r="E11" s="128" t="s">
        <v>919</v>
      </c>
      <c r="G11" s="128" t="s">
        <v>330</v>
      </c>
      <c r="H11" s="128" t="s">
        <v>331</v>
      </c>
      <c r="I11" s="128" t="s">
        <v>332</v>
      </c>
      <c r="J11" s="128" t="s">
        <v>333</v>
      </c>
      <c r="K11" s="128" t="s">
        <v>334</v>
      </c>
      <c r="L11" s="129">
        <v>743968</v>
      </c>
      <c r="N11" s="130">
        <v>42669</v>
      </c>
      <c r="O11" s="130">
        <v>43100</v>
      </c>
      <c r="P11" s="130">
        <v>43235</v>
      </c>
      <c r="Q11" s="130">
        <v>43100</v>
      </c>
      <c r="W11" s="128" t="s">
        <v>335</v>
      </c>
    </row>
    <row r="12" spans="1:28" s="135" customFormat="1" ht="75" hidden="1">
      <c r="A12" s="135" t="s">
        <v>1147</v>
      </c>
      <c r="C12" s="135" t="s">
        <v>706</v>
      </c>
      <c r="D12" s="135" t="s">
        <v>1150</v>
      </c>
      <c r="E12" s="135" t="s">
        <v>919</v>
      </c>
      <c r="F12" s="135" t="s">
        <v>473</v>
      </c>
      <c r="G12" s="135" t="s">
        <v>1151</v>
      </c>
      <c r="H12" s="135" t="s">
        <v>1151</v>
      </c>
      <c r="I12" s="135" t="s">
        <v>682</v>
      </c>
      <c r="L12" s="136">
        <v>10000</v>
      </c>
      <c r="N12" s="137">
        <v>43427</v>
      </c>
      <c r="O12" s="137">
        <v>43769</v>
      </c>
      <c r="P12" s="137">
        <v>43829</v>
      </c>
      <c r="Q12" s="137">
        <v>43769</v>
      </c>
      <c r="T12" s="135" t="s">
        <v>1152</v>
      </c>
      <c r="W12" s="135" t="s">
        <v>1153</v>
      </c>
    </row>
    <row r="13" spans="1:28" s="135" customFormat="1" ht="45" hidden="1">
      <c r="A13" s="135" t="s">
        <v>1146</v>
      </c>
      <c r="C13" s="135" t="s">
        <v>688</v>
      </c>
      <c r="D13" s="135" t="s">
        <v>1154</v>
      </c>
      <c r="E13" s="135" t="s">
        <v>919</v>
      </c>
      <c r="F13" s="135" t="s">
        <v>912</v>
      </c>
      <c r="G13" s="135" t="s">
        <v>953</v>
      </c>
      <c r="H13" s="135" t="s">
        <v>953</v>
      </c>
      <c r="I13" s="135" t="s">
        <v>682</v>
      </c>
      <c r="J13" s="138"/>
      <c r="K13" s="138"/>
      <c r="L13" s="136">
        <v>20000</v>
      </c>
      <c r="M13" s="138"/>
      <c r="N13" s="137">
        <v>43391</v>
      </c>
      <c r="O13" s="137">
        <v>43738</v>
      </c>
      <c r="P13" s="137"/>
      <c r="Q13" s="137">
        <v>43738</v>
      </c>
      <c r="T13" s="135" t="s">
        <v>1155</v>
      </c>
      <c r="W13" s="135" t="s">
        <v>692</v>
      </c>
    </row>
    <row r="14" spans="1:28" s="139" customFormat="1" ht="45" hidden="1">
      <c r="A14" s="139" t="s">
        <v>1146</v>
      </c>
      <c r="C14" s="139" t="s">
        <v>1156</v>
      </c>
      <c r="D14" s="139" t="s">
        <v>1157</v>
      </c>
      <c r="E14" s="139" t="s">
        <v>919</v>
      </c>
      <c r="G14" s="139" t="s">
        <v>1158</v>
      </c>
      <c r="H14" s="139" t="s">
        <v>1158</v>
      </c>
      <c r="I14" s="139" t="s">
        <v>627</v>
      </c>
      <c r="L14" s="140">
        <v>10000</v>
      </c>
      <c r="N14" s="141">
        <v>43587</v>
      </c>
      <c r="O14" s="141">
        <f>Q14</f>
        <v>43949</v>
      </c>
      <c r="P14" s="141"/>
      <c r="Q14" s="141">
        <v>43949</v>
      </c>
      <c r="W14" s="139" t="s">
        <v>730</v>
      </c>
    </row>
    <row r="15" spans="1:28" s="120" customFormat="1" ht="45" hidden="1">
      <c r="A15" s="120" t="s">
        <v>1159</v>
      </c>
      <c r="B15" s="120" t="s">
        <v>1160</v>
      </c>
      <c r="C15" s="120" t="s">
        <v>1161</v>
      </c>
      <c r="D15" s="120" t="s">
        <v>1162</v>
      </c>
      <c r="E15" s="120" t="s">
        <v>919</v>
      </c>
      <c r="F15" s="120" t="s">
        <v>946</v>
      </c>
      <c r="G15" s="120" t="s">
        <v>1163</v>
      </c>
      <c r="I15" s="120" t="s">
        <v>627</v>
      </c>
      <c r="J15" s="120" t="s">
        <v>983</v>
      </c>
      <c r="L15" s="121">
        <v>50000</v>
      </c>
      <c r="N15" s="122">
        <v>43595</v>
      </c>
      <c r="O15" s="122">
        <f>Q15</f>
        <v>43951</v>
      </c>
      <c r="P15" s="122"/>
      <c r="Q15" s="122">
        <v>43951</v>
      </c>
      <c r="W15" s="120" t="s">
        <v>730</v>
      </c>
    </row>
    <row r="16" spans="1:28" s="142" customFormat="1" ht="60" hidden="1">
      <c r="A16" s="135" t="s">
        <v>1144</v>
      </c>
      <c r="B16" s="135"/>
      <c r="C16" s="135" t="s">
        <v>698</v>
      </c>
      <c r="D16" s="135" t="s">
        <v>1164</v>
      </c>
      <c r="E16" s="135" t="s">
        <v>919</v>
      </c>
      <c r="F16" s="135" t="s">
        <v>935</v>
      </c>
      <c r="G16" s="135" t="s">
        <v>1165</v>
      </c>
      <c r="H16" s="135" t="s">
        <v>701</v>
      </c>
      <c r="I16" s="135" t="s">
        <v>682</v>
      </c>
      <c r="J16" s="135" t="s">
        <v>1166</v>
      </c>
      <c r="K16" s="135" t="s">
        <v>1167</v>
      </c>
      <c r="L16" s="136">
        <v>100000</v>
      </c>
      <c r="M16" s="135"/>
      <c r="N16" s="137">
        <v>43396</v>
      </c>
      <c r="O16" s="137">
        <v>43738</v>
      </c>
      <c r="P16" s="137"/>
      <c r="Q16" s="137">
        <v>43738</v>
      </c>
      <c r="R16" s="135"/>
      <c r="S16" s="135"/>
      <c r="T16" s="135"/>
      <c r="U16" s="135"/>
      <c r="V16" s="135"/>
      <c r="W16" s="135" t="s">
        <v>630</v>
      </c>
      <c r="X16" s="135" t="s">
        <v>1168</v>
      </c>
      <c r="Y16" s="135"/>
      <c r="Z16" s="135"/>
      <c r="AA16" s="135"/>
      <c r="AB16" s="135"/>
    </row>
    <row r="17" spans="1:28" s="135" customFormat="1" ht="45" hidden="1">
      <c r="A17" s="135" t="s">
        <v>1146</v>
      </c>
      <c r="C17" s="135" t="s">
        <v>688</v>
      </c>
      <c r="D17" s="135" t="s">
        <v>1154</v>
      </c>
      <c r="E17" s="135" t="s">
        <v>919</v>
      </c>
      <c r="F17" s="135" t="s">
        <v>912</v>
      </c>
      <c r="G17" s="135" t="s">
        <v>953</v>
      </c>
      <c r="H17" s="135" t="s">
        <v>953</v>
      </c>
      <c r="I17" s="135" t="s">
        <v>682</v>
      </c>
      <c r="J17" s="138"/>
      <c r="K17" s="138"/>
      <c r="L17" s="136">
        <v>20000</v>
      </c>
      <c r="M17" s="138"/>
      <c r="N17" s="137">
        <v>43391</v>
      </c>
      <c r="O17" s="137">
        <v>43738</v>
      </c>
      <c r="P17" s="137"/>
      <c r="Q17" s="137">
        <v>43738</v>
      </c>
      <c r="T17" s="135" t="s">
        <v>1155</v>
      </c>
      <c r="W17" s="135" t="s">
        <v>692</v>
      </c>
    </row>
    <row r="18" spans="1:28" s="143" customFormat="1" ht="105" hidden="1">
      <c r="A18" s="120" t="s">
        <v>1147</v>
      </c>
      <c r="B18" s="120"/>
      <c r="C18" s="120" t="s">
        <v>471</v>
      </c>
      <c r="D18" s="120" t="s">
        <v>472</v>
      </c>
      <c r="E18" s="120" t="s">
        <v>919</v>
      </c>
      <c r="F18" s="120" t="s">
        <v>473</v>
      </c>
      <c r="G18" s="120" t="s">
        <v>474</v>
      </c>
      <c r="H18" s="120" t="s">
        <v>474</v>
      </c>
      <c r="I18" s="120" t="s">
        <v>332</v>
      </c>
      <c r="J18" s="120" t="s">
        <v>1169</v>
      </c>
      <c r="K18" s="120"/>
      <c r="L18" s="121">
        <v>100</v>
      </c>
      <c r="M18" s="120"/>
      <c r="N18" s="122">
        <v>42594</v>
      </c>
      <c r="O18" s="122">
        <v>43921</v>
      </c>
      <c r="P18" s="122">
        <v>43733</v>
      </c>
      <c r="Q18" s="122">
        <v>43921</v>
      </c>
      <c r="R18" s="120"/>
      <c r="S18" s="120"/>
      <c r="T18" s="120"/>
      <c r="U18" s="120"/>
      <c r="V18" s="120"/>
      <c r="W18" s="120" t="s">
        <v>677</v>
      </c>
      <c r="X18" s="120" t="s">
        <v>1170</v>
      </c>
      <c r="Y18" s="120"/>
      <c r="Z18" s="120"/>
      <c r="AB18" s="120"/>
    </row>
    <row r="19" spans="1:28" s="144" customFormat="1" ht="45" hidden="1">
      <c r="A19" s="120" t="s">
        <v>1171</v>
      </c>
      <c r="B19" s="120"/>
      <c r="C19" s="120" t="s">
        <v>1172</v>
      </c>
      <c r="D19" s="120" t="s">
        <v>731</v>
      </c>
      <c r="E19" s="120" t="s">
        <v>919</v>
      </c>
      <c r="F19" s="120"/>
      <c r="G19" s="120" t="s">
        <v>1173</v>
      </c>
      <c r="H19" s="120" t="s">
        <v>1173</v>
      </c>
      <c r="I19" s="120" t="s">
        <v>627</v>
      </c>
      <c r="J19" s="120"/>
      <c r="K19" s="120"/>
      <c r="L19" s="121">
        <v>10000</v>
      </c>
      <c r="M19" s="120"/>
      <c r="N19" s="122">
        <v>43580</v>
      </c>
      <c r="O19" s="122">
        <f>Q19</f>
        <v>43921</v>
      </c>
      <c r="P19" s="122"/>
      <c r="Q19" s="122">
        <v>43921</v>
      </c>
      <c r="R19" s="120"/>
      <c r="S19" s="120"/>
      <c r="T19" s="120"/>
      <c r="U19" s="120"/>
      <c r="V19" s="120"/>
      <c r="W19" s="120" t="s">
        <v>730</v>
      </c>
      <c r="X19" s="120"/>
      <c r="Y19" s="120"/>
      <c r="Z19" s="120"/>
      <c r="AB19" s="120"/>
    </row>
    <row r="20" spans="1:28" s="128" customFormat="1" ht="45" hidden="1">
      <c r="C20" s="128" t="s">
        <v>1174</v>
      </c>
      <c r="D20" s="128" t="s">
        <v>1175</v>
      </c>
      <c r="E20" s="128" t="s">
        <v>919</v>
      </c>
      <c r="F20" s="128" t="s">
        <v>912</v>
      </c>
      <c r="G20" s="128" t="s">
        <v>1176</v>
      </c>
      <c r="H20" s="128" t="s">
        <v>1176</v>
      </c>
      <c r="I20" s="128" t="s">
        <v>627</v>
      </c>
      <c r="J20" s="128" t="s">
        <v>1176</v>
      </c>
      <c r="L20" s="129">
        <v>10000</v>
      </c>
      <c r="N20" s="130">
        <v>43698</v>
      </c>
      <c r="O20" s="130">
        <v>44043</v>
      </c>
      <c r="P20" s="130" t="s">
        <v>753</v>
      </c>
      <c r="Q20" s="130" t="s">
        <v>753</v>
      </c>
      <c r="X20" s="128" t="s">
        <v>1177</v>
      </c>
    </row>
    <row r="21" spans="1:28" ht="45" hidden="1">
      <c r="A21" s="145" t="s">
        <v>1178</v>
      </c>
      <c r="D21" s="145" t="s">
        <v>1179</v>
      </c>
      <c r="E21" s="145" t="s">
        <v>919</v>
      </c>
      <c r="F21" s="145" t="s">
        <v>976</v>
      </c>
      <c r="W21" s="139" t="s">
        <v>730</v>
      </c>
      <c r="X21" s="145" t="s">
        <v>1180</v>
      </c>
    </row>
    <row r="22" spans="1:28" s="120" customFormat="1" ht="45" hidden="1">
      <c r="A22" s="120" t="s">
        <v>1181</v>
      </c>
      <c r="C22" s="120" t="s">
        <v>720</v>
      </c>
      <c r="D22" s="120" t="s">
        <v>721</v>
      </c>
      <c r="E22" s="120" t="s">
        <v>919</v>
      </c>
      <c r="F22" s="120" t="s">
        <v>716</v>
      </c>
      <c r="G22" s="120" t="s">
        <v>722</v>
      </c>
      <c r="H22" s="120" t="s">
        <v>723</v>
      </c>
      <c r="I22" s="120" t="s">
        <v>627</v>
      </c>
      <c r="J22" s="120" t="s">
        <v>716</v>
      </c>
      <c r="L22" s="121">
        <v>50000</v>
      </c>
      <c r="N22" s="122" t="s">
        <v>724</v>
      </c>
      <c r="O22" s="122">
        <v>43921</v>
      </c>
      <c r="P22" s="122"/>
      <c r="Q22" s="122">
        <v>43921</v>
      </c>
      <c r="W22" s="120" t="s">
        <v>725</v>
      </c>
    </row>
    <row r="23" spans="1:28" ht="45" hidden="1">
      <c r="A23" s="145" t="s">
        <v>1178</v>
      </c>
      <c r="B23" s="145" t="s">
        <v>1182</v>
      </c>
      <c r="C23" s="145" t="s">
        <v>1183</v>
      </c>
      <c r="D23" s="145" t="s">
        <v>1184</v>
      </c>
      <c r="E23" s="145" t="s">
        <v>919</v>
      </c>
      <c r="W23" s="139" t="s">
        <v>730</v>
      </c>
      <c r="X23" s="145" t="s">
        <v>1180</v>
      </c>
    </row>
    <row r="24" spans="1:28" ht="28" hidden="1">
      <c r="A24" s="145" t="s">
        <v>1178</v>
      </c>
      <c r="B24" s="145" t="s">
        <v>1182</v>
      </c>
      <c r="C24" s="145" t="s">
        <v>1183</v>
      </c>
      <c r="D24" s="145" t="s">
        <v>1185</v>
      </c>
      <c r="E24" s="145" t="s">
        <v>919</v>
      </c>
    </row>
    <row r="25" spans="1:28" ht="56" hidden="1">
      <c r="A25" s="145" t="s">
        <v>1186</v>
      </c>
      <c r="B25" s="145" t="s">
        <v>1187</v>
      </c>
      <c r="C25" s="145" t="s">
        <v>1188</v>
      </c>
      <c r="D25" s="145" t="s">
        <v>747</v>
      </c>
      <c r="E25" s="145" t="s">
        <v>919</v>
      </c>
      <c r="W25" s="145" t="s">
        <v>1189</v>
      </c>
    </row>
    <row r="26" spans="1:28" ht="28" hidden="1">
      <c r="A26" s="145" t="s">
        <v>1144</v>
      </c>
      <c r="B26" s="145" t="s">
        <v>1182</v>
      </c>
      <c r="C26" s="145" t="s">
        <v>1190</v>
      </c>
      <c r="D26" s="145" t="s">
        <v>1191</v>
      </c>
      <c r="E26" s="145" t="s">
        <v>919</v>
      </c>
    </row>
    <row r="27" spans="1:28" ht="28" hidden="1">
      <c r="A27" s="145" t="s">
        <v>1178</v>
      </c>
      <c r="B27" s="145" t="s">
        <v>1182</v>
      </c>
      <c r="C27" s="145" t="s">
        <v>1192</v>
      </c>
      <c r="D27" s="145" t="s">
        <v>1193</v>
      </c>
      <c r="E27" s="145" t="s">
        <v>919</v>
      </c>
    </row>
    <row r="28" spans="1:28" s="119" customFormat="1" ht="28" hidden="1">
      <c r="A28" s="145" t="s">
        <v>1178</v>
      </c>
      <c r="C28" s="160" t="s">
        <v>1194</v>
      </c>
      <c r="D28" s="119" t="s">
        <v>1195</v>
      </c>
      <c r="E28" s="119" t="s">
        <v>919</v>
      </c>
      <c r="F28" s="119" t="s">
        <v>1196</v>
      </c>
      <c r="G28" s="119" t="s">
        <v>1197</v>
      </c>
      <c r="I28" s="119" t="s">
        <v>1018</v>
      </c>
      <c r="L28" s="126">
        <v>100000</v>
      </c>
      <c r="M28" s="146">
        <v>2</v>
      </c>
      <c r="N28" s="127">
        <v>43500</v>
      </c>
      <c r="O28" s="127">
        <v>43861</v>
      </c>
      <c r="P28" s="127" t="s">
        <v>753</v>
      </c>
      <c r="Q28" s="127" t="s">
        <v>753</v>
      </c>
      <c r="AB28" s="120"/>
    </row>
    <row r="29" spans="1:28" ht="28" hidden="1">
      <c r="A29" s="145" t="s">
        <v>1147</v>
      </c>
      <c r="D29" s="145" t="s">
        <v>1198</v>
      </c>
      <c r="E29" s="145" t="s">
        <v>919</v>
      </c>
    </row>
    <row r="30" spans="1:28" ht="70" hidden="1">
      <c r="A30" s="145" t="s">
        <v>1147</v>
      </c>
      <c r="C30" s="145" t="s">
        <v>750</v>
      </c>
      <c r="D30" s="145" t="s">
        <v>1199</v>
      </c>
      <c r="E30" s="145" t="s">
        <v>1200</v>
      </c>
      <c r="W30" s="145" t="s">
        <v>1201</v>
      </c>
    </row>
    <row r="31" spans="1:28" ht="14" hidden="1">
      <c r="C31" s="145" t="s">
        <v>1202</v>
      </c>
      <c r="D31" s="145" t="s">
        <v>1203</v>
      </c>
      <c r="E31" s="145" t="s">
        <v>1200</v>
      </c>
    </row>
    <row r="32" spans="1:28" ht="45" hidden="1">
      <c r="A32" s="145" t="s">
        <v>1204</v>
      </c>
      <c r="B32" s="145" t="s">
        <v>1187</v>
      </c>
      <c r="C32" s="145" t="s">
        <v>739</v>
      </c>
      <c r="D32" s="145" t="s">
        <v>1205</v>
      </c>
      <c r="E32" s="145" t="s">
        <v>919</v>
      </c>
      <c r="W32" s="120" t="s">
        <v>730</v>
      </c>
    </row>
    <row r="33" spans="1:16379" ht="56" hidden="1">
      <c r="A33" s="145" t="s">
        <v>1147</v>
      </c>
      <c r="B33" s="145" t="s">
        <v>1187</v>
      </c>
      <c r="C33" s="145" t="s">
        <v>743</v>
      </c>
      <c r="D33" s="145" t="s">
        <v>1206</v>
      </c>
      <c r="E33" s="145" t="s">
        <v>919</v>
      </c>
      <c r="W33" s="145" t="s">
        <v>1189</v>
      </c>
    </row>
    <row r="34" spans="1:16379" ht="42" hidden="1">
      <c r="A34" s="145" t="s">
        <v>1147</v>
      </c>
      <c r="B34" s="145" t="s">
        <v>1187</v>
      </c>
      <c r="C34" s="145" t="s">
        <v>1207</v>
      </c>
      <c r="D34" s="145" t="s">
        <v>1208</v>
      </c>
      <c r="E34" s="145" t="s">
        <v>1200</v>
      </c>
      <c r="W34" s="145" t="s">
        <v>1209</v>
      </c>
    </row>
    <row r="35" spans="1:16379" ht="56" hidden="1">
      <c r="A35" s="145" t="s">
        <v>1204</v>
      </c>
      <c r="B35" s="145" t="s">
        <v>1103</v>
      </c>
      <c r="C35" s="145" t="s">
        <v>1210</v>
      </c>
      <c r="D35" s="145" t="s">
        <v>1211</v>
      </c>
      <c r="E35" s="145" t="s">
        <v>919</v>
      </c>
      <c r="G35" s="145" t="s">
        <v>953</v>
      </c>
      <c r="W35" s="145" t="s">
        <v>1212</v>
      </c>
    </row>
    <row r="36" spans="1:16379" s="153" customFormat="1" ht="116" hidden="1" customHeight="1">
      <c r="A36" s="145" t="s">
        <v>1204</v>
      </c>
      <c r="B36" s="120" t="s">
        <v>1103</v>
      </c>
      <c r="C36" s="119" t="s">
        <v>659</v>
      </c>
      <c r="D36" s="120" t="s">
        <v>660</v>
      </c>
      <c r="E36" s="120" t="s">
        <v>919</v>
      </c>
      <c r="F36" s="120" t="s">
        <v>473</v>
      </c>
      <c r="G36" s="120" t="s">
        <v>661</v>
      </c>
      <c r="H36" s="120" t="s">
        <v>661</v>
      </c>
      <c r="I36" s="120" t="s">
        <v>332</v>
      </c>
      <c r="J36" s="120"/>
      <c r="K36" s="120"/>
      <c r="L36" s="121">
        <v>10000</v>
      </c>
      <c r="M36" s="120"/>
      <c r="N36" s="122">
        <v>43263</v>
      </c>
      <c r="O36" s="122">
        <v>43994</v>
      </c>
      <c r="P36" s="122">
        <v>43664</v>
      </c>
      <c r="Q36" s="122">
        <v>43994</v>
      </c>
      <c r="R36" s="120"/>
      <c r="S36" s="120"/>
      <c r="T36" s="120"/>
      <c r="U36" s="120"/>
      <c r="V36" s="120"/>
      <c r="W36" s="120"/>
      <c r="X36" s="120" t="s">
        <v>1213</v>
      </c>
      <c r="Y36" s="120"/>
      <c r="Z36" s="120"/>
      <c r="AA36" s="120" t="s">
        <v>854</v>
      </c>
      <c r="AB36" s="120" t="s">
        <v>978</v>
      </c>
      <c r="AC36" s="119"/>
    </row>
    <row r="37" spans="1:16379" s="119" customFormat="1" ht="30" hidden="1">
      <c r="A37" s="119" t="s">
        <v>1147</v>
      </c>
      <c r="B37" s="120" t="s">
        <v>1103</v>
      </c>
      <c r="C37" s="119" t="s">
        <v>1214</v>
      </c>
      <c r="D37" s="119" t="s">
        <v>1215</v>
      </c>
      <c r="E37" s="119" t="s">
        <v>919</v>
      </c>
      <c r="F37" s="119" t="s">
        <v>912</v>
      </c>
      <c r="G37" s="119" t="s">
        <v>1216</v>
      </c>
      <c r="H37" s="119" t="s">
        <v>1216</v>
      </c>
      <c r="I37" s="119" t="s">
        <v>627</v>
      </c>
      <c r="J37" s="119" t="s">
        <v>1216</v>
      </c>
      <c r="K37" s="157" t="s">
        <v>1217</v>
      </c>
      <c r="L37" s="126">
        <v>100</v>
      </c>
      <c r="N37" s="127">
        <v>43423</v>
      </c>
      <c r="O37" s="127">
        <v>43861</v>
      </c>
      <c r="P37" s="127" t="s">
        <v>753</v>
      </c>
      <c r="Q37" s="127">
        <v>43861</v>
      </c>
      <c r="AB37" s="120"/>
    </row>
    <row r="38" spans="1:16379" ht="56" hidden="1">
      <c r="A38" s="145" t="s">
        <v>1147</v>
      </c>
      <c r="B38" s="145" t="s">
        <v>1187</v>
      </c>
      <c r="D38" s="145" t="s">
        <v>1218</v>
      </c>
      <c r="E38" s="145" t="s">
        <v>919</v>
      </c>
      <c r="F38" s="145" t="s">
        <v>716</v>
      </c>
      <c r="W38" s="145" t="s">
        <v>1189</v>
      </c>
    </row>
    <row r="39" spans="1:16379" s="119" customFormat="1" ht="90" hidden="1">
      <c r="A39" s="119" t="s">
        <v>1147</v>
      </c>
      <c r="C39" s="119" t="s">
        <v>683</v>
      </c>
      <c r="D39" s="120" t="s">
        <v>1219</v>
      </c>
      <c r="E39" s="120" t="s">
        <v>919</v>
      </c>
      <c r="F39" s="120" t="s">
        <v>935</v>
      </c>
      <c r="G39" s="120" t="s">
        <v>685</v>
      </c>
      <c r="H39" s="120" t="s">
        <v>686</v>
      </c>
      <c r="I39" s="120" t="s">
        <v>682</v>
      </c>
      <c r="J39" s="120" t="s">
        <v>1220</v>
      </c>
      <c r="K39" s="120" t="s">
        <v>1221</v>
      </c>
      <c r="L39" s="121">
        <v>200000</v>
      </c>
      <c r="M39" s="120"/>
      <c r="N39" s="122">
        <v>43383</v>
      </c>
      <c r="O39" s="122">
        <v>44104</v>
      </c>
      <c r="P39" s="122">
        <v>43873</v>
      </c>
      <c r="Q39" s="122">
        <v>44104</v>
      </c>
      <c r="R39" s="120"/>
      <c r="S39" s="120"/>
      <c r="T39" s="120"/>
      <c r="U39" s="120"/>
      <c r="V39" s="120"/>
      <c r="W39" s="120"/>
      <c r="X39" s="155" t="s">
        <v>1222</v>
      </c>
      <c r="Y39" s="120"/>
      <c r="Z39" s="120"/>
      <c r="AA39" s="120" t="s">
        <v>687</v>
      </c>
      <c r="AB39" s="120" t="s">
        <v>1223</v>
      </c>
    </row>
    <row r="40" spans="1:16379" s="119" customFormat="1" ht="90" hidden="1">
      <c r="A40" s="119" t="s">
        <v>1147</v>
      </c>
      <c r="B40" s="119" t="s">
        <v>1187</v>
      </c>
      <c r="C40" s="119" t="s">
        <v>1202</v>
      </c>
      <c r="D40" s="119" t="s">
        <v>1203</v>
      </c>
      <c r="E40" s="119" t="s">
        <v>1200</v>
      </c>
      <c r="L40" s="126" t="s">
        <v>753</v>
      </c>
      <c r="N40" s="127"/>
      <c r="O40" s="127" t="s">
        <v>753</v>
      </c>
      <c r="P40" s="127" t="s">
        <v>753</v>
      </c>
      <c r="Q40" s="127" t="s">
        <v>753</v>
      </c>
      <c r="AA40" s="120" t="s">
        <v>630</v>
      </c>
      <c r="AB40" s="120"/>
    </row>
    <row r="41" spans="1:16379" s="184" customFormat="1" ht="120">
      <c r="A41" s="119" t="s">
        <v>1147</v>
      </c>
      <c r="B41" s="184" t="s">
        <v>1108</v>
      </c>
      <c r="C41" s="184" t="s">
        <v>1224</v>
      </c>
      <c r="D41" s="184" t="s">
        <v>1225</v>
      </c>
      <c r="E41" s="184" t="s">
        <v>919</v>
      </c>
      <c r="F41" s="184" t="s">
        <v>946</v>
      </c>
      <c r="G41" s="184" t="s">
        <v>1226</v>
      </c>
      <c r="H41" s="184" t="s">
        <v>1226</v>
      </c>
      <c r="I41" s="184" t="s">
        <v>936</v>
      </c>
      <c r="J41" s="184" t="s">
        <v>1108</v>
      </c>
      <c r="L41" s="126">
        <v>50000</v>
      </c>
      <c r="M41" s="126">
        <v>50000</v>
      </c>
      <c r="N41" s="127">
        <v>44118</v>
      </c>
      <c r="O41" s="127">
        <v>44469</v>
      </c>
      <c r="P41" s="213" t="s">
        <v>753</v>
      </c>
      <c r="Q41" s="213" t="s">
        <v>753</v>
      </c>
      <c r="R41" s="213"/>
      <c r="W41" s="184" t="s">
        <v>1119</v>
      </c>
      <c r="AA41" s="120" t="s">
        <v>877</v>
      </c>
    </row>
    <row r="42" spans="1:16379" ht="45">
      <c r="A42" s="119" t="s">
        <v>1147</v>
      </c>
      <c r="B42" s="119" t="s">
        <v>1108</v>
      </c>
      <c r="C42" s="119" t="s">
        <v>1227</v>
      </c>
      <c r="D42" s="119" t="s">
        <v>1228</v>
      </c>
      <c r="E42" s="119" t="s">
        <v>919</v>
      </c>
      <c r="F42" s="119" t="s">
        <v>946</v>
      </c>
      <c r="G42" s="119" t="s">
        <v>1229</v>
      </c>
      <c r="H42" s="119" t="s">
        <v>1229</v>
      </c>
      <c r="I42" s="184" t="s">
        <v>936</v>
      </c>
      <c r="J42" s="119" t="s">
        <v>1108</v>
      </c>
      <c r="K42" s="119"/>
      <c r="L42" s="126">
        <v>50000</v>
      </c>
      <c r="M42" s="126">
        <v>50000</v>
      </c>
      <c r="N42" s="127">
        <v>44118</v>
      </c>
      <c r="O42" s="127">
        <v>44469</v>
      </c>
      <c r="P42" s="213" t="s">
        <v>753</v>
      </c>
      <c r="Q42" s="213" t="s">
        <v>753</v>
      </c>
      <c r="R42" s="119"/>
      <c r="S42" s="119"/>
      <c r="T42" s="119"/>
      <c r="U42" s="119"/>
      <c r="V42" s="119"/>
      <c r="W42" s="184" t="s">
        <v>1119</v>
      </c>
      <c r="X42" s="120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/>
      <c r="FH42" s="119"/>
      <c r="FI42" s="119"/>
      <c r="FJ42" s="119"/>
      <c r="FK42" s="119"/>
      <c r="FL42" s="119"/>
      <c r="FM42" s="119"/>
      <c r="FN42" s="119"/>
      <c r="FO42" s="119"/>
      <c r="FP42" s="119"/>
      <c r="FQ42" s="119"/>
      <c r="FR42" s="119"/>
      <c r="FS42" s="119"/>
      <c r="FT42" s="119"/>
      <c r="FU42" s="119"/>
      <c r="FV42" s="119"/>
      <c r="FW42" s="119"/>
      <c r="FX42" s="119"/>
      <c r="FY42" s="119"/>
      <c r="FZ42" s="119"/>
      <c r="GA42" s="119"/>
      <c r="GB42" s="119"/>
      <c r="GC42" s="119"/>
      <c r="GD42" s="119"/>
      <c r="GE42" s="119"/>
      <c r="GF42" s="119"/>
      <c r="GG42" s="119"/>
      <c r="GH42" s="119"/>
      <c r="GI42" s="119"/>
      <c r="GJ42" s="119"/>
      <c r="GK42" s="119"/>
      <c r="GL42" s="119"/>
      <c r="GM42" s="119"/>
      <c r="GN42" s="119"/>
      <c r="GO42" s="119"/>
      <c r="GP42" s="119"/>
      <c r="GQ42" s="119"/>
      <c r="GR42" s="119"/>
      <c r="GS42" s="119"/>
      <c r="GT42" s="119"/>
      <c r="GU42" s="119"/>
      <c r="GV42" s="119"/>
      <c r="GW42" s="119"/>
      <c r="GX42" s="119"/>
      <c r="GY42" s="119"/>
      <c r="GZ42" s="119"/>
      <c r="HA42" s="119"/>
      <c r="HB42" s="119"/>
      <c r="HC42" s="119"/>
      <c r="HD42" s="119"/>
      <c r="HE42" s="119"/>
      <c r="HF42" s="119"/>
      <c r="HG42" s="119"/>
      <c r="HH42" s="119"/>
      <c r="HI42" s="119"/>
      <c r="HJ42" s="119"/>
      <c r="HK42" s="119"/>
      <c r="HL42" s="119"/>
      <c r="HM42" s="119"/>
      <c r="HN42" s="119"/>
      <c r="HO42" s="119"/>
      <c r="HP42" s="119"/>
      <c r="HQ42" s="119"/>
      <c r="HR42" s="119"/>
      <c r="HS42" s="119"/>
      <c r="HT42" s="119"/>
      <c r="HU42" s="119"/>
      <c r="HV42" s="119"/>
      <c r="HW42" s="119"/>
      <c r="HX42" s="119"/>
      <c r="HY42" s="119"/>
      <c r="HZ42" s="119"/>
      <c r="IA42" s="119"/>
      <c r="IB42" s="119"/>
      <c r="IC42" s="119"/>
      <c r="ID42" s="119"/>
      <c r="IE42" s="119"/>
      <c r="IF42" s="119"/>
      <c r="IG42" s="119"/>
      <c r="IH42" s="119"/>
      <c r="II42" s="119"/>
      <c r="IJ42" s="119"/>
      <c r="IK42" s="119"/>
      <c r="IL42" s="119"/>
      <c r="IM42" s="119"/>
      <c r="IN42" s="119"/>
      <c r="IO42" s="119"/>
      <c r="IP42" s="119"/>
      <c r="IQ42" s="119"/>
      <c r="IR42" s="119"/>
      <c r="IS42" s="119"/>
      <c r="IT42" s="119"/>
      <c r="IU42" s="119"/>
      <c r="IV42" s="119"/>
      <c r="IW42" s="119"/>
      <c r="IX42" s="119"/>
      <c r="IY42" s="119"/>
      <c r="IZ42" s="119"/>
      <c r="JA42" s="119"/>
      <c r="JB42" s="119"/>
      <c r="JC42" s="119"/>
      <c r="JD42" s="119"/>
      <c r="JE42" s="119"/>
      <c r="JF42" s="119"/>
      <c r="JG42" s="119"/>
      <c r="JH42" s="119"/>
      <c r="JI42" s="119"/>
      <c r="JJ42" s="119"/>
      <c r="JK42" s="119"/>
      <c r="JL42" s="119"/>
      <c r="JM42" s="119"/>
      <c r="JN42" s="119"/>
      <c r="JO42" s="119"/>
      <c r="JP42" s="119"/>
      <c r="JQ42" s="119"/>
      <c r="JR42" s="119"/>
      <c r="JS42" s="119"/>
      <c r="JT42" s="119"/>
      <c r="JU42" s="119"/>
      <c r="JV42" s="119"/>
      <c r="JW42" s="119"/>
      <c r="JX42" s="119"/>
      <c r="JY42" s="119"/>
      <c r="JZ42" s="119"/>
      <c r="KA42" s="119"/>
      <c r="KB42" s="119"/>
      <c r="KC42" s="119"/>
      <c r="KD42" s="119"/>
      <c r="KE42" s="119"/>
      <c r="KF42" s="119"/>
      <c r="KG42" s="119"/>
      <c r="KH42" s="119"/>
      <c r="KI42" s="119"/>
      <c r="KJ42" s="119"/>
      <c r="KK42" s="119"/>
      <c r="KL42" s="119"/>
      <c r="KM42" s="119"/>
      <c r="KN42" s="119"/>
      <c r="KO42" s="119"/>
      <c r="KP42" s="119"/>
      <c r="KQ42" s="119"/>
      <c r="KR42" s="119"/>
      <c r="KS42" s="119"/>
      <c r="KT42" s="119"/>
      <c r="KU42" s="119"/>
      <c r="KV42" s="119"/>
      <c r="KW42" s="119"/>
      <c r="KX42" s="119"/>
      <c r="KY42" s="119"/>
      <c r="KZ42" s="119"/>
      <c r="LA42" s="119"/>
      <c r="LB42" s="119"/>
      <c r="LC42" s="119"/>
      <c r="LD42" s="119"/>
      <c r="LE42" s="119"/>
      <c r="LF42" s="119"/>
      <c r="LG42" s="119"/>
      <c r="LH42" s="119"/>
      <c r="LI42" s="119"/>
      <c r="LJ42" s="119"/>
      <c r="LK42" s="119"/>
      <c r="LL42" s="119"/>
      <c r="LM42" s="119"/>
      <c r="LN42" s="119"/>
      <c r="LO42" s="119"/>
      <c r="LP42" s="119"/>
      <c r="LQ42" s="119"/>
      <c r="LR42" s="119"/>
      <c r="LS42" s="119"/>
      <c r="LT42" s="119"/>
      <c r="LU42" s="119"/>
      <c r="LV42" s="119"/>
      <c r="LW42" s="119"/>
      <c r="LX42" s="119"/>
      <c r="LY42" s="119"/>
      <c r="LZ42" s="119"/>
      <c r="MA42" s="119"/>
      <c r="MB42" s="119"/>
      <c r="MC42" s="119"/>
      <c r="MD42" s="119"/>
      <c r="ME42" s="119"/>
      <c r="MF42" s="119"/>
      <c r="MG42" s="119"/>
      <c r="MH42" s="119"/>
      <c r="MI42" s="119"/>
      <c r="MJ42" s="119"/>
      <c r="MK42" s="119"/>
      <c r="ML42" s="119"/>
      <c r="MM42" s="119"/>
      <c r="MN42" s="119"/>
      <c r="MO42" s="119"/>
      <c r="MP42" s="119"/>
      <c r="MQ42" s="119"/>
      <c r="MR42" s="119"/>
      <c r="MS42" s="119"/>
      <c r="MT42" s="119"/>
      <c r="MU42" s="119"/>
      <c r="MV42" s="119"/>
      <c r="MW42" s="119"/>
      <c r="MX42" s="119"/>
      <c r="MY42" s="119"/>
      <c r="MZ42" s="119"/>
      <c r="NA42" s="119"/>
      <c r="NB42" s="119"/>
      <c r="NC42" s="119"/>
      <c r="ND42" s="119"/>
      <c r="NE42" s="119"/>
      <c r="NF42" s="119"/>
      <c r="NG42" s="119"/>
      <c r="NH42" s="119"/>
      <c r="NI42" s="119"/>
      <c r="NJ42" s="119"/>
      <c r="NK42" s="119"/>
      <c r="NL42" s="119"/>
      <c r="NM42" s="119"/>
      <c r="NN42" s="119"/>
      <c r="NO42" s="119"/>
      <c r="NP42" s="119"/>
      <c r="NQ42" s="119"/>
      <c r="NR42" s="119"/>
      <c r="NS42" s="119"/>
      <c r="NT42" s="119"/>
      <c r="NU42" s="119"/>
      <c r="NV42" s="119"/>
      <c r="NW42" s="119"/>
      <c r="NX42" s="119"/>
      <c r="NY42" s="119"/>
      <c r="NZ42" s="119"/>
      <c r="OA42" s="119"/>
      <c r="OB42" s="119"/>
      <c r="OC42" s="119"/>
      <c r="OD42" s="119"/>
      <c r="OE42" s="119"/>
      <c r="OF42" s="119"/>
      <c r="OG42" s="119"/>
      <c r="OH42" s="119"/>
      <c r="OI42" s="119"/>
      <c r="OJ42" s="119"/>
      <c r="OK42" s="119"/>
      <c r="OL42" s="119"/>
      <c r="OM42" s="119"/>
      <c r="ON42" s="119"/>
      <c r="OO42" s="119"/>
      <c r="OP42" s="119"/>
      <c r="OQ42" s="119"/>
      <c r="OR42" s="119"/>
      <c r="OS42" s="119"/>
      <c r="OT42" s="119"/>
      <c r="OU42" s="119"/>
      <c r="OV42" s="119"/>
      <c r="OW42" s="119"/>
      <c r="OX42" s="119"/>
      <c r="OY42" s="119"/>
      <c r="OZ42" s="119"/>
      <c r="PA42" s="119"/>
      <c r="PB42" s="119"/>
      <c r="PC42" s="119"/>
      <c r="PD42" s="119"/>
      <c r="PE42" s="119"/>
      <c r="PF42" s="119"/>
      <c r="PG42" s="119"/>
      <c r="PH42" s="119"/>
      <c r="PI42" s="119"/>
      <c r="PJ42" s="119"/>
      <c r="PK42" s="119"/>
      <c r="PL42" s="119"/>
      <c r="PM42" s="119"/>
      <c r="PN42" s="119"/>
      <c r="PO42" s="119"/>
      <c r="PP42" s="119"/>
      <c r="PQ42" s="119"/>
      <c r="PR42" s="119"/>
      <c r="PS42" s="119"/>
      <c r="PT42" s="119"/>
      <c r="PU42" s="119"/>
      <c r="PV42" s="119"/>
      <c r="PW42" s="119"/>
      <c r="PX42" s="119"/>
      <c r="PY42" s="119"/>
      <c r="PZ42" s="119"/>
      <c r="QA42" s="119"/>
      <c r="QB42" s="119"/>
      <c r="QC42" s="119"/>
      <c r="QD42" s="119"/>
      <c r="QE42" s="119"/>
      <c r="QF42" s="119"/>
      <c r="QG42" s="119"/>
      <c r="QH42" s="119"/>
      <c r="QI42" s="119"/>
      <c r="QJ42" s="119"/>
      <c r="QK42" s="119"/>
      <c r="QL42" s="119"/>
      <c r="QM42" s="119"/>
      <c r="QN42" s="119"/>
      <c r="QO42" s="119"/>
      <c r="QP42" s="119"/>
      <c r="QQ42" s="119"/>
      <c r="QR42" s="119"/>
      <c r="QS42" s="119"/>
      <c r="QT42" s="119"/>
      <c r="QU42" s="119"/>
      <c r="QV42" s="119"/>
      <c r="QW42" s="119"/>
      <c r="QX42" s="119"/>
      <c r="QY42" s="119"/>
      <c r="QZ42" s="119"/>
      <c r="RA42" s="119"/>
      <c r="RB42" s="119"/>
      <c r="RC42" s="119"/>
      <c r="RD42" s="119"/>
      <c r="RE42" s="119"/>
      <c r="RF42" s="119"/>
      <c r="RG42" s="119"/>
      <c r="RH42" s="119"/>
      <c r="RI42" s="119"/>
      <c r="RJ42" s="119"/>
      <c r="RK42" s="119"/>
      <c r="RL42" s="119"/>
      <c r="RM42" s="119"/>
      <c r="RN42" s="119"/>
      <c r="RO42" s="119"/>
      <c r="RP42" s="119"/>
      <c r="RQ42" s="119"/>
      <c r="RR42" s="119"/>
      <c r="RS42" s="119"/>
      <c r="RT42" s="119"/>
      <c r="RU42" s="119"/>
      <c r="RV42" s="119"/>
      <c r="RW42" s="119"/>
      <c r="RX42" s="119"/>
      <c r="RY42" s="119"/>
      <c r="RZ42" s="119"/>
      <c r="SA42" s="119"/>
      <c r="SB42" s="119"/>
      <c r="SC42" s="119"/>
      <c r="SD42" s="119"/>
      <c r="SE42" s="119"/>
      <c r="SF42" s="119"/>
      <c r="SG42" s="119"/>
      <c r="SH42" s="119"/>
      <c r="SI42" s="119"/>
      <c r="SJ42" s="119"/>
      <c r="SK42" s="119"/>
      <c r="SL42" s="119"/>
      <c r="SM42" s="119"/>
      <c r="SN42" s="119"/>
      <c r="SO42" s="119"/>
      <c r="SP42" s="119"/>
      <c r="SQ42" s="119"/>
      <c r="SR42" s="119"/>
      <c r="SS42" s="119"/>
      <c r="ST42" s="119"/>
      <c r="SU42" s="119"/>
      <c r="SV42" s="119"/>
      <c r="SW42" s="119"/>
      <c r="SX42" s="119"/>
      <c r="SY42" s="119"/>
      <c r="SZ42" s="119"/>
      <c r="TA42" s="119"/>
      <c r="TB42" s="119"/>
      <c r="TC42" s="119"/>
      <c r="TD42" s="119"/>
      <c r="TE42" s="119"/>
      <c r="TF42" s="119"/>
      <c r="TG42" s="119"/>
      <c r="TH42" s="119"/>
      <c r="TI42" s="119"/>
      <c r="TJ42" s="119"/>
      <c r="TK42" s="119"/>
      <c r="TL42" s="119"/>
      <c r="TM42" s="119"/>
      <c r="TN42" s="119"/>
      <c r="TO42" s="119"/>
      <c r="TP42" s="119"/>
      <c r="TQ42" s="119"/>
      <c r="TR42" s="119"/>
      <c r="TS42" s="119"/>
      <c r="TT42" s="119"/>
      <c r="TU42" s="119"/>
      <c r="TV42" s="119"/>
      <c r="TW42" s="119"/>
      <c r="TX42" s="119"/>
      <c r="TY42" s="119"/>
      <c r="TZ42" s="119"/>
      <c r="UA42" s="119"/>
      <c r="UB42" s="119"/>
      <c r="UC42" s="119"/>
      <c r="UD42" s="119"/>
      <c r="UE42" s="119"/>
      <c r="UF42" s="119"/>
      <c r="UG42" s="119"/>
      <c r="UH42" s="119"/>
      <c r="UI42" s="119"/>
      <c r="UJ42" s="119"/>
      <c r="UK42" s="119"/>
      <c r="UL42" s="119"/>
      <c r="UM42" s="119"/>
      <c r="UN42" s="119"/>
      <c r="UO42" s="119"/>
      <c r="UP42" s="119"/>
      <c r="UQ42" s="119"/>
      <c r="UR42" s="119"/>
      <c r="US42" s="119"/>
      <c r="UT42" s="119"/>
      <c r="UU42" s="119"/>
      <c r="UV42" s="119"/>
      <c r="UW42" s="119"/>
      <c r="UX42" s="119"/>
      <c r="UY42" s="119"/>
      <c r="UZ42" s="119"/>
      <c r="VA42" s="119"/>
      <c r="VB42" s="119"/>
      <c r="VC42" s="119"/>
      <c r="VD42" s="119"/>
      <c r="VE42" s="119"/>
      <c r="VF42" s="119"/>
      <c r="VG42" s="119"/>
      <c r="VH42" s="119"/>
      <c r="VI42" s="119"/>
      <c r="VJ42" s="119"/>
      <c r="VK42" s="119"/>
      <c r="VL42" s="119"/>
      <c r="VM42" s="119"/>
      <c r="VN42" s="119"/>
      <c r="VO42" s="119"/>
      <c r="VP42" s="119"/>
      <c r="VQ42" s="119"/>
      <c r="VR42" s="119"/>
      <c r="VS42" s="119"/>
      <c r="VT42" s="119"/>
      <c r="VU42" s="119"/>
      <c r="VV42" s="119"/>
      <c r="VW42" s="119"/>
      <c r="VX42" s="119"/>
      <c r="VY42" s="119"/>
      <c r="VZ42" s="119"/>
      <c r="WA42" s="119"/>
      <c r="WB42" s="119"/>
      <c r="WC42" s="119"/>
      <c r="WD42" s="119"/>
      <c r="WE42" s="119"/>
      <c r="WF42" s="119"/>
      <c r="WG42" s="119"/>
      <c r="WH42" s="119"/>
      <c r="WI42" s="119"/>
      <c r="WJ42" s="119"/>
      <c r="WK42" s="119"/>
      <c r="WL42" s="119"/>
      <c r="WM42" s="119"/>
      <c r="WN42" s="119"/>
      <c r="WO42" s="119"/>
      <c r="WP42" s="119"/>
      <c r="WQ42" s="119"/>
      <c r="WR42" s="119"/>
      <c r="WS42" s="119"/>
      <c r="WT42" s="119"/>
      <c r="WU42" s="119"/>
      <c r="WV42" s="119"/>
      <c r="WW42" s="119"/>
      <c r="WX42" s="119"/>
      <c r="WY42" s="119"/>
      <c r="WZ42" s="119"/>
      <c r="XA42" s="119"/>
      <c r="XB42" s="119"/>
      <c r="XC42" s="119"/>
      <c r="XD42" s="119"/>
      <c r="XE42" s="119"/>
      <c r="XF42" s="119"/>
      <c r="XG42" s="119"/>
      <c r="XH42" s="119"/>
      <c r="XI42" s="119"/>
      <c r="XJ42" s="119"/>
      <c r="XK42" s="119"/>
      <c r="XL42" s="119"/>
      <c r="XM42" s="119"/>
      <c r="XN42" s="119"/>
      <c r="XO42" s="119"/>
      <c r="XP42" s="119"/>
      <c r="XQ42" s="119"/>
      <c r="XR42" s="119"/>
      <c r="XS42" s="119"/>
      <c r="XT42" s="119"/>
      <c r="XU42" s="119"/>
      <c r="XV42" s="119"/>
      <c r="XW42" s="119"/>
      <c r="XX42" s="119"/>
      <c r="XY42" s="119"/>
      <c r="XZ42" s="119"/>
      <c r="YA42" s="119"/>
      <c r="YB42" s="119"/>
      <c r="YC42" s="119"/>
      <c r="YD42" s="119"/>
      <c r="YE42" s="119"/>
      <c r="YF42" s="119"/>
      <c r="YG42" s="119"/>
      <c r="YH42" s="119"/>
      <c r="YI42" s="119"/>
      <c r="YJ42" s="119"/>
      <c r="YK42" s="119"/>
      <c r="YL42" s="119"/>
      <c r="YM42" s="119"/>
      <c r="YN42" s="119"/>
      <c r="YO42" s="119"/>
      <c r="YP42" s="119"/>
      <c r="YQ42" s="119"/>
      <c r="YR42" s="119"/>
      <c r="YS42" s="119"/>
      <c r="YT42" s="119"/>
      <c r="YU42" s="119"/>
      <c r="YV42" s="119"/>
      <c r="YW42" s="119"/>
      <c r="YX42" s="119"/>
      <c r="YY42" s="119"/>
      <c r="YZ42" s="119"/>
      <c r="ZA42" s="119"/>
      <c r="ZB42" s="119"/>
      <c r="ZC42" s="119"/>
      <c r="ZD42" s="119"/>
      <c r="ZE42" s="119"/>
      <c r="ZF42" s="119"/>
      <c r="ZG42" s="119"/>
      <c r="ZH42" s="119"/>
      <c r="ZI42" s="119"/>
      <c r="ZJ42" s="119"/>
      <c r="ZK42" s="119"/>
      <c r="ZL42" s="119"/>
      <c r="ZM42" s="119"/>
      <c r="ZN42" s="119"/>
      <c r="ZO42" s="119"/>
      <c r="ZP42" s="119"/>
      <c r="ZQ42" s="119"/>
      <c r="ZR42" s="119"/>
      <c r="ZS42" s="119"/>
      <c r="ZT42" s="119"/>
      <c r="ZU42" s="119"/>
      <c r="ZV42" s="119"/>
      <c r="ZW42" s="119"/>
      <c r="ZX42" s="119"/>
      <c r="ZY42" s="119"/>
      <c r="ZZ42" s="119"/>
      <c r="AAA42" s="119"/>
      <c r="AAB42" s="119"/>
      <c r="AAC42" s="119"/>
      <c r="AAD42" s="119"/>
      <c r="AAE42" s="119"/>
      <c r="AAF42" s="119"/>
      <c r="AAG42" s="119"/>
      <c r="AAH42" s="119"/>
      <c r="AAI42" s="119"/>
      <c r="AAJ42" s="119"/>
      <c r="AAK42" s="119"/>
      <c r="AAL42" s="119"/>
      <c r="AAM42" s="119"/>
      <c r="AAN42" s="119"/>
      <c r="AAO42" s="119"/>
      <c r="AAP42" s="119"/>
      <c r="AAQ42" s="119"/>
      <c r="AAR42" s="119"/>
      <c r="AAS42" s="119"/>
      <c r="AAT42" s="119"/>
      <c r="AAU42" s="119"/>
      <c r="AAV42" s="119"/>
      <c r="AAW42" s="119"/>
      <c r="AAX42" s="119"/>
      <c r="AAY42" s="119"/>
      <c r="AAZ42" s="119"/>
      <c r="ABA42" s="119"/>
      <c r="ABB42" s="119"/>
      <c r="ABC42" s="119"/>
      <c r="ABD42" s="119"/>
      <c r="ABE42" s="119"/>
      <c r="ABF42" s="119"/>
      <c r="ABG42" s="119"/>
      <c r="ABH42" s="119"/>
      <c r="ABI42" s="119"/>
      <c r="ABJ42" s="119"/>
      <c r="ABK42" s="119"/>
      <c r="ABL42" s="119"/>
      <c r="ABM42" s="119"/>
      <c r="ABN42" s="119"/>
      <c r="ABO42" s="119"/>
      <c r="ABP42" s="119"/>
      <c r="ABQ42" s="119"/>
      <c r="ABR42" s="119"/>
      <c r="ABS42" s="119"/>
      <c r="ABT42" s="119"/>
      <c r="ABU42" s="119"/>
      <c r="ABV42" s="119"/>
      <c r="ABW42" s="119"/>
      <c r="ABX42" s="119"/>
      <c r="ABY42" s="119"/>
      <c r="ABZ42" s="119"/>
      <c r="ACA42" s="119"/>
      <c r="ACB42" s="119"/>
      <c r="ACC42" s="119"/>
      <c r="ACD42" s="119"/>
      <c r="ACE42" s="119"/>
      <c r="ACF42" s="119"/>
      <c r="ACG42" s="119"/>
      <c r="ACH42" s="119"/>
      <c r="ACI42" s="119"/>
      <c r="ACJ42" s="119"/>
      <c r="ACK42" s="119"/>
      <c r="ACL42" s="119"/>
      <c r="ACM42" s="119"/>
      <c r="ACN42" s="119"/>
      <c r="ACO42" s="119"/>
      <c r="ACP42" s="119"/>
      <c r="ACQ42" s="119"/>
      <c r="ACR42" s="119"/>
      <c r="ACS42" s="119"/>
      <c r="ACT42" s="119"/>
      <c r="ACU42" s="119"/>
      <c r="ACV42" s="119"/>
      <c r="ACW42" s="119"/>
      <c r="ACX42" s="119"/>
      <c r="ACY42" s="119"/>
      <c r="ACZ42" s="119"/>
      <c r="ADA42" s="119"/>
      <c r="ADB42" s="119"/>
      <c r="ADC42" s="119"/>
      <c r="ADD42" s="119"/>
      <c r="ADE42" s="119"/>
      <c r="ADF42" s="119"/>
      <c r="ADG42" s="119"/>
      <c r="ADH42" s="119"/>
      <c r="ADI42" s="119"/>
      <c r="ADJ42" s="119"/>
      <c r="ADK42" s="119"/>
      <c r="ADL42" s="119"/>
      <c r="ADM42" s="119"/>
      <c r="ADN42" s="119"/>
      <c r="ADO42" s="119"/>
      <c r="ADP42" s="119"/>
      <c r="ADQ42" s="119"/>
      <c r="ADR42" s="119"/>
      <c r="ADS42" s="119"/>
      <c r="ADT42" s="119"/>
      <c r="ADU42" s="119"/>
      <c r="ADV42" s="119"/>
      <c r="ADW42" s="119"/>
      <c r="ADX42" s="119"/>
      <c r="ADY42" s="119"/>
      <c r="ADZ42" s="119"/>
      <c r="AEA42" s="119"/>
      <c r="AEB42" s="119"/>
      <c r="AEC42" s="119"/>
      <c r="AED42" s="119"/>
      <c r="AEE42" s="119"/>
      <c r="AEF42" s="119"/>
      <c r="AEG42" s="119"/>
      <c r="AEH42" s="119"/>
      <c r="AEI42" s="119"/>
      <c r="AEJ42" s="119"/>
      <c r="AEK42" s="119"/>
      <c r="AEL42" s="119"/>
      <c r="AEM42" s="119"/>
      <c r="AEN42" s="119"/>
      <c r="AEO42" s="119"/>
      <c r="AEP42" s="119"/>
      <c r="AEQ42" s="119"/>
      <c r="AER42" s="119"/>
      <c r="AES42" s="119"/>
      <c r="AET42" s="119"/>
      <c r="AEU42" s="119"/>
      <c r="AEV42" s="119"/>
      <c r="AEW42" s="119"/>
      <c r="AEX42" s="119"/>
      <c r="AEY42" s="119"/>
      <c r="AEZ42" s="119"/>
      <c r="AFA42" s="119"/>
      <c r="AFB42" s="119"/>
      <c r="AFC42" s="119"/>
      <c r="AFD42" s="119"/>
      <c r="AFE42" s="119"/>
      <c r="AFF42" s="119"/>
      <c r="AFG42" s="119"/>
      <c r="AFH42" s="119"/>
      <c r="AFI42" s="119"/>
      <c r="AFJ42" s="119"/>
      <c r="AFK42" s="119"/>
      <c r="AFL42" s="119"/>
      <c r="AFM42" s="119"/>
      <c r="AFN42" s="119"/>
      <c r="AFO42" s="119"/>
      <c r="AFP42" s="119"/>
      <c r="AFQ42" s="119"/>
      <c r="AFR42" s="119"/>
      <c r="AFS42" s="119"/>
      <c r="AFT42" s="119"/>
      <c r="AFU42" s="119"/>
      <c r="AFV42" s="119"/>
      <c r="AFW42" s="119"/>
      <c r="AFX42" s="119"/>
      <c r="AFY42" s="119"/>
      <c r="AFZ42" s="119"/>
      <c r="AGA42" s="119"/>
      <c r="AGB42" s="119"/>
      <c r="AGC42" s="119"/>
      <c r="AGD42" s="119"/>
      <c r="AGE42" s="119"/>
      <c r="AGF42" s="119"/>
      <c r="AGG42" s="119"/>
      <c r="AGH42" s="119"/>
      <c r="AGI42" s="119"/>
      <c r="AGJ42" s="119"/>
      <c r="AGK42" s="119"/>
      <c r="AGL42" s="119"/>
      <c r="AGM42" s="119"/>
      <c r="AGN42" s="119"/>
      <c r="AGO42" s="119"/>
      <c r="AGP42" s="119"/>
      <c r="AGQ42" s="119"/>
      <c r="AGR42" s="119"/>
      <c r="AGS42" s="119"/>
      <c r="AGT42" s="119"/>
      <c r="AGU42" s="119"/>
      <c r="AGV42" s="119"/>
      <c r="AGW42" s="119"/>
      <c r="AGX42" s="119"/>
      <c r="AGY42" s="119"/>
      <c r="AGZ42" s="119"/>
      <c r="AHA42" s="119"/>
      <c r="AHB42" s="119"/>
      <c r="AHC42" s="119"/>
      <c r="AHD42" s="119"/>
      <c r="AHE42" s="119"/>
      <c r="AHF42" s="119"/>
      <c r="AHG42" s="119"/>
      <c r="AHH42" s="119"/>
      <c r="AHI42" s="119"/>
      <c r="AHJ42" s="119"/>
      <c r="AHK42" s="119"/>
      <c r="AHL42" s="119"/>
      <c r="AHM42" s="119"/>
      <c r="AHN42" s="119"/>
      <c r="AHO42" s="119"/>
      <c r="AHP42" s="119"/>
      <c r="AHQ42" s="119"/>
      <c r="AHR42" s="119"/>
      <c r="AHS42" s="119"/>
      <c r="AHT42" s="119"/>
      <c r="AHU42" s="119"/>
      <c r="AHV42" s="119"/>
      <c r="AHW42" s="119"/>
      <c r="AHX42" s="119"/>
      <c r="AHY42" s="119"/>
      <c r="AHZ42" s="119"/>
      <c r="AIA42" s="119"/>
      <c r="AIB42" s="119"/>
      <c r="AIC42" s="119"/>
      <c r="AID42" s="119"/>
      <c r="AIE42" s="119"/>
      <c r="AIF42" s="119"/>
      <c r="AIG42" s="119"/>
      <c r="AIH42" s="119"/>
      <c r="AII42" s="119"/>
      <c r="AIJ42" s="119"/>
      <c r="AIK42" s="119"/>
      <c r="AIL42" s="119"/>
      <c r="AIM42" s="119"/>
      <c r="AIN42" s="119"/>
      <c r="AIO42" s="119"/>
      <c r="AIP42" s="119"/>
      <c r="AIQ42" s="119"/>
      <c r="AIR42" s="119"/>
      <c r="AIS42" s="119"/>
      <c r="AIT42" s="119"/>
      <c r="AIU42" s="119"/>
      <c r="AIV42" s="119"/>
      <c r="AIW42" s="119"/>
      <c r="AIX42" s="119"/>
      <c r="AIY42" s="119"/>
      <c r="AIZ42" s="119"/>
      <c r="AJA42" s="119"/>
      <c r="AJB42" s="119"/>
      <c r="AJC42" s="119"/>
      <c r="AJD42" s="119"/>
      <c r="AJE42" s="119"/>
      <c r="AJF42" s="119"/>
      <c r="AJG42" s="119"/>
      <c r="AJH42" s="119"/>
      <c r="AJI42" s="119"/>
      <c r="AJJ42" s="119"/>
      <c r="AJK42" s="119"/>
      <c r="AJL42" s="119"/>
      <c r="AJM42" s="119"/>
      <c r="AJN42" s="119"/>
      <c r="AJO42" s="119"/>
      <c r="AJP42" s="119"/>
      <c r="AJQ42" s="119"/>
      <c r="AJR42" s="119"/>
      <c r="AJS42" s="119"/>
      <c r="AJT42" s="119"/>
      <c r="AJU42" s="119"/>
      <c r="AJV42" s="119"/>
      <c r="AJW42" s="119"/>
      <c r="AJX42" s="119"/>
      <c r="AJY42" s="119"/>
      <c r="AJZ42" s="119"/>
      <c r="AKA42" s="119"/>
      <c r="AKB42" s="119"/>
      <c r="AKC42" s="119"/>
      <c r="AKD42" s="119"/>
      <c r="AKE42" s="119"/>
      <c r="AKF42" s="119"/>
      <c r="AKG42" s="119"/>
      <c r="AKH42" s="119"/>
      <c r="AKI42" s="119"/>
      <c r="AKJ42" s="119"/>
      <c r="AKK42" s="119"/>
      <c r="AKL42" s="119"/>
      <c r="AKM42" s="119"/>
      <c r="AKN42" s="119"/>
      <c r="AKO42" s="119"/>
      <c r="AKP42" s="119"/>
      <c r="AKQ42" s="119"/>
      <c r="AKR42" s="119"/>
      <c r="AKS42" s="119"/>
      <c r="AKT42" s="119"/>
      <c r="AKU42" s="119"/>
      <c r="AKV42" s="119"/>
      <c r="AKW42" s="119"/>
      <c r="AKX42" s="119"/>
      <c r="AKY42" s="119"/>
      <c r="AKZ42" s="119"/>
      <c r="ALA42" s="119"/>
      <c r="ALB42" s="119"/>
      <c r="ALC42" s="119"/>
      <c r="ALD42" s="119"/>
      <c r="ALE42" s="119"/>
      <c r="ALF42" s="119"/>
      <c r="ALG42" s="119"/>
      <c r="ALH42" s="119"/>
      <c r="ALI42" s="119"/>
      <c r="ALJ42" s="119"/>
      <c r="ALK42" s="119"/>
      <c r="ALL42" s="119"/>
      <c r="ALM42" s="119"/>
      <c r="ALN42" s="119"/>
      <c r="ALO42" s="119"/>
      <c r="ALP42" s="119"/>
      <c r="ALQ42" s="119"/>
      <c r="ALR42" s="119"/>
      <c r="ALS42" s="119"/>
      <c r="ALT42" s="119"/>
      <c r="ALU42" s="119"/>
      <c r="ALV42" s="119"/>
      <c r="ALW42" s="119"/>
      <c r="ALX42" s="119"/>
      <c r="ALY42" s="119"/>
      <c r="ALZ42" s="119"/>
      <c r="AMA42" s="119"/>
      <c r="AMB42" s="119"/>
      <c r="AMC42" s="119"/>
      <c r="AMD42" s="119"/>
      <c r="AME42" s="119"/>
      <c r="AMF42" s="119"/>
      <c r="AMG42" s="119"/>
      <c r="AMH42" s="119"/>
      <c r="AMI42" s="119"/>
      <c r="AMJ42" s="119"/>
      <c r="AMK42" s="119"/>
      <c r="AML42" s="119"/>
      <c r="AMM42" s="119"/>
      <c r="AMN42" s="119"/>
      <c r="AMO42" s="119"/>
      <c r="AMP42" s="119"/>
      <c r="AMQ42" s="119"/>
      <c r="AMR42" s="119"/>
      <c r="AMS42" s="119"/>
      <c r="AMT42" s="119"/>
      <c r="AMU42" s="119"/>
      <c r="AMV42" s="119"/>
      <c r="AMW42" s="119"/>
      <c r="AMX42" s="119"/>
      <c r="AMY42" s="119"/>
      <c r="AMZ42" s="119"/>
      <c r="ANA42" s="119"/>
      <c r="ANB42" s="119"/>
      <c r="ANC42" s="119"/>
      <c r="AND42" s="119"/>
      <c r="ANE42" s="119"/>
      <c r="ANF42" s="119"/>
      <c r="ANG42" s="119"/>
      <c r="ANH42" s="119"/>
      <c r="ANI42" s="119"/>
      <c r="ANJ42" s="119"/>
      <c r="ANK42" s="119"/>
      <c r="ANL42" s="119"/>
      <c r="ANM42" s="119"/>
      <c r="ANN42" s="119"/>
      <c r="ANO42" s="119"/>
      <c r="ANP42" s="119"/>
      <c r="ANQ42" s="119"/>
      <c r="ANR42" s="119"/>
      <c r="ANS42" s="119"/>
      <c r="ANT42" s="119"/>
      <c r="ANU42" s="119"/>
      <c r="ANV42" s="119"/>
      <c r="ANW42" s="119"/>
      <c r="ANX42" s="119"/>
      <c r="ANY42" s="119"/>
      <c r="ANZ42" s="119"/>
      <c r="AOA42" s="119"/>
      <c r="AOB42" s="119"/>
      <c r="AOC42" s="119"/>
      <c r="AOD42" s="119"/>
      <c r="AOE42" s="119"/>
      <c r="AOF42" s="119"/>
      <c r="AOG42" s="119"/>
      <c r="AOH42" s="119"/>
      <c r="AOI42" s="119"/>
      <c r="AOJ42" s="119"/>
      <c r="AOK42" s="119"/>
      <c r="AOL42" s="119"/>
      <c r="AOM42" s="119"/>
      <c r="AON42" s="119"/>
      <c r="AOO42" s="119"/>
      <c r="AOP42" s="119"/>
      <c r="AOQ42" s="119"/>
      <c r="AOR42" s="119"/>
      <c r="AOS42" s="119"/>
      <c r="AOT42" s="119"/>
      <c r="AOU42" s="119"/>
      <c r="AOV42" s="119"/>
      <c r="AOW42" s="119"/>
      <c r="AOX42" s="119"/>
      <c r="AOY42" s="119"/>
      <c r="AOZ42" s="119"/>
      <c r="APA42" s="119"/>
      <c r="APB42" s="119"/>
      <c r="APC42" s="119"/>
      <c r="APD42" s="119"/>
      <c r="APE42" s="119"/>
      <c r="APF42" s="119"/>
      <c r="APG42" s="119"/>
      <c r="APH42" s="119"/>
      <c r="API42" s="119"/>
      <c r="APJ42" s="119"/>
      <c r="APK42" s="119"/>
      <c r="APL42" s="119"/>
      <c r="APM42" s="119"/>
      <c r="APN42" s="119"/>
      <c r="APO42" s="119"/>
      <c r="APP42" s="119"/>
      <c r="APQ42" s="119"/>
      <c r="APR42" s="119"/>
      <c r="APS42" s="119"/>
      <c r="APT42" s="119"/>
      <c r="APU42" s="119"/>
      <c r="APV42" s="119"/>
      <c r="APW42" s="119"/>
      <c r="APX42" s="119"/>
      <c r="APY42" s="119"/>
      <c r="APZ42" s="119"/>
      <c r="AQA42" s="119"/>
      <c r="AQB42" s="119"/>
      <c r="AQC42" s="119"/>
      <c r="AQD42" s="119"/>
      <c r="AQE42" s="119"/>
      <c r="AQF42" s="119"/>
      <c r="AQG42" s="119"/>
      <c r="AQH42" s="119"/>
      <c r="AQI42" s="119"/>
      <c r="AQJ42" s="119"/>
      <c r="AQK42" s="119"/>
      <c r="AQL42" s="119"/>
      <c r="AQM42" s="119"/>
      <c r="AQN42" s="119"/>
      <c r="AQO42" s="119"/>
      <c r="AQP42" s="119"/>
      <c r="AQQ42" s="119"/>
      <c r="AQR42" s="119"/>
      <c r="AQS42" s="119"/>
      <c r="AQT42" s="119"/>
      <c r="AQU42" s="119"/>
      <c r="AQV42" s="119"/>
      <c r="AQW42" s="119"/>
      <c r="AQX42" s="119"/>
      <c r="AQY42" s="119"/>
      <c r="AQZ42" s="119"/>
      <c r="ARA42" s="119"/>
      <c r="ARB42" s="119"/>
      <c r="ARC42" s="119"/>
      <c r="ARD42" s="119"/>
      <c r="ARE42" s="119"/>
      <c r="ARF42" s="119"/>
      <c r="ARG42" s="119"/>
      <c r="ARH42" s="119"/>
      <c r="ARI42" s="119"/>
      <c r="ARJ42" s="119"/>
      <c r="ARK42" s="119"/>
      <c r="ARL42" s="119"/>
      <c r="ARM42" s="119"/>
      <c r="ARN42" s="119"/>
      <c r="ARO42" s="119"/>
      <c r="ARP42" s="119"/>
      <c r="ARQ42" s="119"/>
      <c r="ARR42" s="119"/>
      <c r="ARS42" s="119"/>
      <c r="ART42" s="119"/>
      <c r="ARU42" s="119"/>
      <c r="ARV42" s="119"/>
      <c r="ARW42" s="119"/>
      <c r="ARX42" s="119"/>
      <c r="ARY42" s="119"/>
      <c r="ARZ42" s="119"/>
      <c r="ASA42" s="119"/>
      <c r="ASB42" s="119"/>
      <c r="ASC42" s="119"/>
      <c r="ASD42" s="119"/>
      <c r="ASE42" s="119"/>
      <c r="ASF42" s="119"/>
      <c r="ASG42" s="119"/>
      <c r="ASH42" s="119"/>
      <c r="ASI42" s="119"/>
      <c r="ASJ42" s="119"/>
      <c r="ASK42" s="119"/>
      <c r="ASL42" s="119"/>
      <c r="ASM42" s="119"/>
      <c r="ASN42" s="119"/>
      <c r="ASO42" s="119"/>
      <c r="ASP42" s="119"/>
      <c r="ASQ42" s="119"/>
      <c r="ASR42" s="119"/>
      <c r="ASS42" s="119"/>
      <c r="AST42" s="119"/>
      <c r="ASU42" s="119"/>
      <c r="ASV42" s="119"/>
      <c r="ASW42" s="119"/>
      <c r="ASX42" s="119"/>
      <c r="ASY42" s="119"/>
      <c r="ASZ42" s="119"/>
      <c r="ATA42" s="119"/>
      <c r="ATB42" s="119"/>
      <c r="ATC42" s="119"/>
      <c r="ATD42" s="119"/>
      <c r="ATE42" s="119"/>
      <c r="ATF42" s="119"/>
      <c r="ATG42" s="119"/>
      <c r="ATH42" s="119"/>
      <c r="ATI42" s="119"/>
      <c r="ATJ42" s="119"/>
      <c r="ATK42" s="119"/>
      <c r="ATL42" s="119"/>
      <c r="ATM42" s="119"/>
      <c r="ATN42" s="119"/>
      <c r="ATO42" s="119"/>
      <c r="ATP42" s="119"/>
      <c r="ATQ42" s="119"/>
      <c r="ATR42" s="119"/>
      <c r="ATS42" s="119"/>
      <c r="ATT42" s="119"/>
      <c r="ATU42" s="119"/>
      <c r="ATV42" s="119"/>
      <c r="ATW42" s="119"/>
      <c r="ATX42" s="119"/>
      <c r="ATY42" s="119"/>
      <c r="ATZ42" s="119"/>
      <c r="AUA42" s="119"/>
      <c r="AUB42" s="119"/>
      <c r="AUC42" s="119"/>
      <c r="AUD42" s="119"/>
      <c r="AUE42" s="119"/>
      <c r="AUF42" s="119"/>
      <c r="AUG42" s="119"/>
      <c r="AUH42" s="119"/>
      <c r="AUI42" s="119"/>
      <c r="AUJ42" s="119"/>
      <c r="AUK42" s="119"/>
      <c r="AUL42" s="119"/>
      <c r="AUM42" s="119"/>
      <c r="AUN42" s="119"/>
      <c r="AUO42" s="119"/>
      <c r="AUP42" s="119"/>
      <c r="AUQ42" s="119"/>
      <c r="AUR42" s="119"/>
      <c r="AUS42" s="119"/>
      <c r="AUT42" s="119"/>
      <c r="AUU42" s="119"/>
      <c r="AUV42" s="119"/>
      <c r="AUW42" s="119"/>
      <c r="AUX42" s="119"/>
      <c r="AUY42" s="119"/>
      <c r="AUZ42" s="119"/>
      <c r="AVA42" s="119"/>
      <c r="AVB42" s="119"/>
      <c r="AVC42" s="119"/>
      <c r="AVD42" s="119"/>
      <c r="AVE42" s="119"/>
      <c r="AVF42" s="119"/>
      <c r="AVG42" s="119"/>
      <c r="AVH42" s="119"/>
      <c r="AVI42" s="119"/>
      <c r="AVJ42" s="119"/>
      <c r="AVK42" s="119"/>
      <c r="AVL42" s="119"/>
      <c r="AVM42" s="119"/>
      <c r="AVN42" s="119"/>
      <c r="AVO42" s="119"/>
      <c r="AVP42" s="119"/>
      <c r="AVQ42" s="119"/>
      <c r="AVR42" s="119"/>
      <c r="AVS42" s="119"/>
      <c r="AVT42" s="119"/>
      <c r="AVU42" s="119"/>
      <c r="AVV42" s="119"/>
      <c r="AVW42" s="119"/>
      <c r="AVX42" s="119"/>
      <c r="AVY42" s="119"/>
      <c r="AVZ42" s="119"/>
      <c r="AWA42" s="119"/>
      <c r="AWB42" s="119"/>
      <c r="AWC42" s="119"/>
      <c r="AWD42" s="119"/>
      <c r="AWE42" s="119"/>
      <c r="AWF42" s="119"/>
      <c r="AWG42" s="119"/>
      <c r="AWH42" s="119"/>
      <c r="AWI42" s="119"/>
      <c r="AWJ42" s="119"/>
      <c r="AWK42" s="119"/>
      <c r="AWL42" s="119"/>
      <c r="AWM42" s="119"/>
      <c r="AWN42" s="119"/>
      <c r="AWO42" s="119"/>
      <c r="AWP42" s="119"/>
      <c r="AWQ42" s="119"/>
      <c r="AWR42" s="119"/>
      <c r="AWS42" s="119"/>
      <c r="AWT42" s="119"/>
      <c r="AWU42" s="119"/>
      <c r="AWV42" s="119"/>
      <c r="AWW42" s="119"/>
      <c r="AWX42" s="119"/>
      <c r="AWY42" s="119"/>
      <c r="AWZ42" s="119"/>
      <c r="AXA42" s="119"/>
      <c r="AXB42" s="119"/>
      <c r="AXC42" s="119"/>
      <c r="AXD42" s="119"/>
      <c r="AXE42" s="119"/>
      <c r="AXF42" s="119"/>
      <c r="AXG42" s="119"/>
      <c r="AXH42" s="119"/>
      <c r="AXI42" s="119"/>
      <c r="AXJ42" s="119"/>
      <c r="AXK42" s="119"/>
      <c r="AXL42" s="119"/>
      <c r="AXM42" s="119"/>
      <c r="AXN42" s="119"/>
      <c r="AXO42" s="119"/>
      <c r="AXP42" s="119"/>
      <c r="AXQ42" s="119"/>
      <c r="AXR42" s="119"/>
      <c r="AXS42" s="119"/>
      <c r="AXT42" s="119"/>
      <c r="AXU42" s="119"/>
      <c r="AXV42" s="119"/>
      <c r="AXW42" s="119"/>
      <c r="AXX42" s="119"/>
      <c r="AXY42" s="119"/>
      <c r="AXZ42" s="119"/>
      <c r="AYA42" s="119"/>
      <c r="AYB42" s="119"/>
      <c r="AYC42" s="119"/>
      <c r="AYD42" s="119"/>
      <c r="AYE42" s="119"/>
      <c r="AYF42" s="119"/>
      <c r="AYG42" s="119"/>
      <c r="AYH42" s="119"/>
      <c r="AYI42" s="119"/>
      <c r="AYJ42" s="119"/>
      <c r="AYK42" s="119"/>
      <c r="AYL42" s="119"/>
      <c r="AYM42" s="119"/>
      <c r="AYN42" s="119"/>
      <c r="AYO42" s="119"/>
      <c r="AYP42" s="119"/>
      <c r="AYQ42" s="119"/>
      <c r="AYR42" s="119"/>
      <c r="AYS42" s="119"/>
      <c r="AYT42" s="119"/>
      <c r="AYU42" s="119"/>
      <c r="AYV42" s="119"/>
      <c r="AYW42" s="119"/>
      <c r="AYX42" s="119"/>
      <c r="AYY42" s="119"/>
      <c r="AYZ42" s="119"/>
      <c r="AZA42" s="119"/>
      <c r="AZB42" s="119"/>
      <c r="AZC42" s="119"/>
      <c r="AZD42" s="119"/>
      <c r="AZE42" s="119"/>
      <c r="AZF42" s="119"/>
      <c r="AZG42" s="119"/>
      <c r="AZH42" s="119"/>
      <c r="AZI42" s="119"/>
      <c r="AZJ42" s="119"/>
      <c r="AZK42" s="119"/>
      <c r="AZL42" s="119"/>
      <c r="AZM42" s="119"/>
      <c r="AZN42" s="119"/>
      <c r="AZO42" s="119"/>
      <c r="AZP42" s="119"/>
      <c r="AZQ42" s="119"/>
      <c r="AZR42" s="119"/>
      <c r="AZS42" s="119"/>
      <c r="AZT42" s="119"/>
      <c r="AZU42" s="119"/>
      <c r="AZV42" s="119"/>
      <c r="AZW42" s="119"/>
      <c r="AZX42" s="119"/>
      <c r="AZY42" s="119"/>
      <c r="AZZ42" s="119"/>
      <c r="BAA42" s="119"/>
      <c r="BAB42" s="119"/>
      <c r="BAC42" s="119"/>
      <c r="BAD42" s="119"/>
      <c r="BAE42" s="119"/>
      <c r="BAF42" s="119"/>
      <c r="BAG42" s="119"/>
      <c r="BAH42" s="119"/>
      <c r="BAI42" s="119"/>
      <c r="BAJ42" s="119"/>
      <c r="BAK42" s="119"/>
      <c r="BAL42" s="119"/>
      <c r="BAM42" s="119"/>
      <c r="BAN42" s="119"/>
      <c r="BAO42" s="119"/>
      <c r="BAP42" s="119"/>
      <c r="BAQ42" s="119"/>
      <c r="BAR42" s="119"/>
      <c r="BAS42" s="119"/>
      <c r="BAT42" s="119"/>
      <c r="BAU42" s="119"/>
      <c r="BAV42" s="119"/>
      <c r="BAW42" s="119"/>
      <c r="BAX42" s="119"/>
      <c r="BAY42" s="119"/>
      <c r="BAZ42" s="119"/>
      <c r="BBA42" s="119"/>
      <c r="BBB42" s="119"/>
      <c r="BBC42" s="119"/>
      <c r="BBD42" s="119"/>
      <c r="BBE42" s="119"/>
      <c r="BBF42" s="119"/>
      <c r="BBG42" s="119"/>
      <c r="BBH42" s="119"/>
      <c r="BBI42" s="119"/>
      <c r="BBJ42" s="119"/>
      <c r="BBK42" s="119"/>
      <c r="BBL42" s="119"/>
      <c r="BBM42" s="119"/>
      <c r="BBN42" s="119"/>
      <c r="BBO42" s="119"/>
      <c r="BBP42" s="119"/>
      <c r="BBQ42" s="119"/>
      <c r="BBR42" s="119"/>
      <c r="BBS42" s="119"/>
      <c r="BBT42" s="119"/>
      <c r="BBU42" s="119"/>
      <c r="BBV42" s="119"/>
      <c r="BBW42" s="119"/>
      <c r="BBX42" s="119"/>
      <c r="BBY42" s="119"/>
      <c r="BBZ42" s="119"/>
      <c r="BCA42" s="119"/>
      <c r="BCB42" s="119"/>
      <c r="BCC42" s="119"/>
      <c r="BCD42" s="119"/>
      <c r="BCE42" s="119"/>
      <c r="BCF42" s="119"/>
      <c r="BCG42" s="119"/>
      <c r="BCH42" s="119"/>
      <c r="BCI42" s="119"/>
      <c r="BCJ42" s="119"/>
      <c r="BCK42" s="119"/>
      <c r="BCL42" s="119"/>
      <c r="BCM42" s="119"/>
      <c r="BCN42" s="119"/>
      <c r="BCO42" s="119"/>
      <c r="BCP42" s="119"/>
      <c r="BCQ42" s="119"/>
      <c r="BCR42" s="119"/>
      <c r="BCS42" s="119"/>
      <c r="BCT42" s="119"/>
      <c r="BCU42" s="119"/>
      <c r="BCV42" s="119"/>
      <c r="BCW42" s="119"/>
      <c r="BCX42" s="119"/>
      <c r="BCY42" s="119"/>
      <c r="BCZ42" s="119"/>
      <c r="BDA42" s="119"/>
      <c r="BDB42" s="119"/>
      <c r="BDC42" s="119"/>
      <c r="BDD42" s="119"/>
      <c r="BDE42" s="119"/>
      <c r="BDF42" s="119"/>
      <c r="BDG42" s="119"/>
      <c r="BDH42" s="119"/>
      <c r="BDI42" s="119"/>
      <c r="BDJ42" s="119"/>
      <c r="BDK42" s="119"/>
      <c r="BDL42" s="119"/>
      <c r="BDM42" s="119"/>
      <c r="BDN42" s="119"/>
      <c r="BDO42" s="119"/>
      <c r="BDP42" s="119"/>
      <c r="BDQ42" s="119"/>
      <c r="BDR42" s="119"/>
      <c r="BDS42" s="119"/>
      <c r="BDT42" s="119"/>
      <c r="BDU42" s="119"/>
      <c r="BDV42" s="119"/>
      <c r="BDW42" s="119"/>
      <c r="BDX42" s="119"/>
      <c r="BDY42" s="119"/>
      <c r="BDZ42" s="119"/>
      <c r="BEA42" s="119"/>
      <c r="BEB42" s="119"/>
      <c r="BEC42" s="119"/>
      <c r="BED42" s="119"/>
      <c r="BEE42" s="119"/>
      <c r="BEF42" s="119"/>
      <c r="BEG42" s="119"/>
      <c r="BEH42" s="119"/>
      <c r="BEI42" s="119"/>
      <c r="BEJ42" s="119"/>
      <c r="BEK42" s="119"/>
      <c r="BEL42" s="119"/>
      <c r="BEM42" s="119"/>
      <c r="BEN42" s="119"/>
      <c r="BEO42" s="119"/>
      <c r="BEP42" s="119"/>
      <c r="BEQ42" s="119"/>
      <c r="BER42" s="119"/>
      <c r="BES42" s="119"/>
      <c r="BET42" s="119"/>
      <c r="BEU42" s="119"/>
      <c r="BEV42" s="119"/>
      <c r="BEW42" s="119"/>
      <c r="BEX42" s="119"/>
      <c r="BEY42" s="119"/>
      <c r="BEZ42" s="119"/>
      <c r="BFA42" s="119"/>
      <c r="BFB42" s="119"/>
      <c r="BFC42" s="119"/>
      <c r="BFD42" s="119"/>
      <c r="BFE42" s="119"/>
      <c r="BFF42" s="119"/>
      <c r="BFG42" s="119"/>
      <c r="BFH42" s="119"/>
      <c r="BFI42" s="119"/>
      <c r="BFJ42" s="119"/>
      <c r="BFK42" s="119"/>
      <c r="BFL42" s="119"/>
      <c r="BFM42" s="119"/>
      <c r="BFN42" s="119"/>
      <c r="BFO42" s="119"/>
      <c r="BFP42" s="119"/>
      <c r="BFQ42" s="119"/>
      <c r="BFR42" s="119"/>
      <c r="BFS42" s="119"/>
      <c r="BFT42" s="119"/>
      <c r="BFU42" s="119"/>
      <c r="BFV42" s="119"/>
      <c r="BFW42" s="119"/>
      <c r="BFX42" s="119"/>
      <c r="BFY42" s="119"/>
      <c r="BFZ42" s="119"/>
      <c r="BGA42" s="119"/>
      <c r="BGB42" s="119"/>
      <c r="BGC42" s="119"/>
      <c r="BGD42" s="119"/>
      <c r="BGE42" s="119"/>
      <c r="BGF42" s="119"/>
      <c r="BGG42" s="119"/>
      <c r="BGH42" s="119"/>
      <c r="BGI42" s="119"/>
      <c r="BGJ42" s="119"/>
      <c r="BGK42" s="119"/>
      <c r="BGL42" s="119"/>
      <c r="BGM42" s="119"/>
      <c r="BGN42" s="119"/>
      <c r="BGO42" s="119"/>
      <c r="BGP42" s="119"/>
      <c r="BGQ42" s="119"/>
      <c r="BGR42" s="119"/>
      <c r="BGS42" s="119"/>
      <c r="BGT42" s="119"/>
      <c r="BGU42" s="119"/>
      <c r="BGV42" s="119"/>
      <c r="BGW42" s="119"/>
      <c r="BGX42" s="119"/>
      <c r="BGY42" s="119"/>
      <c r="BGZ42" s="119"/>
      <c r="BHA42" s="119"/>
      <c r="BHB42" s="119"/>
      <c r="BHC42" s="119"/>
      <c r="BHD42" s="119"/>
      <c r="BHE42" s="119"/>
      <c r="BHF42" s="119"/>
      <c r="BHG42" s="119"/>
      <c r="BHH42" s="119"/>
      <c r="BHI42" s="119"/>
      <c r="BHJ42" s="119"/>
      <c r="BHK42" s="119"/>
      <c r="BHL42" s="119"/>
      <c r="BHM42" s="119"/>
      <c r="BHN42" s="119"/>
      <c r="BHO42" s="119"/>
      <c r="BHP42" s="119"/>
      <c r="BHQ42" s="119"/>
      <c r="BHR42" s="119"/>
      <c r="BHS42" s="119"/>
      <c r="BHT42" s="119"/>
      <c r="BHU42" s="119"/>
      <c r="BHV42" s="119"/>
      <c r="BHW42" s="119"/>
      <c r="BHX42" s="119"/>
      <c r="BHY42" s="119"/>
      <c r="BHZ42" s="119"/>
      <c r="BIA42" s="119"/>
      <c r="BIB42" s="119"/>
      <c r="BIC42" s="119"/>
      <c r="BID42" s="119"/>
      <c r="BIE42" s="119"/>
      <c r="BIF42" s="119"/>
      <c r="BIG42" s="119"/>
      <c r="BIH42" s="119"/>
      <c r="BII42" s="119"/>
      <c r="BIJ42" s="119"/>
      <c r="BIK42" s="119"/>
      <c r="BIL42" s="119"/>
      <c r="BIM42" s="119"/>
      <c r="BIN42" s="119"/>
      <c r="BIO42" s="119"/>
      <c r="BIP42" s="119"/>
      <c r="BIQ42" s="119"/>
      <c r="BIR42" s="119"/>
      <c r="BIS42" s="119"/>
      <c r="BIT42" s="119"/>
      <c r="BIU42" s="119"/>
      <c r="BIV42" s="119"/>
      <c r="BIW42" s="119"/>
      <c r="BIX42" s="119"/>
      <c r="BIY42" s="119"/>
      <c r="BIZ42" s="119"/>
      <c r="BJA42" s="119"/>
      <c r="BJB42" s="119"/>
      <c r="BJC42" s="119"/>
      <c r="BJD42" s="119"/>
      <c r="BJE42" s="119"/>
      <c r="BJF42" s="119"/>
      <c r="BJG42" s="119"/>
      <c r="BJH42" s="119"/>
      <c r="BJI42" s="119"/>
      <c r="BJJ42" s="119"/>
      <c r="BJK42" s="119"/>
      <c r="BJL42" s="119"/>
      <c r="BJM42" s="119"/>
      <c r="BJN42" s="119"/>
      <c r="BJO42" s="119"/>
      <c r="BJP42" s="119"/>
      <c r="BJQ42" s="119"/>
      <c r="BJR42" s="119"/>
      <c r="BJS42" s="119"/>
      <c r="BJT42" s="119"/>
      <c r="BJU42" s="119"/>
      <c r="BJV42" s="119"/>
      <c r="BJW42" s="119"/>
      <c r="BJX42" s="119"/>
      <c r="BJY42" s="119"/>
      <c r="BJZ42" s="119"/>
      <c r="BKA42" s="119"/>
      <c r="BKB42" s="119"/>
      <c r="BKC42" s="119"/>
      <c r="BKD42" s="119"/>
      <c r="BKE42" s="119"/>
      <c r="BKF42" s="119"/>
      <c r="BKG42" s="119"/>
      <c r="BKH42" s="119"/>
      <c r="BKI42" s="119"/>
      <c r="BKJ42" s="119"/>
      <c r="BKK42" s="119"/>
      <c r="BKL42" s="119"/>
      <c r="BKM42" s="119"/>
      <c r="BKN42" s="119"/>
      <c r="BKO42" s="119"/>
      <c r="BKP42" s="119"/>
      <c r="BKQ42" s="119"/>
      <c r="BKR42" s="119"/>
      <c r="BKS42" s="119"/>
      <c r="BKT42" s="119"/>
      <c r="BKU42" s="119"/>
      <c r="BKV42" s="119"/>
      <c r="BKW42" s="119"/>
      <c r="BKX42" s="119"/>
      <c r="BKY42" s="119"/>
      <c r="BKZ42" s="119"/>
      <c r="BLA42" s="119"/>
      <c r="BLB42" s="119"/>
      <c r="BLC42" s="119"/>
      <c r="BLD42" s="119"/>
      <c r="BLE42" s="119"/>
      <c r="BLF42" s="119"/>
      <c r="BLG42" s="119"/>
      <c r="BLH42" s="119"/>
      <c r="BLI42" s="119"/>
      <c r="BLJ42" s="119"/>
      <c r="BLK42" s="119"/>
      <c r="BLL42" s="119"/>
      <c r="BLM42" s="119"/>
      <c r="BLN42" s="119"/>
      <c r="BLO42" s="119"/>
      <c r="BLP42" s="119"/>
      <c r="BLQ42" s="119"/>
      <c r="BLR42" s="119"/>
      <c r="BLS42" s="119"/>
      <c r="BLT42" s="119"/>
      <c r="BLU42" s="119"/>
      <c r="BLV42" s="119"/>
      <c r="BLW42" s="119"/>
      <c r="BLX42" s="119"/>
      <c r="BLY42" s="119"/>
      <c r="BLZ42" s="119"/>
      <c r="BMA42" s="119"/>
      <c r="BMB42" s="119"/>
      <c r="BMC42" s="119"/>
      <c r="BMD42" s="119"/>
      <c r="BME42" s="119"/>
      <c r="BMF42" s="119"/>
      <c r="BMG42" s="119"/>
      <c r="BMH42" s="119"/>
      <c r="BMI42" s="119"/>
      <c r="BMJ42" s="119"/>
      <c r="BMK42" s="119"/>
      <c r="BML42" s="119"/>
      <c r="BMM42" s="119"/>
      <c r="BMN42" s="119"/>
      <c r="BMO42" s="119"/>
      <c r="BMP42" s="119"/>
      <c r="BMQ42" s="119"/>
      <c r="BMR42" s="119"/>
      <c r="BMS42" s="119"/>
      <c r="BMT42" s="119"/>
      <c r="BMU42" s="119"/>
      <c r="BMV42" s="119"/>
      <c r="BMW42" s="119"/>
      <c r="BMX42" s="119"/>
      <c r="BMY42" s="119"/>
      <c r="BMZ42" s="119"/>
      <c r="BNA42" s="119"/>
      <c r="BNB42" s="119"/>
      <c r="BNC42" s="119"/>
      <c r="BND42" s="119"/>
      <c r="BNE42" s="119"/>
      <c r="BNF42" s="119"/>
      <c r="BNG42" s="119"/>
      <c r="BNH42" s="119"/>
      <c r="BNI42" s="119"/>
      <c r="BNJ42" s="119"/>
      <c r="BNK42" s="119"/>
      <c r="BNL42" s="119"/>
      <c r="BNM42" s="119"/>
      <c r="BNN42" s="119"/>
      <c r="BNO42" s="119"/>
      <c r="BNP42" s="119"/>
      <c r="BNQ42" s="119"/>
      <c r="BNR42" s="119"/>
      <c r="BNS42" s="119"/>
      <c r="BNT42" s="119"/>
      <c r="BNU42" s="119"/>
      <c r="BNV42" s="119"/>
      <c r="BNW42" s="119"/>
      <c r="BNX42" s="119"/>
      <c r="BNY42" s="119"/>
      <c r="BNZ42" s="119"/>
      <c r="BOA42" s="119"/>
      <c r="BOB42" s="119"/>
      <c r="BOC42" s="119"/>
      <c r="BOD42" s="119"/>
      <c r="BOE42" s="119"/>
      <c r="BOF42" s="119"/>
      <c r="BOG42" s="119"/>
      <c r="BOH42" s="119"/>
      <c r="BOI42" s="119"/>
      <c r="BOJ42" s="119"/>
      <c r="BOK42" s="119"/>
      <c r="BOL42" s="119"/>
      <c r="BOM42" s="119"/>
      <c r="BON42" s="119"/>
      <c r="BOO42" s="119"/>
      <c r="BOP42" s="119"/>
      <c r="BOQ42" s="119"/>
      <c r="BOR42" s="119"/>
      <c r="BOS42" s="119"/>
      <c r="BOT42" s="119"/>
      <c r="BOU42" s="119"/>
      <c r="BOV42" s="119"/>
      <c r="BOW42" s="119"/>
      <c r="BOX42" s="119"/>
      <c r="BOY42" s="119"/>
      <c r="BOZ42" s="119"/>
      <c r="BPA42" s="119"/>
      <c r="BPB42" s="119"/>
      <c r="BPC42" s="119"/>
      <c r="BPD42" s="119"/>
      <c r="BPE42" s="119"/>
      <c r="BPF42" s="119"/>
      <c r="BPG42" s="119"/>
      <c r="BPH42" s="119"/>
      <c r="BPI42" s="119"/>
      <c r="BPJ42" s="119"/>
      <c r="BPK42" s="119"/>
      <c r="BPL42" s="119"/>
      <c r="BPM42" s="119"/>
      <c r="BPN42" s="119"/>
      <c r="BPO42" s="119"/>
      <c r="BPP42" s="119"/>
      <c r="BPQ42" s="119"/>
      <c r="BPR42" s="119"/>
      <c r="BPS42" s="119"/>
      <c r="BPT42" s="119"/>
      <c r="BPU42" s="119"/>
      <c r="BPV42" s="119"/>
      <c r="BPW42" s="119"/>
      <c r="BPX42" s="119"/>
      <c r="BPY42" s="119"/>
      <c r="BPZ42" s="119"/>
      <c r="BQA42" s="119"/>
      <c r="BQB42" s="119"/>
      <c r="BQC42" s="119"/>
      <c r="BQD42" s="119"/>
      <c r="BQE42" s="119"/>
      <c r="BQF42" s="119"/>
      <c r="BQG42" s="119"/>
      <c r="BQH42" s="119"/>
      <c r="BQI42" s="119"/>
      <c r="BQJ42" s="119"/>
      <c r="BQK42" s="119"/>
      <c r="BQL42" s="119"/>
      <c r="BQM42" s="119"/>
      <c r="BQN42" s="119"/>
      <c r="BQO42" s="119"/>
      <c r="BQP42" s="119"/>
      <c r="BQQ42" s="119"/>
      <c r="BQR42" s="119"/>
      <c r="BQS42" s="119"/>
      <c r="BQT42" s="119"/>
      <c r="BQU42" s="119"/>
      <c r="BQV42" s="119"/>
      <c r="BQW42" s="119"/>
      <c r="BQX42" s="119"/>
      <c r="BQY42" s="119"/>
      <c r="BQZ42" s="119"/>
      <c r="BRA42" s="119"/>
      <c r="BRB42" s="119"/>
      <c r="BRC42" s="119"/>
      <c r="BRD42" s="119"/>
      <c r="BRE42" s="119"/>
      <c r="BRF42" s="119"/>
      <c r="BRG42" s="119"/>
      <c r="BRH42" s="119"/>
      <c r="BRI42" s="119"/>
      <c r="BRJ42" s="119"/>
      <c r="BRK42" s="119"/>
      <c r="BRL42" s="119"/>
      <c r="BRM42" s="119"/>
      <c r="BRN42" s="119"/>
      <c r="BRO42" s="119"/>
      <c r="BRP42" s="119"/>
      <c r="BRQ42" s="119"/>
      <c r="BRR42" s="119"/>
      <c r="BRS42" s="119"/>
      <c r="BRT42" s="119"/>
      <c r="BRU42" s="119"/>
      <c r="BRV42" s="119"/>
      <c r="BRW42" s="119"/>
      <c r="BRX42" s="119"/>
      <c r="BRY42" s="119"/>
      <c r="BRZ42" s="119"/>
      <c r="BSA42" s="119"/>
      <c r="BSB42" s="119"/>
      <c r="BSC42" s="119"/>
      <c r="BSD42" s="119"/>
      <c r="BSE42" s="119"/>
      <c r="BSF42" s="119"/>
      <c r="BSG42" s="119"/>
      <c r="BSH42" s="119"/>
      <c r="BSI42" s="119"/>
      <c r="BSJ42" s="119"/>
      <c r="BSK42" s="119"/>
      <c r="BSL42" s="119"/>
      <c r="BSM42" s="119"/>
      <c r="BSN42" s="119"/>
      <c r="BSO42" s="119"/>
      <c r="BSP42" s="119"/>
      <c r="BSQ42" s="119"/>
      <c r="BSR42" s="119"/>
      <c r="BSS42" s="119"/>
      <c r="BST42" s="119"/>
      <c r="BSU42" s="119"/>
      <c r="BSV42" s="119"/>
      <c r="BSW42" s="119"/>
      <c r="BSX42" s="119"/>
      <c r="BSY42" s="119"/>
      <c r="BSZ42" s="119"/>
      <c r="BTA42" s="119"/>
      <c r="BTB42" s="119"/>
      <c r="BTC42" s="119"/>
      <c r="BTD42" s="119"/>
      <c r="BTE42" s="119"/>
      <c r="BTF42" s="119"/>
      <c r="BTG42" s="119"/>
      <c r="BTH42" s="119"/>
      <c r="BTI42" s="119"/>
      <c r="BTJ42" s="119"/>
      <c r="BTK42" s="119"/>
      <c r="BTL42" s="119"/>
      <c r="BTM42" s="119"/>
      <c r="BTN42" s="119"/>
      <c r="BTO42" s="119"/>
      <c r="BTP42" s="119"/>
      <c r="BTQ42" s="119"/>
      <c r="BTR42" s="119"/>
      <c r="BTS42" s="119"/>
      <c r="BTT42" s="119"/>
      <c r="BTU42" s="119"/>
      <c r="BTV42" s="119"/>
      <c r="BTW42" s="119"/>
      <c r="BTX42" s="119"/>
      <c r="BTY42" s="119"/>
      <c r="BTZ42" s="119"/>
      <c r="BUA42" s="119"/>
      <c r="BUB42" s="119"/>
      <c r="BUC42" s="119"/>
      <c r="BUD42" s="119"/>
      <c r="BUE42" s="119"/>
      <c r="BUF42" s="119"/>
      <c r="BUG42" s="119"/>
      <c r="BUH42" s="119"/>
      <c r="BUI42" s="119"/>
      <c r="BUJ42" s="119"/>
      <c r="BUK42" s="119"/>
      <c r="BUL42" s="119"/>
      <c r="BUM42" s="119"/>
      <c r="BUN42" s="119"/>
      <c r="BUO42" s="119"/>
      <c r="BUP42" s="119"/>
      <c r="BUQ42" s="119"/>
      <c r="BUR42" s="119"/>
      <c r="BUS42" s="119"/>
      <c r="BUT42" s="119"/>
      <c r="BUU42" s="119"/>
      <c r="BUV42" s="119"/>
      <c r="BUW42" s="119"/>
      <c r="BUX42" s="119"/>
      <c r="BUY42" s="119"/>
      <c r="BUZ42" s="119"/>
      <c r="BVA42" s="119"/>
      <c r="BVB42" s="119"/>
      <c r="BVC42" s="119"/>
      <c r="BVD42" s="119"/>
      <c r="BVE42" s="119"/>
      <c r="BVF42" s="119"/>
      <c r="BVG42" s="119"/>
      <c r="BVH42" s="119"/>
      <c r="BVI42" s="119"/>
      <c r="BVJ42" s="119"/>
      <c r="BVK42" s="119"/>
      <c r="BVL42" s="119"/>
      <c r="BVM42" s="119"/>
      <c r="BVN42" s="119"/>
      <c r="BVO42" s="119"/>
      <c r="BVP42" s="119"/>
      <c r="BVQ42" s="119"/>
      <c r="BVR42" s="119"/>
      <c r="BVS42" s="119"/>
      <c r="BVT42" s="119"/>
      <c r="BVU42" s="119"/>
      <c r="BVV42" s="119"/>
      <c r="BVW42" s="119"/>
      <c r="BVX42" s="119"/>
      <c r="BVY42" s="119"/>
      <c r="BVZ42" s="119"/>
      <c r="BWA42" s="119"/>
      <c r="BWB42" s="119"/>
      <c r="BWC42" s="119"/>
      <c r="BWD42" s="119"/>
      <c r="BWE42" s="119"/>
      <c r="BWF42" s="119"/>
      <c r="BWG42" s="119"/>
      <c r="BWH42" s="119"/>
      <c r="BWI42" s="119"/>
      <c r="BWJ42" s="119"/>
      <c r="BWK42" s="119"/>
      <c r="BWL42" s="119"/>
      <c r="BWM42" s="119"/>
      <c r="BWN42" s="119"/>
      <c r="BWO42" s="119"/>
      <c r="BWP42" s="119"/>
      <c r="BWQ42" s="119"/>
      <c r="BWR42" s="119"/>
      <c r="BWS42" s="119"/>
      <c r="BWT42" s="119"/>
      <c r="BWU42" s="119"/>
      <c r="BWV42" s="119"/>
      <c r="BWW42" s="119"/>
      <c r="BWX42" s="119"/>
      <c r="BWY42" s="119"/>
      <c r="BWZ42" s="119"/>
      <c r="BXA42" s="119"/>
      <c r="BXB42" s="119"/>
      <c r="BXC42" s="119"/>
      <c r="BXD42" s="119"/>
      <c r="BXE42" s="119"/>
      <c r="BXF42" s="119"/>
      <c r="BXG42" s="119"/>
      <c r="BXH42" s="119"/>
      <c r="BXI42" s="119"/>
      <c r="BXJ42" s="119"/>
      <c r="BXK42" s="119"/>
      <c r="BXL42" s="119"/>
      <c r="BXM42" s="119"/>
      <c r="BXN42" s="119"/>
      <c r="BXO42" s="119"/>
      <c r="BXP42" s="119"/>
      <c r="BXQ42" s="119"/>
      <c r="BXR42" s="119"/>
      <c r="BXS42" s="119"/>
      <c r="BXT42" s="119"/>
      <c r="BXU42" s="119"/>
      <c r="BXV42" s="119"/>
      <c r="BXW42" s="119"/>
      <c r="BXX42" s="119"/>
      <c r="BXY42" s="119"/>
      <c r="BXZ42" s="119"/>
      <c r="BYA42" s="119"/>
      <c r="BYB42" s="119"/>
      <c r="BYC42" s="119"/>
      <c r="BYD42" s="119"/>
      <c r="BYE42" s="119"/>
      <c r="BYF42" s="119"/>
      <c r="BYG42" s="119"/>
      <c r="BYH42" s="119"/>
      <c r="BYI42" s="119"/>
      <c r="BYJ42" s="119"/>
      <c r="BYK42" s="119"/>
      <c r="BYL42" s="119"/>
      <c r="BYM42" s="119"/>
      <c r="BYN42" s="119"/>
      <c r="BYO42" s="119"/>
      <c r="BYP42" s="119"/>
      <c r="BYQ42" s="119"/>
      <c r="BYR42" s="119"/>
      <c r="BYS42" s="119"/>
      <c r="BYT42" s="119"/>
      <c r="BYU42" s="119"/>
      <c r="BYV42" s="119"/>
      <c r="BYW42" s="119"/>
      <c r="BYX42" s="119"/>
      <c r="BYY42" s="119"/>
      <c r="BYZ42" s="119"/>
      <c r="BZA42" s="119"/>
      <c r="BZB42" s="119"/>
      <c r="BZC42" s="119"/>
      <c r="BZD42" s="119"/>
      <c r="BZE42" s="119"/>
      <c r="BZF42" s="119"/>
      <c r="BZG42" s="119"/>
      <c r="BZH42" s="119"/>
      <c r="BZI42" s="119"/>
      <c r="BZJ42" s="119"/>
      <c r="BZK42" s="119"/>
      <c r="BZL42" s="119"/>
      <c r="BZM42" s="119"/>
      <c r="BZN42" s="119"/>
      <c r="BZO42" s="119"/>
      <c r="BZP42" s="119"/>
      <c r="BZQ42" s="119"/>
      <c r="BZR42" s="119"/>
      <c r="BZS42" s="119"/>
      <c r="BZT42" s="119"/>
      <c r="BZU42" s="119"/>
      <c r="BZV42" s="119"/>
      <c r="BZW42" s="119"/>
      <c r="BZX42" s="119"/>
      <c r="BZY42" s="119"/>
      <c r="BZZ42" s="119"/>
      <c r="CAA42" s="119"/>
      <c r="CAB42" s="119"/>
      <c r="CAC42" s="119"/>
      <c r="CAD42" s="119"/>
      <c r="CAE42" s="119"/>
      <c r="CAF42" s="119"/>
      <c r="CAG42" s="119"/>
      <c r="CAH42" s="119"/>
      <c r="CAI42" s="119"/>
      <c r="CAJ42" s="119"/>
      <c r="CAK42" s="119"/>
      <c r="CAL42" s="119"/>
      <c r="CAM42" s="119"/>
      <c r="CAN42" s="119"/>
      <c r="CAO42" s="119"/>
      <c r="CAP42" s="119"/>
      <c r="CAQ42" s="119"/>
      <c r="CAR42" s="119"/>
      <c r="CAS42" s="119"/>
      <c r="CAT42" s="119"/>
      <c r="CAU42" s="119"/>
      <c r="CAV42" s="119"/>
      <c r="CAW42" s="119"/>
      <c r="CAX42" s="119"/>
      <c r="CAY42" s="119"/>
      <c r="CAZ42" s="119"/>
      <c r="CBA42" s="119"/>
      <c r="CBB42" s="119"/>
      <c r="CBC42" s="119"/>
      <c r="CBD42" s="119"/>
      <c r="CBE42" s="119"/>
      <c r="CBF42" s="119"/>
      <c r="CBG42" s="119"/>
      <c r="CBH42" s="119"/>
      <c r="CBI42" s="119"/>
      <c r="CBJ42" s="119"/>
      <c r="CBK42" s="119"/>
      <c r="CBL42" s="119"/>
      <c r="CBM42" s="119"/>
      <c r="CBN42" s="119"/>
      <c r="CBO42" s="119"/>
      <c r="CBP42" s="119"/>
      <c r="CBQ42" s="119"/>
      <c r="CBR42" s="119"/>
      <c r="CBS42" s="119"/>
      <c r="CBT42" s="119"/>
      <c r="CBU42" s="119"/>
      <c r="CBV42" s="119"/>
      <c r="CBW42" s="119"/>
      <c r="CBX42" s="119"/>
      <c r="CBY42" s="119"/>
      <c r="CBZ42" s="119"/>
      <c r="CCA42" s="119"/>
      <c r="CCB42" s="119"/>
      <c r="CCC42" s="119"/>
      <c r="CCD42" s="119"/>
      <c r="CCE42" s="119"/>
      <c r="CCF42" s="119"/>
      <c r="CCG42" s="119"/>
      <c r="CCH42" s="119"/>
      <c r="CCI42" s="119"/>
      <c r="CCJ42" s="119"/>
      <c r="CCK42" s="119"/>
      <c r="CCL42" s="119"/>
      <c r="CCM42" s="119"/>
      <c r="CCN42" s="119"/>
      <c r="CCO42" s="119"/>
      <c r="CCP42" s="119"/>
      <c r="CCQ42" s="119"/>
      <c r="CCR42" s="119"/>
      <c r="CCS42" s="119"/>
      <c r="CCT42" s="119"/>
      <c r="CCU42" s="119"/>
      <c r="CCV42" s="119"/>
      <c r="CCW42" s="119"/>
      <c r="CCX42" s="119"/>
      <c r="CCY42" s="119"/>
      <c r="CCZ42" s="119"/>
      <c r="CDA42" s="119"/>
      <c r="CDB42" s="119"/>
      <c r="CDC42" s="119"/>
      <c r="CDD42" s="119"/>
      <c r="CDE42" s="119"/>
      <c r="CDF42" s="119"/>
      <c r="CDG42" s="119"/>
      <c r="CDH42" s="119"/>
      <c r="CDI42" s="119"/>
      <c r="CDJ42" s="119"/>
      <c r="CDK42" s="119"/>
      <c r="CDL42" s="119"/>
      <c r="CDM42" s="119"/>
      <c r="CDN42" s="119"/>
      <c r="CDO42" s="119"/>
      <c r="CDP42" s="119"/>
      <c r="CDQ42" s="119"/>
      <c r="CDR42" s="119"/>
      <c r="CDS42" s="119"/>
      <c r="CDT42" s="119"/>
      <c r="CDU42" s="119"/>
      <c r="CDV42" s="119"/>
      <c r="CDW42" s="119"/>
      <c r="CDX42" s="119"/>
      <c r="CDY42" s="119"/>
      <c r="CDZ42" s="119"/>
      <c r="CEA42" s="119"/>
      <c r="CEB42" s="119"/>
      <c r="CEC42" s="119"/>
      <c r="CED42" s="119"/>
      <c r="CEE42" s="119"/>
      <c r="CEF42" s="119"/>
      <c r="CEG42" s="119"/>
      <c r="CEH42" s="119"/>
      <c r="CEI42" s="119"/>
      <c r="CEJ42" s="119"/>
      <c r="CEK42" s="119"/>
      <c r="CEL42" s="119"/>
      <c r="CEM42" s="119"/>
      <c r="CEN42" s="119"/>
      <c r="CEO42" s="119"/>
      <c r="CEP42" s="119"/>
      <c r="CEQ42" s="119"/>
      <c r="CER42" s="119"/>
      <c r="CES42" s="119"/>
      <c r="CET42" s="119"/>
      <c r="CEU42" s="119"/>
      <c r="CEV42" s="119"/>
      <c r="CEW42" s="119"/>
      <c r="CEX42" s="119"/>
      <c r="CEY42" s="119"/>
      <c r="CEZ42" s="119"/>
      <c r="CFA42" s="119"/>
      <c r="CFB42" s="119"/>
      <c r="CFC42" s="119"/>
      <c r="CFD42" s="119"/>
      <c r="CFE42" s="119"/>
      <c r="CFF42" s="119"/>
      <c r="CFG42" s="119"/>
      <c r="CFH42" s="119"/>
      <c r="CFI42" s="119"/>
      <c r="CFJ42" s="119"/>
      <c r="CFK42" s="119"/>
      <c r="CFL42" s="119"/>
      <c r="CFM42" s="119"/>
      <c r="CFN42" s="119"/>
      <c r="CFO42" s="119"/>
      <c r="CFP42" s="119"/>
      <c r="CFQ42" s="119"/>
      <c r="CFR42" s="119"/>
      <c r="CFS42" s="119"/>
      <c r="CFT42" s="119"/>
      <c r="CFU42" s="119"/>
      <c r="CFV42" s="119"/>
      <c r="CFW42" s="119"/>
      <c r="CFX42" s="119"/>
      <c r="CFY42" s="119"/>
      <c r="CFZ42" s="119"/>
      <c r="CGA42" s="119"/>
      <c r="CGB42" s="119"/>
      <c r="CGC42" s="119"/>
      <c r="CGD42" s="119"/>
      <c r="CGE42" s="119"/>
      <c r="CGF42" s="119"/>
      <c r="CGG42" s="119"/>
      <c r="CGH42" s="119"/>
      <c r="CGI42" s="119"/>
      <c r="CGJ42" s="119"/>
      <c r="CGK42" s="119"/>
      <c r="CGL42" s="119"/>
      <c r="CGM42" s="119"/>
      <c r="CGN42" s="119"/>
      <c r="CGO42" s="119"/>
      <c r="CGP42" s="119"/>
      <c r="CGQ42" s="119"/>
      <c r="CGR42" s="119"/>
      <c r="CGS42" s="119"/>
      <c r="CGT42" s="119"/>
      <c r="CGU42" s="119"/>
      <c r="CGV42" s="119"/>
      <c r="CGW42" s="119"/>
      <c r="CGX42" s="119"/>
      <c r="CGY42" s="119"/>
      <c r="CGZ42" s="119"/>
      <c r="CHA42" s="119"/>
      <c r="CHB42" s="119"/>
      <c r="CHC42" s="119"/>
      <c r="CHD42" s="119"/>
      <c r="CHE42" s="119"/>
      <c r="CHF42" s="119"/>
      <c r="CHG42" s="119"/>
      <c r="CHH42" s="119"/>
      <c r="CHI42" s="119"/>
      <c r="CHJ42" s="119"/>
      <c r="CHK42" s="119"/>
      <c r="CHL42" s="119"/>
      <c r="CHM42" s="119"/>
      <c r="CHN42" s="119"/>
      <c r="CHO42" s="119"/>
      <c r="CHP42" s="119"/>
      <c r="CHQ42" s="119"/>
      <c r="CHR42" s="119"/>
      <c r="CHS42" s="119"/>
      <c r="CHT42" s="119"/>
      <c r="CHU42" s="119"/>
      <c r="CHV42" s="119"/>
      <c r="CHW42" s="119"/>
      <c r="CHX42" s="119"/>
      <c r="CHY42" s="119"/>
      <c r="CHZ42" s="119"/>
      <c r="CIA42" s="119"/>
      <c r="CIB42" s="119"/>
      <c r="CIC42" s="119"/>
      <c r="CID42" s="119"/>
      <c r="CIE42" s="119"/>
      <c r="CIF42" s="119"/>
      <c r="CIG42" s="119"/>
      <c r="CIH42" s="119"/>
      <c r="CII42" s="119"/>
      <c r="CIJ42" s="119"/>
      <c r="CIK42" s="119"/>
      <c r="CIL42" s="119"/>
      <c r="CIM42" s="119"/>
      <c r="CIN42" s="119"/>
      <c r="CIO42" s="119"/>
      <c r="CIP42" s="119"/>
      <c r="CIQ42" s="119"/>
      <c r="CIR42" s="119"/>
      <c r="CIS42" s="119"/>
      <c r="CIT42" s="119"/>
      <c r="CIU42" s="119"/>
      <c r="CIV42" s="119"/>
      <c r="CIW42" s="119"/>
      <c r="CIX42" s="119"/>
      <c r="CIY42" s="119"/>
      <c r="CIZ42" s="119"/>
      <c r="CJA42" s="119"/>
      <c r="CJB42" s="119"/>
      <c r="CJC42" s="119"/>
      <c r="CJD42" s="119"/>
      <c r="CJE42" s="119"/>
      <c r="CJF42" s="119"/>
      <c r="CJG42" s="119"/>
      <c r="CJH42" s="119"/>
      <c r="CJI42" s="119"/>
      <c r="CJJ42" s="119"/>
      <c r="CJK42" s="119"/>
      <c r="CJL42" s="119"/>
      <c r="CJM42" s="119"/>
      <c r="CJN42" s="119"/>
      <c r="CJO42" s="119"/>
      <c r="CJP42" s="119"/>
      <c r="CJQ42" s="119"/>
      <c r="CJR42" s="119"/>
      <c r="CJS42" s="119"/>
      <c r="CJT42" s="119"/>
      <c r="CJU42" s="119"/>
      <c r="CJV42" s="119"/>
      <c r="CJW42" s="119"/>
      <c r="CJX42" s="119"/>
      <c r="CJY42" s="119"/>
      <c r="CJZ42" s="119"/>
      <c r="CKA42" s="119"/>
      <c r="CKB42" s="119"/>
      <c r="CKC42" s="119"/>
      <c r="CKD42" s="119"/>
      <c r="CKE42" s="119"/>
      <c r="CKF42" s="119"/>
      <c r="CKG42" s="119"/>
      <c r="CKH42" s="119"/>
      <c r="CKI42" s="119"/>
      <c r="CKJ42" s="119"/>
      <c r="CKK42" s="119"/>
      <c r="CKL42" s="119"/>
      <c r="CKM42" s="119"/>
      <c r="CKN42" s="119"/>
      <c r="CKO42" s="119"/>
      <c r="CKP42" s="119"/>
      <c r="CKQ42" s="119"/>
      <c r="CKR42" s="119"/>
      <c r="CKS42" s="119"/>
      <c r="CKT42" s="119"/>
      <c r="CKU42" s="119"/>
      <c r="CKV42" s="119"/>
      <c r="CKW42" s="119"/>
      <c r="CKX42" s="119"/>
      <c r="CKY42" s="119"/>
      <c r="CKZ42" s="119"/>
      <c r="CLA42" s="119"/>
      <c r="CLB42" s="119"/>
      <c r="CLC42" s="119"/>
      <c r="CLD42" s="119"/>
      <c r="CLE42" s="119"/>
      <c r="CLF42" s="119"/>
      <c r="CLG42" s="119"/>
      <c r="CLH42" s="119"/>
      <c r="CLI42" s="119"/>
      <c r="CLJ42" s="119"/>
      <c r="CLK42" s="119"/>
      <c r="CLL42" s="119"/>
      <c r="CLM42" s="119"/>
      <c r="CLN42" s="119"/>
      <c r="CLO42" s="119"/>
      <c r="CLP42" s="119"/>
      <c r="CLQ42" s="119"/>
      <c r="CLR42" s="119"/>
      <c r="CLS42" s="119"/>
      <c r="CLT42" s="119"/>
      <c r="CLU42" s="119"/>
      <c r="CLV42" s="119"/>
      <c r="CLW42" s="119"/>
      <c r="CLX42" s="119"/>
      <c r="CLY42" s="119"/>
      <c r="CLZ42" s="119"/>
      <c r="CMA42" s="119"/>
      <c r="CMB42" s="119"/>
      <c r="CMC42" s="119"/>
      <c r="CMD42" s="119"/>
      <c r="CME42" s="119"/>
      <c r="CMF42" s="119"/>
      <c r="CMG42" s="119"/>
      <c r="CMH42" s="119"/>
      <c r="CMI42" s="119"/>
      <c r="CMJ42" s="119"/>
      <c r="CMK42" s="119"/>
      <c r="CML42" s="119"/>
      <c r="CMM42" s="119"/>
      <c r="CMN42" s="119"/>
      <c r="CMO42" s="119"/>
      <c r="CMP42" s="119"/>
      <c r="CMQ42" s="119"/>
      <c r="CMR42" s="119"/>
      <c r="CMS42" s="119"/>
      <c r="CMT42" s="119"/>
      <c r="CMU42" s="119"/>
      <c r="CMV42" s="119"/>
      <c r="CMW42" s="119"/>
      <c r="CMX42" s="119"/>
      <c r="CMY42" s="119"/>
      <c r="CMZ42" s="119"/>
      <c r="CNA42" s="119"/>
      <c r="CNB42" s="119"/>
      <c r="CNC42" s="119"/>
      <c r="CND42" s="119"/>
      <c r="CNE42" s="119"/>
      <c r="CNF42" s="119"/>
      <c r="CNG42" s="119"/>
      <c r="CNH42" s="119"/>
      <c r="CNI42" s="119"/>
      <c r="CNJ42" s="119"/>
      <c r="CNK42" s="119"/>
      <c r="CNL42" s="119"/>
      <c r="CNM42" s="119"/>
      <c r="CNN42" s="119"/>
      <c r="CNO42" s="119"/>
      <c r="CNP42" s="119"/>
      <c r="CNQ42" s="119"/>
      <c r="CNR42" s="119"/>
      <c r="CNS42" s="119"/>
      <c r="CNT42" s="119"/>
      <c r="CNU42" s="119"/>
      <c r="CNV42" s="119"/>
      <c r="CNW42" s="119"/>
      <c r="CNX42" s="119"/>
      <c r="CNY42" s="119"/>
      <c r="CNZ42" s="119"/>
      <c r="COA42" s="119"/>
      <c r="COB42" s="119"/>
      <c r="COC42" s="119"/>
      <c r="COD42" s="119"/>
      <c r="COE42" s="119"/>
      <c r="COF42" s="119"/>
      <c r="COG42" s="119"/>
      <c r="COH42" s="119"/>
      <c r="COI42" s="119"/>
      <c r="COJ42" s="119"/>
      <c r="COK42" s="119"/>
      <c r="COL42" s="119"/>
      <c r="COM42" s="119"/>
      <c r="CON42" s="119"/>
      <c r="COO42" s="119"/>
      <c r="COP42" s="119"/>
      <c r="COQ42" s="119"/>
      <c r="COR42" s="119"/>
      <c r="COS42" s="119"/>
      <c r="COT42" s="119"/>
      <c r="COU42" s="119"/>
      <c r="COV42" s="119"/>
      <c r="COW42" s="119"/>
      <c r="COX42" s="119"/>
      <c r="COY42" s="119"/>
      <c r="COZ42" s="119"/>
      <c r="CPA42" s="119"/>
      <c r="CPB42" s="119"/>
      <c r="CPC42" s="119"/>
      <c r="CPD42" s="119"/>
      <c r="CPE42" s="119"/>
      <c r="CPF42" s="119"/>
      <c r="CPG42" s="119"/>
      <c r="CPH42" s="119"/>
      <c r="CPI42" s="119"/>
      <c r="CPJ42" s="119"/>
      <c r="CPK42" s="119"/>
      <c r="CPL42" s="119"/>
      <c r="CPM42" s="119"/>
      <c r="CPN42" s="119"/>
      <c r="CPO42" s="119"/>
      <c r="CPP42" s="119"/>
      <c r="CPQ42" s="119"/>
      <c r="CPR42" s="119"/>
      <c r="CPS42" s="119"/>
      <c r="CPT42" s="119"/>
      <c r="CPU42" s="119"/>
      <c r="CPV42" s="119"/>
      <c r="CPW42" s="119"/>
      <c r="CPX42" s="119"/>
      <c r="CPY42" s="119"/>
      <c r="CPZ42" s="119"/>
      <c r="CQA42" s="119"/>
      <c r="CQB42" s="119"/>
      <c r="CQC42" s="119"/>
      <c r="CQD42" s="119"/>
      <c r="CQE42" s="119"/>
      <c r="CQF42" s="119"/>
      <c r="CQG42" s="119"/>
      <c r="CQH42" s="119"/>
      <c r="CQI42" s="119"/>
      <c r="CQJ42" s="119"/>
      <c r="CQK42" s="119"/>
      <c r="CQL42" s="119"/>
      <c r="CQM42" s="119"/>
      <c r="CQN42" s="119"/>
      <c r="CQO42" s="119"/>
      <c r="CQP42" s="119"/>
      <c r="CQQ42" s="119"/>
      <c r="CQR42" s="119"/>
      <c r="CQS42" s="119"/>
      <c r="CQT42" s="119"/>
      <c r="CQU42" s="119"/>
      <c r="CQV42" s="119"/>
      <c r="CQW42" s="119"/>
      <c r="CQX42" s="119"/>
      <c r="CQY42" s="119"/>
      <c r="CQZ42" s="119"/>
      <c r="CRA42" s="119"/>
      <c r="CRB42" s="119"/>
      <c r="CRC42" s="119"/>
      <c r="CRD42" s="119"/>
      <c r="CRE42" s="119"/>
      <c r="CRF42" s="119"/>
      <c r="CRG42" s="119"/>
      <c r="CRH42" s="119"/>
      <c r="CRI42" s="119"/>
      <c r="CRJ42" s="119"/>
      <c r="CRK42" s="119"/>
      <c r="CRL42" s="119"/>
      <c r="CRM42" s="119"/>
      <c r="CRN42" s="119"/>
      <c r="CRO42" s="119"/>
      <c r="CRP42" s="119"/>
      <c r="CRQ42" s="119"/>
      <c r="CRR42" s="119"/>
      <c r="CRS42" s="119"/>
      <c r="CRT42" s="119"/>
      <c r="CRU42" s="119"/>
      <c r="CRV42" s="119"/>
      <c r="CRW42" s="119"/>
      <c r="CRX42" s="119"/>
      <c r="CRY42" s="119"/>
      <c r="CRZ42" s="119"/>
      <c r="CSA42" s="119"/>
      <c r="CSB42" s="119"/>
      <c r="CSC42" s="119"/>
      <c r="CSD42" s="119"/>
      <c r="CSE42" s="119"/>
      <c r="CSF42" s="119"/>
      <c r="CSG42" s="119"/>
      <c r="CSH42" s="119"/>
      <c r="CSI42" s="119"/>
      <c r="CSJ42" s="119"/>
      <c r="CSK42" s="119"/>
      <c r="CSL42" s="119"/>
      <c r="CSM42" s="119"/>
      <c r="CSN42" s="119"/>
      <c r="CSO42" s="119"/>
      <c r="CSP42" s="119"/>
      <c r="CSQ42" s="119"/>
      <c r="CSR42" s="119"/>
      <c r="CSS42" s="119"/>
      <c r="CST42" s="119"/>
      <c r="CSU42" s="119"/>
      <c r="CSV42" s="119"/>
      <c r="CSW42" s="119"/>
      <c r="CSX42" s="119"/>
      <c r="CSY42" s="119"/>
      <c r="CSZ42" s="119"/>
      <c r="CTA42" s="119"/>
      <c r="CTB42" s="119"/>
      <c r="CTC42" s="119"/>
      <c r="CTD42" s="119"/>
      <c r="CTE42" s="119"/>
      <c r="CTF42" s="119"/>
      <c r="CTG42" s="119"/>
      <c r="CTH42" s="119"/>
      <c r="CTI42" s="119"/>
      <c r="CTJ42" s="119"/>
      <c r="CTK42" s="119"/>
      <c r="CTL42" s="119"/>
      <c r="CTM42" s="119"/>
      <c r="CTN42" s="119"/>
      <c r="CTO42" s="119"/>
      <c r="CTP42" s="119"/>
      <c r="CTQ42" s="119"/>
      <c r="CTR42" s="119"/>
      <c r="CTS42" s="119"/>
      <c r="CTT42" s="119"/>
      <c r="CTU42" s="119"/>
      <c r="CTV42" s="119"/>
      <c r="CTW42" s="119"/>
      <c r="CTX42" s="119"/>
      <c r="CTY42" s="119"/>
      <c r="CTZ42" s="119"/>
      <c r="CUA42" s="119"/>
      <c r="CUB42" s="119"/>
      <c r="CUC42" s="119"/>
      <c r="CUD42" s="119"/>
      <c r="CUE42" s="119"/>
      <c r="CUF42" s="119"/>
      <c r="CUG42" s="119"/>
      <c r="CUH42" s="119"/>
      <c r="CUI42" s="119"/>
      <c r="CUJ42" s="119"/>
      <c r="CUK42" s="119"/>
      <c r="CUL42" s="119"/>
      <c r="CUM42" s="119"/>
      <c r="CUN42" s="119"/>
      <c r="CUO42" s="119"/>
      <c r="CUP42" s="119"/>
      <c r="CUQ42" s="119"/>
      <c r="CUR42" s="119"/>
      <c r="CUS42" s="119"/>
      <c r="CUT42" s="119"/>
      <c r="CUU42" s="119"/>
      <c r="CUV42" s="119"/>
      <c r="CUW42" s="119"/>
      <c r="CUX42" s="119"/>
      <c r="CUY42" s="119"/>
      <c r="CUZ42" s="119"/>
      <c r="CVA42" s="119"/>
      <c r="CVB42" s="119"/>
      <c r="CVC42" s="119"/>
      <c r="CVD42" s="119"/>
      <c r="CVE42" s="119"/>
      <c r="CVF42" s="119"/>
      <c r="CVG42" s="119"/>
      <c r="CVH42" s="119"/>
      <c r="CVI42" s="119"/>
      <c r="CVJ42" s="119"/>
      <c r="CVK42" s="119"/>
      <c r="CVL42" s="119"/>
      <c r="CVM42" s="119"/>
      <c r="CVN42" s="119"/>
      <c r="CVO42" s="119"/>
      <c r="CVP42" s="119"/>
      <c r="CVQ42" s="119"/>
      <c r="CVR42" s="119"/>
      <c r="CVS42" s="119"/>
      <c r="CVT42" s="119"/>
      <c r="CVU42" s="119"/>
      <c r="CVV42" s="119"/>
      <c r="CVW42" s="119"/>
      <c r="CVX42" s="119"/>
      <c r="CVY42" s="119"/>
      <c r="CVZ42" s="119"/>
      <c r="CWA42" s="119"/>
      <c r="CWB42" s="119"/>
      <c r="CWC42" s="119"/>
      <c r="CWD42" s="119"/>
      <c r="CWE42" s="119"/>
      <c r="CWF42" s="119"/>
      <c r="CWG42" s="119"/>
      <c r="CWH42" s="119"/>
      <c r="CWI42" s="119"/>
      <c r="CWJ42" s="119"/>
      <c r="CWK42" s="119"/>
      <c r="CWL42" s="119"/>
      <c r="CWM42" s="119"/>
      <c r="CWN42" s="119"/>
      <c r="CWO42" s="119"/>
      <c r="CWP42" s="119"/>
      <c r="CWQ42" s="119"/>
      <c r="CWR42" s="119"/>
      <c r="CWS42" s="119"/>
      <c r="CWT42" s="119"/>
      <c r="CWU42" s="119"/>
      <c r="CWV42" s="119"/>
      <c r="CWW42" s="119"/>
      <c r="CWX42" s="119"/>
      <c r="CWY42" s="119"/>
      <c r="CWZ42" s="119"/>
      <c r="CXA42" s="119"/>
      <c r="CXB42" s="119"/>
      <c r="CXC42" s="119"/>
      <c r="CXD42" s="119"/>
      <c r="CXE42" s="119"/>
      <c r="CXF42" s="119"/>
      <c r="CXG42" s="119"/>
      <c r="CXH42" s="119"/>
      <c r="CXI42" s="119"/>
      <c r="CXJ42" s="119"/>
      <c r="CXK42" s="119"/>
      <c r="CXL42" s="119"/>
      <c r="CXM42" s="119"/>
      <c r="CXN42" s="119"/>
      <c r="CXO42" s="119"/>
      <c r="CXP42" s="119"/>
      <c r="CXQ42" s="119"/>
      <c r="CXR42" s="119"/>
      <c r="CXS42" s="119"/>
      <c r="CXT42" s="119"/>
      <c r="CXU42" s="119"/>
      <c r="CXV42" s="119"/>
      <c r="CXW42" s="119"/>
      <c r="CXX42" s="119"/>
      <c r="CXY42" s="119"/>
      <c r="CXZ42" s="119"/>
      <c r="CYA42" s="119"/>
      <c r="CYB42" s="119"/>
      <c r="CYC42" s="119"/>
      <c r="CYD42" s="119"/>
      <c r="CYE42" s="119"/>
      <c r="CYF42" s="119"/>
      <c r="CYG42" s="119"/>
      <c r="CYH42" s="119"/>
      <c r="CYI42" s="119"/>
      <c r="CYJ42" s="119"/>
      <c r="CYK42" s="119"/>
      <c r="CYL42" s="119"/>
      <c r="CYM42" s="119"/>
      <c r="CYN42" s="119"/>
      <c r="CYO42" s="119"/>
      <c r="CYP42" s="119"/>
      <c r="CYQ42" s="119"/>
      <c r="CYR42" s="119"/>
      <c r="CYS42" s="119"/>
      <c r="CYT42" s="119"/>
      <c r="CYU42" s="119"/>
      <c r="CYV42" s="119"/>
      <c r="CYW42" s="119"/>
      <c r="CYX42" s="119"/>
      <c r="CYY42" s="119"/>
      <c r="CYZ42" s="119"/>
      <c r="CZA42" s="119"/>
      <c r="CZB42" s="119"/>
      <c r="CZC42" s="119"/>
      <c r="CZD42" s="119"/>
      <c r="CZE42" s="119"/>
      <c r="CZF42" s="119"/>
      <c r="CZG42" s="119"/>
      <c r="CZH42" s="119"/>
      <c r="CZI42" s="119"/>
      <c r="CZJ42" s="119"/>
      <c r="CZK42" s="119"/>
      <c r="CZL42" s="119"/>
      <c r="CZM42" s="119"/>
      <c r="CZN42" s="119"/>
      <c r="CZO42" s="119"/>
      <c r="CZP42" s="119"/>
      <c r="CZQ42" s="119"/>
      <c r="CZR42" s="119"/>
      <c r="CZS42" s="119"/>
      <c r="CZT42" s="119"/>
      <c r="CZU42" s="119"/>
      <c r="CZV42" s="119"/>
      <c r="CZW42" s="119"/>
      <c r="CZX42" s="119"/>
      <c r="CZY42" s="119"/>
      <c r="CZZ42" s="119"/>
      <c r="DAA42" s="119"/>
      <c r="DAB42" s="119"/>
      <c r="DAC42" s="119"/>
      <c r="DAD42" s="119"/>
      <c r="DAE42" s="119"/>
      <c r="DAF42" s="119"/>
      <c r="DAG42" s="119"/>
      <c r="DAH42" s="119"/>
      <c r="DAI42" s="119"/>
      <c r="DAJ42" s="119"/>
      <c r="DAK42" s="119"/>
      <c r="DAL42" s="119"/>
      <c r="DAM42" s="119"/>
      <c r="DAN42" s="119"/>
      <c r="DAO42" s="119"/>
      <c r="DAP42" s="119"/>
      <c r="DAQ42" s="119"/>
      <c r="DAR42" s="119"/>
      <c r="DAS42" s="119"/>
      <c r="DAT42" s="119"/>
      <c r="DAU42" s="119"/>
      <c r="DAV42" s="119"/>
      <c r="DAW42" s="119"/>
      <c r="DAX42" s="119"/>
      <c r="DAY42" s="119"/>
      <c r="DAZ42" s="119"/>
      <c r="DBA42" s="119"/>
      <c r="DBB42" s="119"/>
      <c r="DBC42" s="119"/>
      <c r="DBD42" s="119"/>
      <c r="DBE42" s="119"/>
      <c r="DBF42" s="119"/>
      <c r="DBG42" s="119"/>
      <c r="DBH42" s="119"/>
      <c r="DBI42" s="119"/>
      <c r="DBJ42" s="119"/>
      <c r="DBK42" s="119"/>
      <c r="DBL42" s="119"/>
      <c r="DBM42" s="119"/>
      <c r="DBN42" s="119"/>
      <c r="DBO42" s="119"/>
      <c r="DBP42" s="119"/>
      <c r="DBQ42" s="119"/>
      <c r="DBR42" s="119"/>
      <c r="DBS42" s="119"/>
      <c r="DBT42" s="119"/>
      <c r="DBU42" s="119"/>
      <c r="DBV42" s="119"/>
      <c r="DBW42" s="119"/>
      <c r="DBX42" s="119"/>
      <c r="DBY42" s="119"/>
      <c r="DBZ42" s="119"/>
      <c r="DCA42" s="119"/>
      <c r="DCB42" s="119"/>
      <c r="DCC42" s="119"/>
      <c r="DCD42" s="119"/>
      <c r="DCE42" s="119"/>
      <c r="DCF42" s="119"/>
      <c r="DCG42" s="119"/>
      <c r="DCH42" s="119"/>
      <c r="DCI42" s="119"/>
      <c r="DCJ42" s="119"/>
      <c r="DCK42" s="119"/>
      <c r="DCL42" s="119"/>
      <c r="DCM42" s="119"/>
      <c r="DCN42" s="119"/>
      <c r="DCO42" s="119"/>
      <c r="DCP42" s="119"/>
      <c r="DCQ42" s="119"/>
      <c r="DCR42" s="119"/>
      <c r="DCS42" s="119"/>
      <c r="DCT42" s="119"/>
      <c r="DCU42" s="119"/>
      <c r="DCV42" s="119"/>
      <c r="DCW42" s="119"/>
      <c r="DCX42" s="119"/>
      <c r="DCY42" s="119"/>
      <c r="DCZ42" s="119"/>
      <c r="DDA42" s="119"/>
      <c r="DDB42" s="119"/>
      <c r="DDC42" s="119"/>
      <c r="DDD42" s="119"/>
      <c r="DDE42" s="119"/>
      <c r="DDF42" s="119"/>
      <c r="DDG42" s="119"/>
      <c r="DDH42" s="119"/>
      <c r="DDI42" s="119"/>
      <c r="DDJ42" s="119"/>
      <c r="DDK42" s="119"/>
      <c r="DDL42" s="119"/>
      <c r="DDM42" s="119"/>
      <c r="DDN42" s="119"/>
      <c r="DDO42" s="119"/>
      <c r="DDP42" s="119"/>
      <c r="DDQ42" s="119"/>
      <c r="DDR42" s="119"/>
      <c r="DDS42" s="119"/>
      <c r="DDT42" s="119"/>
      <c r="DDU42" s="119"/>
      <c r="DDV42" s="119"/>
      <c r="DDW42" s="119"/>
      <c r="DDX42" s="119"/>
      <c r="DDY42" s="119"/>
      <c r="DDZ42" s="119"/>
      <c r="DEA42" s="119"/>
      <c r="DEB42" s="119"/>
      <c r="DEC42" s="119"/>
      <c r="DED42" s="119"/>
      <c r="DEE42" s="119"/>
      <c r="DEF42" s="119"/>
      <c r="DEG42" s="119"/>
      <c r="DEH42" s="119"/>
      <c r="DEI42" s="119"/>
      <c r="DEJ42" s="119"/>
      <c r="DEK42" s="119"/>
      <c r="DEL42" s="119"/>
      <c r="DEM42" s="119"/>
      <c r="DEN42" s="119"/>
      <c r="DEO42" s="119"/>
      <c r="DEP42" s="119"/>
      <c r="DEQ42" s="119"/>
      <c r="DER42" s="119"/>
      <c r="DES42" s="119"/>
      <c r="DET42" s="119"/>
      <c r="DEU42" s="119"/>
      <c r="DEV42" s="119"/>
      <c r="DEW42" s="119"/>
      <c r="DEX42" s="119"/>
      <c r="DEY42" s="119"/>
      <c r="DEZ42" s="119"/>
      <c r="DFA42" s="119"/>
      <c r="DFB42" s="119"/>
      <c r="DFC42" s="119"/>
      <c r="DFD42" s="119"/>
      <c r="DFE42" s="119"/>
      <c r="DFF42" s="119"/>
      <c r="DFG42" s="119"/>
      <c r="DFH42" s="119"/>
      <c r="DFI42" s="119"/>
      <c r="DFJ42" s="119"/>
      <c r="DFK42" s="119"/>
      <c r="DFL42" s="119"/>
      <c r="DFM42" s="119"/>
      <c r="DFN42" s="119"/>
      <c r="DFO42" s="119"/>
      <c r="DFP42" s="119"/>
      <c r="DFQ42" s="119"/>
      <c r="DFR42" s="119"/>
      <c r="DFS42" s="119"/>
      <c r="DFT42" s="119"/>
      <c r="DFU42" s="119"/>
      <c r="DFV42" s="119"/>
      <c r="DFW42" s="119"/>
      <c r="DFX42" s="119"/>
      <c r="DFY42" s="119"/>
      <c r="DFZ42" s="119"/>
      <c r="DGA42" s="119"/>
      <c r="DGB42" s="119"/>
      <c r="DGC42" s="119"/>
      <c r="DGD42" s="119"/>
      <c r="DGE42" s="119"/>
      <c r="DGF42" s="119"/>
      <c r="DGG42" s="119"/>
      <c r="DGH42" s="119"/>
      <c r="DGI42" s="119"/>
      <c r="DGJ42" s="119"/>
      <c r="DGK42" s="119"/>
      <c r="DGL42" s="119"/>
      <c r="DGM42" s="119"/>
      <c r="DGN42" s="119"/>
      <c r="DGO42" s="119"/>
      <c r="DGP42" s="119"/>
      <c r="DGQ42" s="119"/>
      <c r="DGR42" s="119"/>
      <c r="DGS42" s="119"/>
      <c r="DGT42" s="119"/>
      <c r="DGU42" s="119"/>
      <c r="DGV42" s="119"/>
      <c r="DGW42" s="119"/>
      <c r="DGX42" s="119"/>
      <c r="DGY42" s="119"/>
      <c r="DGZ42" s="119"/>
      <c r="DHA42" s="119"/>
      <c r="DHB42" s="119"/>
      <c r="DHC42" s="119"/>
      <c r="DHD42" s="119"/>
      <c r="DHE42" s="119"/>
      <c r="DHF42" s="119"/>
      <c r="DHG42" s="119"/>
      <c r="DHH42" s="119"/>
      <c r="DHI42" s="119"/>
      <c r="DHJ42" s="119"/>
      <c r="DHK42" s="119"/>
      <c r="DHL42" s="119"/>
      <c r="DHM42" s="119"/>
      <c r="DHN42" s="119"/>
      <c r="DHO42" s="119"/>
      <c r="DHP42" s="119"/>
      <c r="DHQ42" s="119"/>
      <c r="DHR42" s="119"/>
      <c r="DHS42" s="119"/>
      <c r="DHT42" s="119"/>
      <c r="DHU42" s="119"/>
      <c r="DHV42" s="119"/>
      <c r="DHW42" s="119"/>
      <c r="DHX42" s="119"/>
      <c r="DHY42" s="119"/>
      <c r="DHZ42" s="119"/>
      <c r="DIA42" s="119"/>
      <c r="DIB42" s="119"/>
      <c r="DIC42" s="119"/>
      <c r="DID42" s="119"/>
      <c r="DIE42" s="119"/>
      <c r="DIF42" s="119"/>
      <c r="DIG42" s="119"/>
      <c r="DIH42" s="119"/>
      <c r="DII42" s="119"/>
      <c r="DIJ42" s="119"/>
      <c r="DIK42" s="119"/>
      <c r="DIL42" s="119"/>
      <c r="DIM42" s="119"/>
      <c r="DIN42" s="119"/>
      <c r="DIO42" s="119"/>
      <c r="DIP42" s="119"/>
      <c r="DIQ42" s="119"/>
      <c r="DIR42" s="119"/>
      <c r="DIS42" s="119"/>
      <c r="DIT42" s="119"/>
      <c r="DIU42" s="119"/>
      <c r="DIV42" s="119"/>
      <c r="DIW42" s="119"/>
      <c r="DIX42" s="119"/>
      <c r="DIY42" s="119"/>
      <c r="DIZ42" s="119"/>
      <c r="DJA42" s="119"/>
      <c r="DJB42" s="119"/>
      <c r="DJC42" s="119"/>
      <c r="DJD42" s="119"/>
      <c r="DJE42" s="119"/>
      <c r="DJF42" s="119"/>
      <c r="DJG42" s="119"/>
      <c r="DJH42" s="119"/>
      <c r="DJI42" s="119"/>
      <c r="DJJ42" s="119"/>
      <c r="DJK42" s="119"/>
      <c r="DJL42" s="119"/>
      <c r="DJM42" s="119"/>
      <c r="DJN42" s="119"/>
      <c r="DJO42" s="119"/>
      <c r="DJP42" s="119"/>
      <c r="DJQ42" s="119"/>
      <c r="DJR42" s="119"/>
      <c r="DJS42" s="119"/>
      <c r="DJT42" s="119"/>
      <c r="DJU42" s="119"/>
      <c r="DJV42" s="119"/>
      <c r="DJW42" s="119"/>
      <c r="DJX42" s="119"/>
      <c r="DJY42" s="119"/>
      <c r="DJZ42" s="119"/>
      <c r="DKA42" s="119"/>
      <c r="DKB42" s="119"/>
      <c r="DKC42" s="119"/>
      <c r="DKD42" s="119"/>
      <c r="DKE42" s="119"/>
      <c r="DKF42" s="119"/>
      <c r="DKG42" s="119"/>
      <c r="DKH42" s="119"/>
      <c r="DKI42" s="119"/>
      <c r="DKJ42" s="119"/>
      <c r="DKK42" s="119"/>
      <c r="DKL42" s="119"/>
      <c r="DKM42" s="119"/>
      <c r="DKN42" s="119"/>
      <c r="DKO42" s="119"/>
      <c r="DKP42" s="119"/>
      <c r="DKQ42" s="119"/>
      <c r="DKR42" s="119"/>
      <c r="DKS42" s="119"/>
      <c r="DKT42" s="119"/>
      <c r="DKU42" s="119"/>
      <c r="DKV42" s="119"/>
      <c r="DKW42" s="119"/>
      <c r="DKX42" s="119"/>
      <c r="DKY42" s="119"/>
      <c r="DKZ42" s="119"/>
      <c r="DLA42" s="119"/>
      <c r="DLB42" s="119"/>
      <c r="DLC42" s="119"/>
      <c r="DLD42" s="119"/>
      <c r="DLE42" s="119"/>
      <c r="DLF42" s="119"/>
      <c r="DLG42" s="119"/>
      <c r="DLH42" s="119"/>
      <c r="DLI42" s="119"/>
      <c r="DLJ42" s="119"/>
      <c r="DLK42" s="119"/>
      <c r="DLL42" s="119"/>
      <c r="DLM42" s="119"/>
      <c r="DLN42" s="119"/>
      <c r="DLO42" s="119"/>
      <c r="DLP42" s="119"/>
      <c r="DLQ42" s="119"/>
      <c r="DLR42" s="119"/>
      <c r="DLS42" s="119"/>
      <c r="DLT42" s="119"/>
      <c r="DLU42" s="119"/>
      <c r="DLV42" s="119"/>
      <c r="DLW42" s="119"/>
      <c r="DLX42" s="119"/>
      <c r="DLY42" s="119"/>
      <c r="DLZ42" s="119"/>
      <c r="DMA42" s="119"/>
      <c r="DMB42" s="119"/>
      <c r="DMC42" s="119"/>
      <c r="DMD42" s="119"/>
      <c r="DME42" s="119"/>
      <c r="DMF42" s="119"/>
      <c r="DMG42" s="119"/>
      <c r="DMH42" s="119"/>
      <c r="DMI42" s="119"/>
      <c r="DMJ42" s="119"/>
      <c r="DMK42" s="119"/>
      <c r="DML42" s="119"/>
      <c r="DMM42" s="119"/>
      <c r="DMN42" s="119"/>
      <c r="DMO42" s="119"/>
      <c r="DMP42" s="119"/>
      <c r="DMQ42" s="119"/>
      <c r="DMR42" s="119"/>
      <c r="DMS42" s="119"/>
      <c r="DMT42" s="119"/>
      <c r="DMU42" s="119"/>
      <c r="DMV42" s="119"/>
      <c r="DMW42" s="119"/>
      <c r="DMX42" s="119"/>
      <c r="DMY42" s="119"/>
      <c r="DMZ42" s="119"/>
      <c r="DNA42" s="119"/>
      <c r="DNB42" s="119"/>
      <c r="DNC42" s="119"/>
      <c r="DND42" s="119"/>
      <c r="DNE42" s="119"/>
      <c r="DNF42" s="119"/>
      <c r="DNG42" s="119"/>
      <c r="DNH42" s="119"/>
      <c r="DNI42" s="119"/>
      <c r="DNJ42" s="119"/>
      <c r="DNK42" s="119"/>
      <c r="DNL42" s="119"/>
      <c r="DNM42" s="119"/>
      <c r="DNN42" s="119"/>
      <c r="DNO42" s="119"/>
      <c r="DNP42" s="119"/>
      <c r="DNQ42" s="119"/>
      <c r="DNR42" s="119"/>
      <c r="DNS42" s="119"/>
      <c r="DNT42" s="119"/>
      <c r="DNU42" s="119"/>
      <c r="DNV42" s="119"/>
      <c r="DNW42" s="119"/>
      <c r="DNX42" s="119"/>
      <c r="DNY42" s="119"/>
      <c r="DNZ42" s="119"/>
      <c r="DOA42" s="119"/>
      <c r="DOB42" s="119"/>
      <c r="DOC42" s="119"/>
      <c r="DOD42" s="119"/>
      <c r="DOE42" s="119"/>
      <c r="DOF42" s="119"/>
      <c r="DOG42" s="119"/>
      <c r="DOH42" s="119"/>
      <c r="DOI42" s="119"/>
      <c r="DOJ42" s="119"/>
      <c r="DOK42" s="119"/>
      <c r="DOL42" s="119"/>
      <c r="DOM42" s="119"/>
      <c r="DON42" s="119"/>
      <c r="DOO42" s="119"/>
      <c r="DOP42" s="119"/>
      <c r="DOQ42" s="119"/>
      <c r="DOR42" s="119"/>
      <c r="DOS42" s="119"/>
      <c r="DOT42" s="119"/>
      <c r="DOU42" s="119"/>
      <c r="DOV42" s="119"/>
      <c r="DOW42" s="119"/>
      <c r="DOX42" s="119"/>
      <c r="DOY42" s="119"/>
      <c r="DOZ42" s="119"/>
      <c r="DPA42" s="119"/>
      <c r="DPB42" s="119"/>
      <c r="DPC42" s="119"/>
      <c r="DPD42" s="119"/>
      <c r="DPE42" s="119"/>
      <c r="DPF42" s="119"/>
      <c r="DPG42" s="119"/>
      <c r="DPH42" s="119"/>
      <c r="DPI42" s="119"/>
      <c r="DPJ42" s="119"/>
      <c r="DPK42" s="119"/>
      <c r="DPL42" s="119"/>
      <c r="DPM42" s="119"/>
      <c r="DPN42" s="119"/>
      <c r="DPO42" s="119"/>
      <c r="DPP42" s="119"/>
      <c r="DPQ42" s="119"/>
      <c r="DPR42" s="119"/>
      <c r="DPS42" s="119"/>
      <c r="DPT42" s="119"/>
      <c r="DPU42" s="119"/>
      <c r="DPV42" s="119"/>
      <c r="DPW42" s="119"/>
      <c r="DPX42" s="119"/>
      <c r="DPY42" s="119"/>
      <c r="DPZ42" s="119"/>
      <c r="DQA42" s="119"/>
      <c r="DQB42" s="119"/>
      <c r="DQC42" s="119"/>
      <c r="DQD42" s="119"/>
      <c r="DQE42" s="119"/>
      <c r="DQF42" s="119"/>
      <c r="DQG42" s="119"/>
      <c r="DQH42" s="119"/>
      <c r="DQI42" s="119"/>
      <c r="DQJ42" s="119"/>
      <c r="DQK42" s="119"/>
      <c r="DQL42" s="119"/>
      <c r="DQM42" s="119"/>
      <c r="DQN42" s="119"/>
      <c r="DQO42" s="119"/>
      <c r="DQP42" s="119"/>
      <c r="DQQ42" s="119"/>
      <c r="DQR42" s="119"/>
      <c r="DQS42" s="119"/>
      <c r="DQT42" s="119"/>
      <c r="DQU42" s="119"/>
      <c r="DQV42" s="119"/>
      <c r="DQW42" s="119"/>
      <c r="DQX42" s="119"/>
      <c r="DQY42" s="119"/>
      <c r="DQZ42" s="119"/>
      <c r="DRA42" s="119"/>
      <c r="DRB42" s="119"/>
      <c r="DRC42" s="119"/>
      <c r="DRD42" s="119"/>
      <c r="DRE42" s="119"/>
      <c r="DRF42" s="119"/>
      <c r="DRG42" s="119"/>
      <c r="DRH42" s="119"/>
      <c r="DRI42" s="119"/>
      <c r="DRJ42" s="119"/>
      <c r="DRK42" s="119"/>
      <c r="DRL42" s="119"/>
      <c r="DRM42" s="119"/>
      <c r="DRN42" s="119"/>
      <c r="DRO42" s="119"/>
      <c r="DRP42" s="119"/>
      <c r="DRQ42" s="119"/>
      <c r="DRR42" s="119"/>
      <c r="DRS42" s="119"/>
      <c r="DRT42" s="119"/>
      <c r="DRU42" s="119"/>
      <c r="DRV42" s="119"/>
      <c r="DRW42" s="119"/>
      <c r="DRX42" s="119"/>
      <c r="DRY42" s="119"/>
      <c r="DRZ42" s="119"/>
      <c r="DSA42" s="119"/>
      <c r="DSB42" s="119"/>
      <c r="DSC42" s="119"/>
      <c r="DSD42" s="119"/>
      <c r="DSE42" s="119"/>
      <c r="DSF42" s="119"/>
      <c r="DSG42" s="119"/>
      <c r="DSH42" s="119"/>
      <c r="DSI42" s="119"/>
      <c r="DSJ42" s="119"/>
      <c r="DSK42" s="119"/>
      <c r="DSL42" s="119"/>
      <c r="DSM42" s="119"/>
      <c r="DSN42" s="119"/>
      <c r="DSO42" s="119"/>
      <c r="DSP42" s="119"/>
      <c r="DSQ42" s="119"/>
      <c r="DSR42" s="119"/>
      <c r="DSS42" s="119"/>
      <c r="DST42" s="119"/>
      <c r="DSU42" s="119"/>
      <c r="DSV42" s="119"/>
      <c r="DSW42" s="119"/>
      <c r="DSX42" s="119"/>
      <c r="DSY42" s="119"/>
      <c r="DSZ42" s="119"/>
      <c r="DTA42" s="119"/>
      <c r="DTB42" s="119"/>
      <c r="DTC42" s="119"/>
      <c r="DTD42" s="119"/>
      <c r="DTE42" s="119"/>
      <c r="DTF42" s="119"/>
      <c r="DTG42" s="119"/>
      <c r="DTH42" s="119"/>
      <c r="DTI42" s="119"/>
      <c r="DTJ42" s="119"/>
      <c r="DTK42" s="119"/>
      <c r="DTL42" s="119"/>
      <c r="DTM42" s="119"/>
      <c r="DTN42" s="119"/>
      <c r="DTO42" s="119"/>
      <c r="DTP42" s="119"/>
      <c r="DTQ42" s="119"/>
      <c r="DTR42" s="119"/>
      <c r="DTS42" s="119"/>
      <c r="DTT42" s="119"/>
      <c r="DTU42" s="119"/>
      <c r="DTV42" s="119"/>
      <c r="DTW42" s="119"/>
      <c r="DTX42" s="119"/>
      <c r="DTY42" s="119"/>
      <c r="DTZ42" s="119"/>
      <c r="DUA42" s="119"/>
      <c r="DUB42" s="119"/>
      <c r="DUC42" s="119"/>
      <c r="DUD42" s="119"/>
      <c r="DUE42" s="119"/>
      <c r="DUF42" s="119"/>
      <c r="DUG42" s="119"/>
      <c r="DUH42" s="119"/>
      <c r="DUI42" s="119"/>
      <c r="DUJ42" s="119"/>
      <c r="DUK42" s="119"/>
      <c r="DUL42" s="119"/>
      <c r="DUM42" s="119"/>
      <c r="DUN42" s="119"/>
      <c r="DUO42" s="119"/>
      <c r="DUP42" s="119"/>
      <c r="DUQ42" s="119"/>
      <c r="DUR42" s="119"/>
      <c r="DUS42" s="119"/>
      <c r="DUT42" s="119"/>
      <c r="DUU42" s="119"/>
      <c r="DUV42" s="119"/>
      <c r="DUW42" s="119"/>
      <c r="DUX42" s="119"/>
      <c r="DUY42" s="119"/>
      <c r="DUZ42" s="119"/>
      <c r="DVA42" s="119"/>
      <c r="DVB42" s="119"/>
      <c r="DVC42" s="119"/>
      <c r="DVD42" s="119"/>
      <c r="DVE42" s="119"/>
      <c r="DVF42" s="119"/>
      <c r="DVG42" s="119"/>
      <c r="DVH42" s="119"/>
      <c r="DVI42" s="119"/>
      <c r="DVJ42" s="119"/>
      <c r="DVK42" s="119"/>
      <c r="DVL42" s="119"/>
      <c r="DVM42" s="119"/>
      <c r="DVN42" s="119"/>
      <c r="DVO42" s="119"/>
      <c r="DVP42" s="119"/>
      <c r="DVQ42" s="119"/>
      <c r="DVR42" s="119"/>
      <c r="DVS42" s="119"/>
      <c r="DVT42" s="119"/>
      <c r="DVU42" s="119"/>
      <c r="DVV42" s="119"/>
      <c r="DVW42" s="119"/>
      <c r="DVX42" s="119"/>
      <c r="DVY42" s="119"/>
      <c r="DVZ42" s="119"/>
      <c r="DWA42" s="119"/>
      <c r="DWB42" s="119"/>
      <c r="DWC42" s="119"/>
      <c r="DWD42" s="119"/>
      <c r="DWE42" s="119"/>
      <c r="DWF42" s="119"/>
      <c r="DWG42" s="119"/>
      <c r="DWH42" s="119"/>
      <c r="DWI42" s="119"/>
      <c r="DWJ42" s="119"/>
      <c r="DWK42" s="119"/>
      <c r="DWL42" s="119"/>
      <c r="DWM42" s="119"/>
      <c r="DWN42" s="119"/>
      <c r="DWO42" s="119"/>
      <c r="DWP42" s="119"/>
      <c r="DWQ42" s="119"/>
      <c r="DWR42" s="119"/>
      <c r="DWS42" s="119"/>
      <c r="DWT42" s="119"/>
      <c r="DWU42" s="119"/>
      <c r="DWV42" s="119"/>
      <c r="DWW42" s="119"/>
      <c r="DWX42" s="119"/>
      <c r="DWY42" s="119"/>
      <c r="DWZ42" s="119"/>
      <c r="DXA42" s="119"/>
      <c r="DXB42" s="119"/>
      <c r="DXC42" s="119"/>
      <c r="DXD42" s="119"/>
      <c r="DXE42" s="119"/>
      <c r="DXF42" s="119"/>
      <c r="DXG42" s="119"/>
      <c r="DXH42" s="119"/>
      <c r="DXI42" s="119"/>
      <c r="DXJ42" s="119"/>
      <c r="DXK42" s="119"/>
      <c r="DXL42" s="119"/>
      <c r="DXM42" s="119"/>
      <c r="DXN42" s="119"/>
      <c r="DXO42" s="119"/>
      <c r="DXP42" s="119"/>
      <c r="DXQ42" s="119"/>
      <c r="DXR42" s="119"/>
      <c r="DXS42" s="119"/>
      <c r="DXT42" s="119"/>
      <c r="DXU42" s="119"/>
      <c r="DXV42" s="119"/>
      <c r="DXW42" s="119"/>
      <c r="DXX42" s="119"/>
      <c r="DXY42" s="119"/>
      <c r="DXZ42" s="119"/>
      <c r="DYA42" s="119"/>
      <c r="DYB42" s="119"/>
      <c r="DYC42" s="119"/>
      <c r="DYD42" s="119"/>
      <c r="DYE42" s="119"/>
      <c r="DYF42" s="119"/>
      <c r="DYG42" s="119"/>
      <c r="DYH42" s="119"/>
      <c r="DYI42" s="119"/>
      <c r="DYJ42" s="119"/>
      <c r="DYK42" s="119"/>
      <c r="DYL42" s="119"/>
      <c r="DYM42" s="119"/>
      <c r="DYN42" s="119"/>
      <c r="DYO42" s="119"/>
      <c r="DYP42" s="119"/>
      <c r="DYQ42" s="119"/>
      <c r="DYR42" s="119"/>
      <c r="DYS42" s="119"/>
      <c r="DYT42" s="119"/>
      <c r="DYU42" s="119"/>
      <c r="DYV42" s="119"/>
      <c r="DYW42" s="119"/>
      <c r="DYX42" s="119"/>
      <c r="DYY42" s="119"/>
      <c r="DYZ42" s="119"/>
      <c r="DZA42" s="119"/>
      <c r="DZB42" s="119"/>
      <c r="DZC42" s="119"/>
      <c r="DZD42" s="119"/>
      <c r="DZE42" s="119"/>
      <c r="DZF42" s="119"/>
      <c r="DZG42" s="119"/>
      <c r="DZH42" s="119"/>
      <c r="DZI42" s="119"/>
      <c r="DZJ42" s="119"/>
      <c r="DZK42" s="119"/>
      <c r="DZL42" s="119"/>
      <c r="DZM42" s="119"/>
      <c r="DZN42" s="119"/>
      <c r="DZO42" s="119"/>
      <c r="DZP42" s="119"/>
      <c r="DZQ42" s="119"/>
      <c r="DZR42" s="119"/>
      <c r="DZS42" s="119"/>
      <c r="DZT42" s="119"/>
      <c r="DZU42" s="119"/>
      <c r="DZV42" s="119"/>
      <c r="DZW42" s="119"/>
      <c r="DZX42" s="119"/>
      <c r="DZY42" s="119"/>
      <c r="DZZ42" s="119"/>
      <c r="EAA42" s="119"/>
      <c r="EAB42" s="119"/>
      <c r="EAC42" s="119"/>
      <c r="EAD42" s="119"/>
      <c r="EAE42" s="119"/>
      <c r="EAF42" s="119"/>
      <c r="EAG42" s="119"/>
      <c r="EAH42" s="119"/>
      <c r="EAI42" s="119"/>
      <c r="EAJ42" s="119"/>
      <c r="EAK42" s="119"/>
      <c r="EAL42" s="119"/>
      <c r="EAM42" s="119"/>
      <c r="EAN42" s="119"/>
      <c r="EAO42" s="119"/>
      <c r="EAP42" s="119"/>
      <c r="EAQ42" s="119"/>
      <c r="EAR42" s="119"/>
      <c r="EAS42" s="119"/>
      <c r="EAT42" s="119"/>
      <c r="EAU42" s="119"/>
      <c r="EAV42" s="119"/>
      <c r="EAW42" s="119"/>
      <c r="EAX42" s="119"/>
      <c r="EAY42" s="119"/>
      <c r="EAZ42" s="119"/>
      <c r="EBA42" s="119"/>
      <c r="EBB42" s="119"/>
      <c r="EBC42" s="119"/>
      <c r="EBD42" s="119"/>
      <c r="EBE42" s="119"/>
      <c r="EBF42" s="119"/>
      <c r="EBG42" s="119"/>
      <c r="EBH42" s="119"/>
      <c r="EBI42" s="119"/>
      <c r="EBJ42" s="119"/>
      <c r="EBK42" s="119"/>
      <c r="EBL42" s="119"/>
      <c r="EBM42" s="119"/>
      <c r="EBN42" s="119"/>
      <c r="EBO42" s="119"/>
      <c r="EBP42" s="119"/>
      <c r="EBQ42" s="119"/>
      <c r="EBR42" s="119"/>
      <c r="EBS42" s="119"/>
      <c r="EBT42" s="119"/>
      <c r="EBU42" s="119"/>
      <c r="EBV42" s="119"/>
      <c r="EBW42" s="119"/>
      <c r="EBX42" s="119"/>
      <c r="EBY42" s="119"/>
      <c r="EBZ42" s="119"/>
      <c r="ECA42" s="119"/>
      <c r="ECB42" s="119"/>
      <c r="ECC42" s="119"/>
      <c r="ECD42" s="119"/>
      <c r="ECE42" s="119"/>
      <c r="ECF42" s="119"/>
      <c r="ECG42" s="119"/>
      <c r="ECH42" s="119"/>
      <c r="ECI42" s="119"/>
      <c r="ECJ42" s="119"/>
      <c r="ECK42" s="119"/>
      <c r="ECL42" s="119"/>
      <c r="ECM42" s="119"/>
      <c r="ECN42" s="119"/>
      <c r="ECO42" s="119"/>
      <c r="ECP42" s="119"/>
      <c r="ECQ42" s="119"/>
      <c r="ECR42" s="119"/>
      <c r="ECS42" s="119"/>
      <c r="ECT42" s="119"/>
      <c r="ECU42" s="119"/>
      <c r="ECV42" s="119"/>
      <c r="ECW42" s="119"/>
      <c r="ECX42" s="119"/>
      <c r="ECY42" s="119"/>
      <c r="ECZ42" s="119"/>
      <c r="EDA42" s="119"/>
      <c r="EDB42" s="119"/>
      <c r="EDC42" s="119"/>
      <c r="EDD42" s="119"/>
      <c r="EDE42" s="119"/>
      <c r="EDF42" s="119"/>
      <c r="EDG42" s="119"/>
      <c r="EDH42" s="119"/>
      <c r="EDI42" s="119"/>
      <c r="EDJ42" s="119"/>
      <c r="EDK42" s="119"/>
      <c r="EDL42" s="119"/>
      <c r="EDM42" s="119"/>
      <c r="EDN42" s="119"/>
      <c r="EDO42" s="119"/>
      <c r="EDP42" s="119"/>
      <c r="EDQ42" s="119"/>
      <c r="EDR42" s="119"/>
      <c r="EDS42" s="119"/>
      <c r="EDT42" s="119"/>
      <c r="EDU42" s="119"/>
      <c r="EDV42" s="119"/>
      <c r="EDW42" s="119"/>
      <c r="EDX42" s="119"/>
      <c r="EDY42" s="119"/>
      <c r="EDZ42" s="119"/>
      <c r="EEA42" s="119"/>
      <c r="EEB42" s="119"/>
      <c r="EEC42" s="119"/>
      <c r="EED42" s="119"/>
      <c r="EEE42" s="119"/>
      <c r="EEF42" s="119"/>
      <c r="EEG42" s="119"/>
      <c r="EEH42" s="119"/>
      <c r="EEI42" s="119"/>
      <c r="EEJ42" s="119"/>
      <c r="EEK42" s="119"/>
      <c r="EEL42" s="119"/>
      <c r="EEM42" s="119"/>
      <c r="EEN42" s="119"/>
      <c r="EEO42" s="119"/>
      <c r="EEP42" s="119"/>
      <c r="EEQ42" s="119"/>
      <c r="EER42" s="119"/>
      <c r="EES42" s="119"/>
      <c r="EET42" s="119"/>
      <c r="EEU42" s="119"/>
      <c r="EEV42" s="119"/>
      <c r="EEW42" s="119"/>
      <c r="EEX42" s="119"/>
      <c r="EEY42" s="119"/>
      <c r="EEZ42" s="119"/>
      <c r="EFA42" s="119"/>
      <c r="EFB42" s="119"/>
      <c r="EFC42" s="119"/>
      <c r="EFD42" s="119"/>
      <c r="EFE42" s="119"/>
      <c r="EFF42" s="119"/>
      <c r="EFG42" s="119"/>
      <c r="EFH42" s="119"/>
      <c r="EFI42" s="119"/>
      <c r="EFJ42" s="119"/>
      <c r="EFK42" s="119"/>
      <c r="EFL42" s="119"/>
      <c r="EFM42" s="119"/>
      <c r="EFN42" s="119"/>
      <c r="EFO42" s="119"/>
      <c r="EFP42" s="119"/>
      <c r="EFQ42" s="119"/>
      <c r="EFR42" s="119"/>
      <c r="EFS42" s="119"/>
      <c r="EFT42" s="119"/>
      <c r="EFU42" s="119"/>
      <c r="EFV42" s="119"/>
      <c r="EFW42" s="119"/>
      <c r="EFX42" s="119"/>
      <c r="EFY42" s="119"/>
      <c r="EFZ42" s="119"/>
      <c r="EGA42" s="119"/>
      <c r="EGB42" s="119"/>
      <c r="EGC42" s="119"/>
      <c r="EGD42" s="119"/>
      <c r="EGE42" s="119"/>
      <c r="EGF42" s="119"/>
      <c r="EGG42" s="119"/>
      <c r="EGH42" s="119"/>
      <c r="EGI42" s="119"/>
      <c r="EGJ42" s="119"/>
      <c r="EGK42" s="119"/>
      <c r="EGL42" s="119"/>
      <c r="EGM42" s="119"/>
      <c r="EGN42" s="119"/>
      <c r="EGO42" s="119"/>
      <c r="EGP42" s="119"/>
      <c r="EGQ42" s="119"/>
      <c r="EGR42" s="119"/>
      <c r="EGS42" s="119"/>
      <c r="EGT42" s="119"/>
      <c r="EGU42" s="119"/>
      <c r="EGV42" s="119"/>
      <c r="EGW42" s="119"/>
      <c r="EGX42" s="119"/>
      <c r="EGY42" s="119"/>
      <c r="EGZ42" s="119"/>
      <c r="EHA42" s="119"/>
      <c r="EHB42" s="119"/>
      <c r="EHC42" s="119"/>
      <c r="EHD42" s="119"/>
      <c r="EHE42" s="119"/>
      <c r="EHF42" s="119"/>
      <c r="EHG42" s="119"/>
      <c r="EHH42" s="119"/>
      <c r="EHI42" s="119"/>
      <c r="EHJ42" s="119"/>
      <c r="EHK42" s="119"/>
      <c r="EHL42" s="119"/>
      <c r="EHM42" s="119"/>
      <c r="EHN42" s="119"/>
      <c r="EHO42" s="119"/>
      <c r="EHP42" s="119"/>
      <c r="EHQ42" s="119"/>
      <c r="EHR42" s="119"/>
      <c r="EHS42" s="119"/>
      <c r="EHT42" s="119"/>
      <c r="EHU42" s="119"/>
      <c r="EHV42" s="119"/>
      <c r="EHW42" s="119"/>
      <c r="EHX42" s="119"/>
      <c r="EHY42" s="119"/>
      <c r="EHZ42" s="119"/>
      <c r="EIA42" s="119"/>
      <c r="EIB42" s="119"/>
      <c r="EIC42" s="119"/>
      <c r="EID42" s="119"/>
      <c r="EIE42" s="119"/>
      <c r="EIF42" s="119"/>
      <c r="EIG42" s="119"/>
      <c r="EIH42" s="119"/>
      <c r="EII42" s="119"/>
      <c r="EIJ42" s="119"/>
      <c r="EIK42" s="119"/>
      <c r="EIL42" s="119"/>
      <c r="EIM42" s="119"/>
      <c r="EIN42" s="119"/>
      <c r="EIO42" s="119"/>
      <c r="EIP42" s="119"/>
      <c r="EIQ42" s="119"/>
      <c r="EIR42" s="119"/>
      <c r="EIS42" s="119"/>
      <c r="EIT42" s="119"/>
      <c r="EIU42" s="119"/>
      <c r="EIV42" s="119"/>
      <c r="EIW42" s="119"/>
      <c r="EIX42" s="119"/>
      <c r="EIY42" s="119"/>
      <c r="EIZ42" s="119"/>
      <c r="EJA42" s="119"/>
      <c r="EJB42" s="119"/>
      <c r="EJC42" s="119"/>
      <c r="EJD42" s="119"/>
      <c r="EJE42" s="119"/>
      <c r="EJF42" s="119"/>
      <c r="EJG42" s="119"/>
      <c r="EJH42" s="119"/>
      <c r="EJI42" s="119"/>
      <c r="EJJ42" s="119"/>
      <c r="EJK42" s="119"/>
      <c r="EJL42" s="119"/>
      <c r="EJM42" s="119"/>
      <c r="EJN42" s="119"/>
      <c r="EJO42" s="119"/>
      <c r="EJP42" s="119"/>
      <c r="EJQ42" s="119"/>
      <c r="EJR42" s="119"/>
      <c r="EJS42" s="119"/>
      <c r="EJT42" s="119"/>
      <c r="EJU42" s="119"/>
      <c r="EJV42" s="119"/>
      <c r="EJW42" s="119"/>
      <c r="EJX42" s="119"/>
      <c r="EJY42" s="119"/>
      <c r="EJZ42" s="119"/>
      <c r="EKA42" s="119"/>
      <c r="EKB42" s="119"/>
      <c r="EKC42" s="119"/>
      <c r="EKD42" s="119"/>
      <c r="EKE42" s="119"/>
      <c r="EKF42" s="119"/>
      <c r="EKG42" s="119"/>
      <c r="EKH42" s="119"/>
      <c r="EKI42" s="119"/>
      <c r="EKJ42" s="119"/>
      <c r="EKK42" s="119"/>
      <c r="EKL42" s="119"/>
      <c r="EKM42" s="119"/>
      <c r="EKN42" s="119"/>
      <c r="EKO42" s="119"/>
      <c r="EKP42" s="119"/>
      <c r="EKQ42" s="119"/>
      <c r="EKR42" s="119"/>
      <c r="EKS42" s="119"/>
      <c r="EKT42" s="119"/>
      <c r="EKU42" s="119"/>
      <c r="EKV42" s="119"/>
      <c r="EKW42" s="119"/>
      <c r="EKX42" s="119"/>
      <c r="EKY42" s="119"/>
      <c r="EKZ42" s="119"/>
      <c r="ELA42" s="119"/>
      <c r="ELB42" s="119"/>
      <c r="ELC42" s="119"/>
      <c r="ELD42" s="119"/>
      <c r="ELE42" s="119"/>
      <c r="ELF42" s="119"/>
      <c r="ELG42" s="119"/>
      <c r="ELH42" s="119"/>
      <c r="ELI42" s="119"/>
      <c r="ELJ42" s="119"/>
      <c r="ELK42" s="119"/>
      <c r="ELL42" s="119"/>
      <c r="ELM42" s="119"/>
      <c r="ELN42" s="119"/>
      <c r="ELO42" s="119"/>
      <c r="ELP42" s="119"/>
      <c r="ELQ42" s="119"/>
      <c r="ELR42" s="119"/>
      <c r="ELS42" s="119"/>
      <c r="ELT42" s="119"/>
      <c r="ELU42" s="119"/>
      <c r="ELV42" s="119"/>
      <c r="ELW42" s="119"/>
      <c r="ELX42" s="119"/>
      <c r="ELY42" s="119"/>
      <c r="ELZ42" s="119"/>
      <c r="EMA42" s="119"/>
      <c r="EMB42" s="119"/>
      <c r="EMC42" s="119"/>
      <c r="EMD42" s="119"/>
      <c r="EME42" s="119"/>
      <c r="EMF42" s="119"/>
      <c r="EMG42" s="119"/>
      <c r="EMH42" s="119"/>
      <c r="EMI42" s="119"/>
      <c r="EMJ42" s="119"/>
      <c r="EMK42" s="119"/>
      <c r="EML42" s="119"/>
      <c r="EMM42" s="119"/>
      <c r="EMN42" s="119"/>
      <c r="EMO42" s="119"/>
      <c r="EMP42" s="119"/>
      <c r="EMQ42" s="119"/>
      <c r="EMR42" s="119"/>
      <c r="EMS42" s="119"/>
      <c r="EMT42" s="119"/>
      <c r="EMU42" s="119"/>
      <c r="EMV42" s="119"/>
      <c r="EMW42" s="119"/>
      <c r="EMX42" s="119"/>
      <c r="EMY42" s="119"/>
      <c r="EMZ42" s="119"/>
      <c r="ENA42" s="119"/>
      <c r="ENB42" s="119"/>
      <c r="ENC42" s="119"/>
      <c r="END42" s="119"/>
      <c r="ENE42" s="119"/>
      <c r="ENF42" s="119"/>
      <c r="ENG42" s="119"/>
      <c r="ENH42" s="119"/>
      <c r="ENI42" s="119"/>
      <c r="ENJ42" s="119"/>
      <c r="ENK42" s="119"/>
      <c r="ENL42" s="119"/>
      <c r="ENM42" s="119"/>
      <c r="ENN42" s="119"/>
      <c r="ENO42" s="119"/>
      <c r="ENP42" s="119"/>
      <c r="ENQ42" s="119"/>
      <c r="ENR42" s="119"/>
      <c r="ENS42" s="119"/>
      <c r="ENT42" s="119"/>
      <c r="ENU42" s="119"/>
      <c r="ENV42" s="119"/>
      <c r="ENW42" s="119"/>
      <c r="ENX42" s="119"/>
      <c r="ENY42" s="119"/>
      <c r="ENZ42" s="119"/>
      <c r="EOA42" s="119"/>
      <c r="EOB42" s="119"/>
      <c r="EOC42" s="119"/>
      <c r="EOD42" s="119"/>
      <c r="EOE42" s="119"/>
      <c r="EOF42" s="119"/>
      <c r="EOG42" s="119"/>
      <c r="EOH42" s="119"/>
      <c r="EOI42" s="119"/>
      <c r="EOJ42" s="119"/>
      <c r="EOK42" s="119"/>
      <c r="EOL42" s="119"/>
      <c r="EOM42" s="119"/>
      <c r="EON42" s="119"/>
      <c r="EOO42" s="119"/>
      <c r="EOP42" s="119"/>
      <c r="EOQ42" s="119"/>
      <c r="EOR42" s="119"/>
      <c r="EOS42" s="119"/>
      <c r="EOT42" s="119"/>
      <c r="EOU42" s="119"/>
      <c r="EOV42" s="119"/>
      <c r="EOW42" s="119"/>
      <c r="EOX42" s="119"/>
      <c r="EOY42" s="119"/>
      <c r="EOZ42" s="119"/>
      <c r="EPA42" s="119"/>
      <c r="EPB42" s="119"/>
      <c r="EPC42" s="119"/>
      <c r="EPD42" s="119"/>
      <c r="EPE42" s="119"/>
      <c r="EPF42" s="119"/>
      <c r="EPG42" s="119"/>
      <c r="EPH42" s="119"/>
      <c r="EPI42" s="119"/>
      <c r="EPJ42" s="119"/>
      <c r="EPK42" s="119"/>
      <c r="EPL42" s="119"/>
      <c r="EPM42" s="119"/>
      <c r="EPN42" s="119"/>
      <c r="EPO42" s="119"/>
      <c r="EPP42" s="119"/>
      <c r="EPQ42" s="119"/>
      <c r="EPR42" s="119"/>
      <c r="EPS42" s="119"/>
      <c r="EPT42" s="119"/>
      <c r="EPU42" s="119"/>
      <c r="EPV42" s="119"/>
      <c r="EPW42" s="119"/>
      <c r="EPX42" s="119"/>
      <c r="EPY42" s="119"/>
      <c r="EPZ42" s="119"/>
      <c r="EQA42" s="119"/>
      <c r="EQB42" s="119"/>
      <c r="EQC42" s="119"/>
      <c r="EQD42" s="119"/>
      <c r="EQE42" s="119"/>
      <c r="EQF42" s="119"/>
      <c r="EQG42" s="119"/>
      <c r="EQH42" s="119"/>
      <c r="EQI42" s="119"/>
      <c r="EQJ42" s="119"/>
      <c r="EQK42" s="119"/>
      <c r="EQL42" s="119"/>
      <c r="EQM42" s="119"/>
      <c r="EQN42" s="119"/>
      <c r="EQO42" s="119"/>
      <c r="EQP42" s="119"/>
      <c r="EQQ42" s="119"/>
      <c r="EQR42" s="119"/>
      <c r="EQS42" s="119"/>
      <c r="EQT42" s="119"/>
      <c r="EQU42" s="119"/>
      <c r="EQV42" s="119"/>
      <c r="EQW42" s="119"/>
      <c r="EQX42" s="119"/>
      <c r="EQY42" s="119"/>
      <c r="EQZ42" s="119"/>
      <c r="ERA42" s="119"/>
      <c r="ERB42" s="119"/>
      <c r="ERC42" s="119"/>
      <c r="ERD42" s="119"/>
      <c r="ERE42" s="119"/>
      <c r="ERF42" s="119"/>
      <c r="ERG42" s="119"/>
      <c r="ERH42" s="119"/>
      <c r="ERI42" s="119"/>
      <c r="ERJ42" s="119"/>
      <c r="ERK42" s="119"/>
      <c r="ERL42" s="119"/>
      <c r="ERM42" s="119"/>
      <c r="ERN42" s="119"/>
      <c r="ERO42" s="119"/>
      <c r="ERP42" s="119"/>
      <c r="ERQ42" s="119"/>
      <c r="ERR42" s="119"/>
      <c r="ERS42" s="119"/>
      <c r="ERT42" s="119"/>
      <c r="ERU42" s="119"/>
      <c r="ERV42" s="119"/>
      <c r="ERW42" s="119"/>
      <c r="ERX42" s="119"/>
      <c r="ERY42" s="119"/>
      <c r="ERZ42" s="119"/>
      <c r="ESA42" s="119"/>
      <c r="ESB42" s="119"/>
      <c r="ESC42" s="119"/>
      <c r="ESD42" s="119"/>
      <c r="ESE42" s="119"/>
      <c r="ESF42" s="119"/>
      <c r="ESG42" s="119"/>
      <c r="ESH42" s="119"/>
      <c r="ESI42" s="119"/>
      <c r="ESJ42" s="119"/>
      <c r="ESK42" s="119"/>
      <c r="ESL42" s="119"/>
      <c r="ESM42" s="119"/>
      <c r="ESN42" s="119"/>
      <c r="ESO42" s="119"/>
      <c r="ESP42" s="119"/>
      <c r="ESQ42" s="119"/>
      <c r="ESR42" s="119"/>
      <c r="ESS42" s="119"/>
      <c r="EST42" s="119"/>
      <c r="ESU42" s="119"/>
      <c r="ESV42" s="119"/>
      <c r="ESW42" s="119"/>
      <c r="ESX42" s="119"/>
      <c r="ESY42" s="119"/>
      <c r="ESZ42" s="119"/>
      <c r="ETA42" s="119"/>
      <c r="ETB42" s="119"/>
      <c r="ETC42" s="119"/>
      <c r="ETD42" s="119"/>
      <c r="ETE42" s="119"/>
      <c r="ETF42" s="119"/>
      <c r="ETG42" s="119"/>
      <c r="ETH42" s="119"/>
      <c r="ETI42" s="119"/>
      <c r="ETJ42" s="119"/>
      <c r="ETK42" s="119"/>
      <c r="ETL42" s="119"/>
      <c r="ETM42" s="119"/>
      <c r="ETN42" s="119"/>
      <c r="ETO42" s="119"/>
      <c r="ETP42" s="119"/>
      <c r="ETQ42" s="119"/>
      <c r="ETR42" s="119"/>
      <c r="ETS42" s="119"/>
      <c r="ETT42" s="119"/>
      <c r="ETU42" s="119"/>
      <c r="ETV42" s="119"/>
      <c r="ETW42" s="119"/>
      <c r="ETX42" s="119"/>
      <c r="ETY42" s="119"/>
      <c r="ETZ42" s="119"/>
      <c r="EUA42" s="119"/>
      <c r="EUB42" s="119"/>
      <c r="EUC42" s="119"/>
      <c r="EUD42" s="119"/>
      <c r="EUE42" s="119"/>
      <c r="EUF42" s="119"/>
      <c r="EUG42" s="119"/>
      <c r="EUH42" s="119"/>
      <c r="EUI42" s="119"/>
      <c r="EUJ42" s="119"/>
      <c r="EUK42" s="119"/>
      <c r="EUL42" s="119"/>
      <c r="EUM42" s="119"/>
      <c r="EUN42" s="119"/>
      <c r="EUO42" s="119"/>
      <c r="EUP42" s="119"/>
      <c r="EUQ42" s="119"/>
      <c r="EUR42" s="119"/>
      <c r="EUS42" s="119"/>
      <c r="EUT42" s="119"/>
      <c r="EUU42" s="119"/>
      <c r="EUV42" s="119"/>
      <c r="EUW42" s="119"/>
      <c r="EUX42" s="119"/>
      <c r="EUY42" s="119"/>
      <c r="EUZ42" s="119"/>
      <c r="EVA42" s="119"/>
      <c r="EVB42" s="119"/>
      <c r="EVC42" s="119"/>
      <c r="EVD42" s="119"/>
      <c r="EVE42" s="119"/>
      <c r="EVF42" s="119"/>
      <c r="EVG42" s="119"/>
      <c r="EVH42" s="119"/>
      <c r="EVI42" s="119"/>
      <c r="EVJ42" s="119"/>
      <c r="EVK42" s="119"/>
      <c r="EVL42" s="119"/>
      <c r="EVM42" s="119"/>
      <c r="EVN42" s="119"/>
      <c r="EVO42" s="119"/>
      <c r="EVP42" s="119"/>
      <c r="EVQ42" s="119"/>
      <c r="EVR42" s="119"/>
      <c r="EVS42" s="119"/>
      <c r="EVT42" s="119"/>
      <c r="EVU42" s="119"/>
      <c r="EVV42" s="119"/>
      <c r="EVW42" s="119"/>
      <c r="EVX42" s="119"/>
      <c r="EVY42" s="119"/>
      <c r="EVZ42" s="119"/>
      <c r="EWA42" s="119"/>
      <c r="EWB42" s="119"/>
      <c r="EWC42" s="119"/>
      <c r="EWD42" s="119"/>
      <c r="EWE42" s="119"/>
      <c r="EWF42" s="119"/>
      <c r="EWG42" s="119"/>
      <c r="EWH42" s="119"/>
      <c r="EWI42" s="119"/>
      <c r="EWJ42" s="119"/>
      <c r="EWK42" s="119"/>
      <c r="EWL42" s="119"/>
      <c r="EWM42" s="119"/>
      <c r="EWN42" s="119"/>
      <c r="EWO42" s="119"/>
      <c r="EWP42" s="119"/>
      <c r="EWQ42" s="119"/>
      <c r="EWR42" s="119"/>
      <c r="EWS42" s="119"/>
      <c r="EWT42" s="119"/>
      <c r="EWU42" s="119"/>
      <c r="EWV42" s="119"/>
      <c r="EWW42" s="119"/>
      <c r="EWX42" s="119"/>
      <c r="EWY42" s="119"/>
      <c r="EWZ42" s="119"/>
      <c r="EXA42" s="119"/>
      <c r="EXB42" s="119"/>
      <c r="EXC42" s="119"/>
      <c r="EXD42" s="119"/>
      <c r="EXE42" s="119"/>
      <c r="EXF42" s="119"/>
      <c r="EXG42" s="119"/>
      <c r="EXH42" s="119"/>
      <c r="EXI42" s="119"/>
      <c r="EXJ42" s="119"/>
      <c r="EXK42" s="119"/>
      <c r="EXL42" s="119"/>
      <c r="EXM42" s="119"/>
      <c r="EXN42" s="119"/>
      <c r="EXO42" s="119"/>
      <c r="EXP42" s="119"/>
      <c r="EXQ42" s="119"/>
      <c r="EXR42" s="119"/>
      <c r="EXS42" s="119"/>
      <c r="EXT42" s="119"/>
      <c r="EXU42" s="119"/>
      <c r="EXV42" s="119"/>
      <c r="EXW42" s="119"/>
      <c r="EXX42" s="119"/>
      <c r="EXY42" s="119"/>
      <c r="EXZ42" s="119"/>
      <c r="EYA42" s="119"/>
      <c r="EYB42" s="119"/>
      <c r="EYC42" s="119"/>
      <c r="EYD42" s="119"/>
      <c r="EYE42" s="119"/>
      <c r="EYF42" s="119"/>
      <c r="EYG42" s="119"/>
      <c r="EYH42" s="119"/>
      <c r="EYI42" s="119"/>
      <c r="EYJ42" s="119"/>
      <c r="EYK42" s="119"/>
      <c r="EYL42" s="119"/>
      <c r="EYM42" s="119"/>
      <c r="EYN42" s="119"/>
      <c r="EYO42" s="119"/>
      <c r="EYP42" s="119"/>
      <c r="EYQ42" s="119"/>
      <c r="EYR42" s="119"/>
      <c r="EYS42" s="119"/>
      <c r="EYT42" s="119"/>
      <c r="EYU42" s="119"/>
      <c r="EYV42" s="119"/>
      <c r="EYW42" s="119"/>
      <c r="EYX42" s="119"/>
      <c r="EYY42" s="119"/>
      <c r="EYZ42" s="119"/>
      <c r="EZA42" s="119"/>
      <c r="EZB42" s="119"/>
      <c r="EZC42" s="119"/>
      <c r="EZD42" s="119"/>
      <c r="EZE42" s="119"/>
      <c r="EZF42" s="119"/>
      <c r="EZG42" s="119"/>
      <c r="EZH42" s="119"/>
      <c r="EZI42" s="119"/>
      <c r="EZJ42" s="119"/>
      <c r="EZK42" s="119"/>
      <c r="EZL42" s="119"/>
      <c r="EZM42" s="119"/>
      <c r="EZN42" s="119"/>
      <c r="EZO42" s="119"/>
      <c r="EZP42" s="119"/>
      <c r="EZQ42" s="119"/>
      <c r="EZR42" s="119"/>
      <c r="EZS42" s="119"/>
      <c r="EZT42" s="119"/>
      <c r="EZU42" s="119"/>
      <c r="EZV42" s="119"/>
      <c r="EZW42" s="119"/>
      <c r="EZX42" s="119"/>
      <c r="EZY42" s="119"/>
      <c r="EZZ42" s="119"/>
      <c r="FAA42" s="119"/>
      <c r="FAB42" s="119"/>
      <c r="FAC42" s="119"/>
      <c r="FAD42" s="119"/>
      <c r="FAE42" s="119"/>
      <c r="FAF42" s="119"/>
      <c r="FAG42" s="119"/>
      <c r="FAH42" s="119"/>
      <c r="FAI42" s="119"/>
      <c r="FAJ42" s="119"/>
      <c r="FAK42" s="119"/>
      <c r="FAL42" s="119"/>
      <c r="FAM42" s="119"/>
      <c r="FAN42" s="119"/>
      <c r="FAO42" s="119"/>
      <c r="FAP42" s="119"/>
      <c r="FAQ42" s="119"/>
      <c r="FAR42" s="119"/>
      <c r="FAS42" s="119"/>
      <c r="FAT42" s="119"/>
      <c r="FAU42" s="119"/>
      <c r="FAV42" s="119"/>
      <c r="FAW42" s="119"/>
      <c r="FAX42" s="119"/>
      <c r="FAY42" s="119"/>
      <c r="FAZ42" s="119"/>
      <c r="FBA42" s="119"/>
      <c r="FBB42" s="119"/>
      <c r="FBC42" s="119"/>
      <c r="FBD42" s="119"/>
      <c r="FBE42" s="119"/>
      <c r="FBF42" s="119"/>
      <c r="FBG42" s="119"/>
      <c r="FBH42" s="119"/>
      <c r="FBI42" s="119"/>
      <c r="FBJ42" s="119"/>
      <c r="FBK42" s="119"/>
      <c r="FBL42" s="119"/>
      <c r="FBM42" s="119"/>
      <c r="FBN42" s="119"/>
      <c r="FBO42" s="119"/>
      <c r="FBP42" s="119"/>
      <c r="FBQ42" s="119"/>
      <c r="FBR42" s="119"/>
      <c r="FBS42" s="119"/>
      <c r="FBT42" s="119"/>
      <c r="FBU42" s="119"/>
      <c r="FBV42" s="119"/>
      <c r="FBW42" s="119"/>
      <c r="FBX42" s="119"/>
      <c r="FBY42" s="119"/>
      <c r="FBZ42" s="119"/>
      <c r="FCA42" s="119"/>
      <c r="FCB42" s="119"/>
      <c r="FCC42" s="119"/>
      <c r="FCD42" s="119"/>
      <c r="FCE42" s="119"/>
      <c r="FCF42" s="119"/>
      <c r="FCG42" s="119"/>
      <c r="FCH42" s="119"/>
      <c r="FCI42" s="119"/>
      <c r="FCJ42" s="119"/>
      <c r="FCK42" s="119"/>
      <c r="FCL42" s="119"/>
      <c r="FCM42" s="119"/>
      <c r="FCN42" s="119"/>
      <c r="FCO42" s="119"/>
      <c r="FCP42" s="119"/>
      <c r="FCQ42" s="119"/>
      <c r="FCR42" s="119"/>
      <c r="FCS42" s="119"/>
      <c r="FCT42" s="119"/>
      <c r="FCU42" s="119"/>
      <c r="FCV42" s="119"/>
      <c r="FCW42" s="119"/>
      <c r="FCX42" s="119"/>
      <c r="FCY42" s="119"/>
      <c r="FCZ42" s="119"/>
      <c r="FDA42" s="119"/>
      <c r="FDB42" s="119"/>
      <c r="FDC42" s="119"/>
      <c r="FDD42" s="119"/>
      <c r="FDE42" s="119"/>
      <c r="FDF42" s="119"/>
      <c r="FDG42" s="119"/>
      <c r="FDH42" s="119"/>
      <c r="FDI42" s="119"/>
      <c r="FDJ42" s="119"/>
      <c r="FDK42" s="119"/>
      <c r="FDL42" s="119"/>
      <c r="FDM42" s="119"/>
      <c r="FDN42" s="119"/>
      <c r="FDO42" s="119"/>
      <c r="FDP42" s="119"/>
      <c r="FDQ42" s="119"/>
      <c r="FDR42" s="119"/>
      <c r="FDS42" s="119"/>
      <c r="FDT42" s="119"/>
      <c r="FDU42" s="119"/>
      <c r="FDV42" s="119"/>
      <c r="FDW42" s="119"/>
      <c r="FDX42" s="119"/>
      <c r="FDY42" s="119"/>
      <c r="FDZ42" s="119"/>
      <c r="FEA42" s="119"/>
      <c r="FEB42" s="119"/>
      <c r="FEC42" s="119"/>
      <c r="FED42" s="119"/>
      <c r="FEE42" s="119"/>
      <c r="FEF42" s="119"/>
      <c r="FEG42" s="119"/>
      <c r="FEH42" s="119"/>
      <c r="FEI42" s="119"/>
      <c r="FEJ42" s="119"/>
      <c r="FEK42" s="119"/>
      <c r="FEL42" s="119"/>
      <c r="FEM42" s="119"/>
      <c r="FEN42" s="119"/>
      <c r="FEO42" s="119"/>
      <c r="FEP42" s="119"/>
      <c r="FEQ42" s="119"/>
      <c r="FER42" s="119"/>
      <c r="FES42" s="119"/>
      <c r="FET42" s="119"/>
      <c r="FEU42" s="119"/>
      <c r="FEV42" s="119"/>
      <c r="FEW42" s="119"/>
      <c r="FEX42" s="119"/>
      <c r="FEY42" s="119"/>
      <c r="FEZ42" s="119"/>
      <c r="FFA42" s="119"/>
      <c r="FFB42" s="119"/>
      <c r="FFC42" s="119"/>
      <c r="FFD42" s="119"/>
      <c r="FFE42" s="119"/>
      <c r="FFF42" s="119"/>
      <c r="FFG42" s="119"/>
      <c r="FFH42" s="119"/>
      <c r="FFI42" s="119"/>
      <c r="FFJ42" s="119"/>
      <c r="FFK42" s="119"/>
      <c r="FFL42" s="119"/>
      <c r="FFM42" s="119"/>
      <c r="FFN42" s="119"/>
      <c r="FFO42" s="119"/>
      <c r="FFP42" s="119"/>
      <c r="FFQ42" s="119"/>
      <c r="FFR42" s="119"/>
      <c r="FFS42" s="119"/>
      <c r="FFT42" s="119"/>
      <c r="FFU42" s="119"/>
      <c r="FFV42" s="119"/>
      <c r="FFW42" s="119"/>
      <c r="FFX42" s="119"/>
      <c r="FFY42" s="119"/>
      <c r="FFZ42" s="119"/>
      <c r="FGA42" s="119"/>
      <c r="FGB42" s="119"/>
      <c r="FGC42" s="119"/>
      <c r="FGD42" s="119"/>
      <c r="FGE42" s="119"/>
      <c r="FGF42" s="119"/>
      <c r="FGG42" s="119"/>
      <c r="FGH42" s="119"/>
      <c r="FGI42" s="119"/>
      <c r="FGJ42" s="119"/>
      <c r="FGK42" s="119"/>
      <c r="FGL42" s="119"/>
      <c r="FGM42" s="119"/>
      <c r="FGN42" s="119"/>
      <c r="FGO42" s="119"/>
      <c r="FGP42" s="119"/>
      <c r="FGQ42" s="119"/>
      <c r="FGR42" s="119"/>
      <c r="FGS42" s="119"/>
      <c r="FGT42" s="119"/>
      <c r="FGU42" s="119"/>
      <c r="FGV42" s="119"/>
      <c r="FGW42" s="119"/>
      <c r="FGX42" s="119"/>
      <c r="FGY42" s="119"/>
      <c r="FGZ42" s="119"/>
      <c r="FHA42" s="119"/>
      <c r="FHB42" s="119"/>
      <c r="FHC42" s="119"/>
      <c r="FHD42" s="119"/>
      <c r="FHE42" s="119"/>
      <c r="FHF42" s="119"/>
      <c r="FHG42" s="119"/>
      <c r="FHH42" s="119"/>
      <c r="FHI42" s="119"/>
      <c r="FHJ42" s="119"/>
      <c r="FHK42" s="119"/>
      <c r="FHL42" s="119"/>
      <c r="FHM42" s="119"/>
      <c r="FHN42" s="119"/>
      <c r="FHO42" s="119"/>
      <c r="FHP42" s="119"/>
      <c r="FHQ42" s="119"/>
      <c r="FHR42" s="119"/>
      <c r="FHS42" s="119"/>
      <c r="FHT42" s="119"/>
      <c r="FHU42" s="119"/>
      <c r="FHV42" s="119"/>
      <c r="FHW42" s="119"/>
      <c r="FHX42" s="119"/>
      <c r="FHY42" s="119"/>
      <c r="FHZ42" s="119"/>
      <c r="FIA42" s="119"/>
      <c r="FIB42" s="119"/>
      <c r="FIC42" s="119"/>
      <c r="FID42" s="119"/>
      <c r="FIE42" s="119"/>
      <c r="FIF42" s="119"/>
      <c r="FIG42" s="119"/>
      <c r="FIH42" s="119"/>
      <c r="FII42" s="119"/>
      <c r="FIJ42" s="119"/>
      <c r="FIK42" s="119"/>
      <c r="FIL42" s="119"/>
      <c r="FIM42" s="119"/>
      <c r="FIN42" s="119"/>
      <c r="FIO42" s="119"/>
      <c r="FIP42" s="119"/>
      <c r="FIQ42" s="119"/>
      <c r="FIR42" s="119"/>
      <c r="FIS42" s="119"/>
      <c r="FIT42" s="119"/>
      <c r="FIU42" s="119"/>
      <c r="FIV42" s="119"/>
      <c r="FIW42" s="119"/>
      <c r="FIX42" s="119"/>
      <c r="FIY42" s="119"/>
      <c r="FIZ42" s="119"/>
      <c r="FJA42" s="119"/>
      <c r="FJB42" s="119"/>
      <c r="FJC42" s="119"/>
      <c r="FJD42" s="119"/>
      <c r="FJE42" s="119"/>
      <c r="FJF42" s="119"/>
      <c r="FJG42" s="119"/>
      <c r="FJH42" s="119"/>
      <c r="FJI42" s="119"/>
      <c r="FJJ42" s="119"/>
      <c r="FJK42" s="119"/>
      <c r="FJL42" s="119"/>
      <c r="FJM42" s="119"/>
      <c r="FJN42" s="119"/>
      <c r="FJO42" s="119"/>
      <c r="FJP42" s="119"/>
      <c r="FJQ42" s="119"/>
      <c r="FJR42" s="119"/>
      <c r="FJS42" s="119"/>
      <c r="FJT42" s="119"/>
      <c r="FJU42" s="119"/>
      <c r="FJV42" s="119"/>
      <c r="FJW42" s="119"/>
      <c r="FJX42" s="119"/>
      <c r="FJY42" s="119"/>
      <c r="FJZ42" s="119"/>
      <c r="FKA42" s="119"/>
      <c r="FKB42" s="119"/>
      <c r="FKC42" s="119"/>
      <c r="FKD42" s="119"/>
      <c r="FKE42" s="119"/>
      <c r="FKF42" s="119"/>
      <c r="FKG42" s="119"/>
      <c r="FKH42" s="119"/>
      <c r="FKI42" s="119"/>
      <c r="FKJ42" s="119"/>
      <c r="FKK42" s="119"/>
      <c r="FKL42" s="119"/>
      <c r="FKM42" s="119"/>
      <c r="FKN42" s="119"/>
      <c r="FKO42" s="119"/>
      <c r="FKP42" s="119"/>
      <c r="FKQ42" s="119"/>
      <c r="FKR42" s="119"/>
      <c r="FKS42" s="119"/>
      <c r="FKT42" s="119"/>
      <c r="FKU42" s="119"/>
      <c r="FKV42" s="119"/>
      <c r="FKW42" s="119"/>
      <c r="FKX42" s="119"/>
      <c r="FKY42" s="119"/>
      <c r="FKZ42" s="119"/>
      <c r="FLA42" s="119"/>
      <c r="FLB42" s="119"/>
      <c r="FLC42" s="119"/>
      <c r="FLD42" s="119"/>
      <c r="FLE42" s="119"/>
      <c r="FLF42" s="119"/>
      <c r="FLG42" s="119"/>
      <c r="FLH42" s="119"/>
      <c r="FLI42" s="119"/>
      <c r="FLJ42" s="119"/>
      <c r="FLK42" s="119"/>
      <c r="FLL42" s="119"/>
      <c r="FLM42" s="119"/>
      <c r="FLN42" s="119"/>
      <c r="FLO42" s="119"/>
      <c r="FLP42" s="119"/>
      <c r="FLQ42" s="119"/>
      <c r="FLR42" s="119"/>
      <c r="FLS42" s="119"/>
      <c r="FLT42" s="119"/>
      <c r="FLU42" s="119"/>
      <c r="FLV42" s="119"/>
      <c r="FLW42" s="119"/>
      <c r="FLX42" s="119"/>
      <c r="FLY42" s="119"/>
      <c r="FLZ42" s="119"/>
      <c r="FMA42" s="119"/>
      <c r="FMB42" s="119"/>
      <c r="FMC42" s="119"/>
      <c r="FMD42" s="119"/>
      <c r="FME42" s="119"/>
      <c r="FMF42" s="119"/>
      <c r="FMG42" s="119"/>
      <c r="FMH42" s="119"/>
      <c r="FMI42" s="119"/>
      <c r="FMJ42" s="119"/>
      <c r="FMK42" s="119"/>
      <c r="FML42" s="119"/>
      <c r="FMM42" s="119"/>
      <c r="FMN42" s="119"/>
      <c r="FMO42" s="119"/>
      <c r="FMP42" s="119"/>
      <c r="FMQ42" s="119"/>
      <c r="FMR42" s="119"/>
      <c r="FMS42" s="119"/>
      <c r="FMT42" s="119"/>
      <c r="FMU42" s="119"/>
      <c r="FMV42" s="119"/>
      <c r="FMW42" s="119"/>
      <c r="FMX42" s="119"/>
      <c r="FMY42" s="119"/>
      <c r="FMZ42" s="119"/>
      <c r="FNA42" s="119"/>
      <c r="FNB42" s="119"/>
      <c r="FNC42" s="119"/>
      <c r="FND42" s="119"/>
      <c r="FNE42" s="119"/>
      <c r="FNF42" s="119"/>
      <c r="FNG42" s="119"/>
      <c r="FNH42" s="119"/>
      <c r="FNI42" s="119"/>
      <c r="FNJ42" s="119"/>
      <c r="FNK42" s="119"/>
      <c r="FNL42" s="119"/>
      <c r="FNM42" s="119"/>
      <c r="FNN42" s="119"/>
      <c r="FNO42" s="119"/>
      <c r="FNP42" s="119"/>
      <c r="FNQ42" s="119"/>
      <c r="FNR42" s="119"/>
      <c r="FNS42" s="119"/>
      <c r="FNT42" s="119"/>
      <c r="FNU42" s="119"/>
      <c r="FNV42" s="119"/>
      <c r="FNW42" s="119"/>
      <c r="FNX42" s="119"/>
      <c r="FNY42" s="119"/>
      <c r="FNZ42" s="119"/>
      <c r="FOA42" s="119"/>
      <c r="FOB42" s="119"/>
      <c r="FOC42" s="119"/>
      <c r="FOD42" s="119"/>
      <c r="FOE42" s="119"/>
      <c r="FOF42" s="119"/>
      <c r="FOG42" s="119"/>
      <c r="FOH42" s="119"/>
      <c r="FOI42" s="119"/>
      <c r="FOJ42" s="119"/>
      <c r="FOK42" s="119"/>
      <c r="FOL42" s="119"/>
      <c r="FOM42" s="119"/>
      <c r="FON42" s="119"/>
      <c r="FOO42" s="119"/>
      <c r="FOP42" s="119"/>
      <c r="FOQ42" s="119"/>
      <c r="FOR42" s="119"/>
      <c r="FOS42" s="119"/>
      <c r="FOT42" s="119"/>
      <c r="FOU42" s="119"/>
      <c r="FOV42" s="119"/>
      <c r="FOW42" s="119"/>
      <c r="FOX42" s="119"/>
      <c r="FOY42" s="119"/>
      <c r="FOZ42" s="119"/>
      <c r="FPA42" s="119"/>
      <c r="FPB42" s="119"/>
      <c r="FPC42" s="119"/>
      <c r="FPD42" s="119"/>
      <c r="FPE42" s="119"/>
      <c r="FPF42" s="119"/>
      <c r="FPG42" s="119"/>
      <c r="FPH42" s="119"/>
      <c r="FPI42" s="119"/>
      <c r="FPJ42" s="119"/>
      <c r="FPK42" s="119"/>
      <c r="FPL42" s="119"/>
      <c r="FPM42" s="119"/>
      <c r="FPN42" s="119"/>
      <c r="FPO42" s="119"/>
      <c r="FPP42" s="119"/>
      <c r="FPQ42" s="119"/>
      <c r="FPR42" s="119"/>
      <c r="FPS42" s="119"/>
      <c r="FPT42" s="119"/>
      <c r="FPU42" s="119"/>
      <c r="FPV42" s="119"/>
      <c r="FPW42" s="119"/>
      <c r="FPX42" s="119"/>
      <c r="FPY42" s="119"/>
      <c r="FPZ42" s="119"/>
      <c r="FQA42" s="119"/>
      <c r="FQB42" s="119"/>
      <c r="FQC42" s="119"/>
      <c r="FQD42" s="119"/>
      <c r="FQE42" s="119"/>
      <c r="FQF42" s="119"/>
      <c r="FQG42" s="119"/>
      <c r="FQH42" s="119"/>
      <c r="FQI42" s="119"/>
      <c r="FQJ42" s="119"/>
      <c r="FQK42" s="119"/>
      <c r="FQL42" s="119"/>
      <c r="FQM42" s="119"/>
      <c r="FQN42" s="119"/>
      <c r="FQO42" s="119"/>
      <c r="FQP42" s="119"/>
      <c r="FQQ42" s="119"/>
      <c r="FQR42" s="119"/>
      <c r="FQS42" s="119"/>
      <c r="FQT42" s="119"/>
      <c r="FQU42" s="119"/>
      <c r="FQV42" s="119"/>
      <c r="FQW42" s="119"/>
      <c r="FQX42" s="119"/>
      <c r="FQY42" s="119"/>
      <c r="FQZ42" s="119"/>
      <c r="FRA42" s="119"/>
      <c r="FRB42" s="119"/>
      <c r="FRC42" s="119"/>
      <c r="FRD42" s="119"/>
      <c r="FRE42" s="119"/>
      <c r="FRF42" s="119"/>
      <c r="FRG42" s="119"/>
      <c r="FRH42" s="119"/>
      <c r="FRI42" s="119"/>
      <c r="FRJ42" s="119"/>
      <c r="FRK42" s="119"/>
      <c r="FRL42" s="119"/>
      <c r="FRM42" s="119"/>
      <c r="FRN42" s="119"/>
      <c r="FRO42" s="119"/>
      <c r="FRP42" s="119"/>
      <c r="FRQ42" s="119"/>
      <c r="FRR42" s="119"/>
      <c r="FRS42" s="119"/>
      <c r="FRT42" s="119"/>
      <c r="FRU42" s="119"/>
      <c r="FRV42" s="119"/>
      <c r="FRW42" s="119"/>
      <c r="FRX42" s="119"/>
      <c r="FRY42" s="119"/>
      <c r="FRZ42" s="119"/>
      <c r="FSA42" s="119"/>
      <c r="FSB42" s="119"/>
      <c r="FSC42" s="119"/>
      <c r="FSD42" s="119"/>
      <c r="FSE42" s="119"/>
      <c r="FSF42" s="119"/>
      <c r="FSG42" s="119"/>
      <c r="FSH42" s="119"/>
      <c r="FSI42" s="119"/>
      <c r="FSJ42" s="119"/>
      <c r="FSK42" s="119"/>
      <c r="FSL42" s="119"/>
      <c r="FSM42" s="119"/>
      <c r="FSN42" s="119"/>
      <c r="FSO42" s="119"/>
      <c r="FSP42" s="119"/>
      <c r="FSQ42" s="119"/>
      <c r="FSR42" s="119"/>
      <c r="FSS42" s="119"/>
      <c r="FST42" s="119"/>
      <c r="FSU42" s="119"/>
      <c r="FSV42" s="119"/>
      <c r="FSW42" s="119"/>
      <c r="FSX42" s="119"/>
      <c r="FSY42" s="119"/>
      <c r="FSZ42" s="119"/>
      <c r="FTA42" s="119"/>
      <c r="FTB42" s="119"/>
      <c r="FTC42" s="119"/>
      <c r="FTD42" s="119"/>
      <c r="FTE42" s="119"/>
      <c r="FTF42" s="119"/>
      <c r="FTG42" s="119"/>
      <c r="FTH42" s="119"/>
      <c r="FTI42" s="119"/>
      <c r="FTJ42" s="119"/>
      <c r="FTK42" s="119"/>
      <c r="FTL42" s="119"/>
      <c r="FTM42" s="119"/>
      <c r="FTN42" s="119"/>
      <c r="FTO42" s="119"/>
      <c r="FTP42" s="119"/>
      <c r="FTQ42" s="119"/>
      <c r="FTR42" s="119"/>
      <c r="FTS42" s="119"/>
      <c r="FTT42" s="119"/>
      <c r="FTU42" s="119"/>
      <c r="FTV42" s="119"/>
      <c r="FTW42" s="119"/>
      <c r="FTX42" s="119"/>
      <c r="FTY42" s="119"/>
      <c r="FTZ42" s="119"/>
      <c r="FUA42" s="119"/>
      <c r="FUB42" s="119"/>
      <c r="FUC42" s="119"/>
      <c r="FUD42" s="119"/>
      <c r="FUE42" s="119"/>
      <c r="FUF42" s="119"/>
      <c r="FUG42" s="119"/>
      <c r="FUH42" s="119"/>
      <c r="FUI42" s="119"/>
      <c r="FUJ42" s="119"/>
      <c r="FUK42" s="119"/>
      <c r="FUL42" s="119"/>
      <c r="FUM42" s="119"/>
      <c r="FUN42" s="119"/>
      <c r="FUO42" s="119"/>
      <c r="FUP42" s="119"/>
      <c r="FUQ42" s="119"/>
      <c r="FUR42" s="119"/>
      <c r="FUS42" s="119"/>
      <c r="FUT42" s="119"/>
      <c r="FUU42" s="119"/>
      <c r="FUV42" s="119"/>
      <c r="FUW42" s="119"/>
      <c r="FUX42" s="119"/>
      <c r="FUY42" s="119"/>
      <c r="FUZ42" s="119"/>
      <c r="FVA42" s="119"/>
      <c r="FVB42" s="119"/>
      <c r="FVC42" s="119"/>
      <c r="FVD42" s="119"/>
      <c r="FVE42" s="119"/>
      <c r="FVF42" s="119"/>
      <c r="FVG42" s="119"/>
      <c r="FVH42" s="119"/>
      <c r="FVI42" s="119"/>
      <c r="FVJ42" s="119"/>
      <c r="FVK42" s="119"/>
      <c r="FVL42" s="119"/>
      <c r="FVM42" s="119"/>
      <c r="FVN42" s="119"/>
      <c r="FVO42" s="119"/>
      <c r="FVP42" s="119"/>
      <c r="FVQ42" s="119"/>
      <c r="FVR42" s="119"/>
      <c r="FVS42" s="119"/>
      <c r="FVT42" s="119"/>
      <c r="FVU42" s="119"/>
      <c r="FVV42" s="119"/>
      <c r="FVW42" s="119"/>
      <c r="FVX42" s="119"/>
      <c r="FVY42" s="119"/>
      <c r="FVZ42" s="119"/>
      <c r="FWA42" s="119"/>
      <c r="FWB42" s="119"/>
      <c r="FWC42" s="119"/>
      <c r="FWD42" s="119"/>
      <c r="FWE42" s="119"/>
      <c r="FWF42" s="119"/>
      <c r="FWG42" s="119"/>
      <c r="FWH42" s="119"/>
      <c r="FWI42" s="119"/>
      <c r="FWJ42" s="119"/>
      <c r="FWK42" s="119"/>
      <c r="FWL42" s="119"/>
      <c r="FWM42" s="119"/>
      <c r="FWN42" s="119"/>
      <c r="FWO42" s="119"/>
      <c r="FWP42" s="119"/>
      <c r="FWQ42" s="119"/>
      <c r="FWR42" s="119"/>
      <c r="FWS42" s="119"/>
      <c r="FWT42" s="119"/>
      <c r="FWU42" s="119"/>
      <c r="FWV42" s="119"/>
      <c r="FWW42" s="119"/>
      <c r="FWX42" s="119"/>
      <c r="FWY42" s="119"/>
      <c r="FWZ42" s="119"/>
      <c r="FXA42" s="119"/>
      <c r="FXB42" s="119"/>
      <c r="FXC42" s="119"/>
      <c r="FXD42" s="119"/>
      <c r="FXE42" s="119"/>
      <c r="FXF42" s="119"/>
      <c r="FXG42" s="119"/>
      <c r="FXH42" s="119"/>
      <c r="FXI42" s="119"/>
      <c r="FXJ42" s="119"/>
      <c r="FXK42" s="119"/>
      <c r="FXL42" s="119"/>
      <c r="FXM42" s="119"/>
      <c r="FXN42" s="119"/>
      <c r="FXO42" s="119"/>
      <c r="FXP42" s="119"/>
      <c r="FXQ42" s="119"/>
      <c r="FXR42" s="119"/>
      <c r="FXS42" s="119"/>
      <c r="FXT42" s="119"/>
      <c r="FXU42" s="119"/>
      <c r="FXV42" s="119"/>
      <c r="FXW42" s="119"/>
      <c r="FXX42" s="119"/>
      <c r="FXY42" s="119"/>
      <c r="FXZ42" s="119"/>
      <c r="FYA42" s="119"/>
      <c r="FYB42" s="119"/>
      <c r="FYC42" s="119"/>
      <c r="FYD42" s="119"/>
      <c r="FYE42" s="119"/>
      <c r="FYF42" s="119"/>
      <c r="FYG42" s="119"/>
      <c r="FYH42" s="119"/>
      <c r="FYI42" s="119"/>
      <c r="FYJ42" s="119"/>
      <c r="FYK42" s="119"/>
      <c r="FYL42" s="119"/>
      <c r="FYM42" s="119"/>
      <c r="FYN42" s="119"/>
      <c r="FYO42" s="119"/>
      <c r="FYP42" s="119"/>
      <c r="FYQ42" s="119"/>
      <c r="FYR42" s="119"/>
      <c r="FYS42" s="119"/>
      <c r="FYT42" s="119"/>
      <c r="FYU42" s="119"/>
      <c r="FYV42" s="119"/>
      <c r="FYW42" s="119"/>
      <c r="FYX42" s="119"/>
      <c r="FYY42" s="119"/>
      <c r="FYZ42" s="119"/>
      <c r="FZA42" s="119"/>
      <c r="FZB42" s="119"/>
      <c r="FZC42" s="119"/>
      <c r="FZD42" s="119"/>
      <c r="FZE42" s="119"/>
      <c r="FZF42" s="119"/>
      <c r="FZG42" s="119"/>
      <c r="FZH42" s="119"/>
      <c r="FZI42" s="119"/>
      <c r="FZJ42" s="119"/>
      <c r="FZK42" s="119"/>
      <c r="FZL42" s="119"/>
      <c r="FZM42" s="119"/>
      <c r="FZN42" s="119"/>
      <c r="FZO42" s="119"/>
      <c r="FZP42" s="119"/>
      <c r="FZQ42" s="119"/>
      <c r="FZR42" s="119"/>
      <c r="FZS42" s="119"/>
      <c r="FZT42" s="119"/>
      <c r="FZU42" s="119"/>
      <c r="FZV42" s="119"/>
      <c r="FZW42" s="119"/>
      <c r="FZX42" s="119"/>
      <c r="FZY42" s="119"/>
      <c r="FZZ42" s="119"/>
      <c r="GAA42" s="119"/>
      <c r="GAB42" s="119"/>
      <c r="GAC42" s="119"/>
      <c r="GAD42" s="119"/>
      <c r="GAE42" s="119"/>
      <c r="GAF42" s="119"/>
      <c r="GAG42" s="119"/>
      <c r="GAH42" s="119"/>
      <c r="GAI42" s="119"/>
      <c r="GAJ42" s="119"/>
      <c r="GAK42" s="119"/>
      <c r="GAL42" s="119"/>
      <c r="GAM42" s="119"/>
      <c r="GAN42" s="119"/>
      <c r="GAO42" s="119"/>
      <c r="GAP42" s="119"/>
      <c r="GAQ42" s="119"/>
      <c r="GAR42" s="119"/>
      <c r="GAS42" s="119"/>
      <c r="GAT42" s="119"/>
      <c r="GAU42" s="119"/>
      <c r="GAV42" s="119"/>
      <c r="GAW42" s="119"/>
      <c r="GAX42" s="119"/>
      <c r="GAY42" s="119"/>
      <c r="GAZ42" s="119"/>
      <c r="GBA42" s="119"/>
      <c r="GBB42" s="119"/>
      <c r="GBC42" s="119"/>
      <c r="GBD42" s="119"/>
      <c r="GBE42" s="119"/>
      <c r="GBF42" s="119"/>
      <c r="GBG42" s="119"/>
      <c r="GBH42" s="119"/>
      <c r="GBI42" s="119"/>
      <c r="GBJ42" s="119"/>
      <c r="GBK42" s="119"/>
      <c r="GBL42" s="119"/>
      <c r="GBM42" s="119"/>
      <c r="GBN42" s="119"/>
      <c r="GBO42" s="119"/>
      <c r="GBP42" s="119"/>
      <c r="GBQ42" s="119"/>
      <c r="GBR42" s="119"/>
      <c r="GBS42" s="119"/>
      <c r="GBT42" s="119"/>
      <c r="GBU42" s="119"/>
      <c r="GBV42" s="119"/>
      <c r="GBW42" s="119"/>
      <c r="GBX42" s="119"/>
      <c r="GBY42" s="119"/>
      <c r="GBZ42" s="119"/>
      <c r="GCA42" s="119"/>
      <c r="GCB42" s="119"/>
      <c r="GCC42" s="119"/>
      <c r="GCD42" s="119"/>
      <c r="GCE42" s="119"/>
      <c r="GCF42" s="119"/>
      <c r="GCG42" s="119"/>
      <c r="GCH42" s="119"/>
      <c r="GCI42" s="119"/>
      <c r="GCJ42" s="119"/>
      <c r="GCK42" s="119"/>
      <c r="GCL42" s="119"/>
      <c r="GCM42" s="119"/>
      <c r="GCN42" s="119"/>
      <c r="GCO42" s="119"/>
      <c r="GCP42" s="119"/>
      <c r="GCQ42" s="119"/>
      <c r="GCR42" s="119"/>
      <c r="GCS42" s="119"/>
      <c r="GCT42" s="119"/>
      <c r="GCU42" s="119"/>
      <c r="GCV42" s="119"/>
      <c r="GCW42" s="119"/>
      <c r="GCX42" s="119"/>
      <c r="GCY42" s="119"/>
      <c r="GCZ42" s="119"/>
      <c r="GDA42" s="119"/>
      <c r="GDB42" s="119"/>
      <c r="GDC42" s="119"/>
      <c r="GDD42" s="119"/>
      <c r="GDE42" s="119"/>
      <c r="GDF42" s="119"/>
      <c r="GDG42" s="119"/>
      <c r="GDH42" s="119"/>
      <c r="GDI42" s="119"/>
      <c r="GDJ42" s="119"/>
      <c r="GDK42" s="119"/>
      <c r="GDL42" s="119"/>
      <c r="GDM42" s="119"/>
      <c r="GDN42" s="119"/>
      <c r="GDO42" s="119"/>
      <c r="GDP42" s="119"/>
      <c r="GDQ42" s="119"/>
      <c r="GDR42" s="119"/>
      <c r="GDS42" s="119"/>
      <c r="GDT42" s="119"/>
      <c r="GDU42" s="119"/>
      <c r="GDV42" s="119"/>
      <c r="GDW42" s="119"/>
      <c r="GDX42" s="119"/>
      <c r="GDY42" s="119"/>
      <c r="GDZ42" s="119"/>
      <c r="GEA42" s="119"/>
      <c r="GEB42" s="119"/>
      <c r="GEC42" s="119"/>
      <c r="GED42" s="119"/>
      <c r="GEE42" s="119"/>
      <c r="GEF42" s="119"/>
      <c r="GEG42" s="119"/>
      <c r="GEH42" s="119"/>
      <c r="GEI42" s="119"/>
      <c r="GEJ42" s="119"/>
      <c r="GEK42" s="119"/>
      <c r="GEL42" s="119"/>
      <c r="GEM42" s="119"/>
      <c r="GEN42" s="119"/>
      <c r="GEO42" s="119"/>
      <c r="GEP42" s="119"/>
      <c r="GEQ42" s="119"/>
      <c r="GER42" s="119"/>
      <c r="GES42" s="119"/>
      <c r="GET42" s="119"/>
      <c r="GEU42" s="119"/>
      <c r="GEV42" s="119"/>
      <c r="GEW42" s="119"/>
      <c r="GEX42" s="119"/>
      <c r="GEY42" s="119"/>
      <c r="GEZ42" s="119"/>
      <c r="GFA42" s="119"/>
      <c r="GFB42" s="119"/>
      <c r="GFC42" s="119"/>
      <c r="GFD42" s="119"/>
      <c r="GFE42" s="119"/>
      <c r="GFF42" s="119"/>
      <c r="GFG42" s="119"/>
      <c r="GFH42" s="119"/>
      <c r="GFI42" s="119"/>
      <c r="GFJ42" s="119"/>
      <c r="GFK42" s="119"/>
      <c r="GFL42" s="119"/>
      <c r="GFM42" s="119"/>
      <c r="GFN42" s="119"/>
      <c r="GFO42" s="119"/>
      <c r="GFP42" s="119"/>
      <c r="GFQ42" s="119"/>
      <c r="GFR42" s="119"/>
      <c r="GFS42" s="119"/>
      <c r="GFT42" s="119"/>
      <c r="GFU42" s="119"/>
      <c r="GFV42" s="119"/>
      <c r="GFW42" s="119"/>
      <c r="GFX42" s="119"/>
      <c r="GFY42" s="119"/>
      <c r="GFZ42" s="119"/>
      <c r="GGA42" s="119"/>
      <c r="GGB42" s="119"/>
      <c r="GGC42" s="119"/>
      <c r="GGD42" s="119"/>
      <c r="GGE42" s="119"/>
      <c r="GGF42" s="119"/>
      <c r="GGG42" s="119"/>
      <c r="GGH42" s="119"/>
      <c r="GGI42" s="119"/>
      <c r="GGJ42" s="119"/>
      <c r="GGK42" s="119"/>
      <c r="GGL42" s="119"/>
      <c r="GGM42" s="119"/>
      <c r="GGN42" s="119"/>
      <c r="GGO42" s="119"/>
      <c r="GGP42" s="119"/>
      <c r="GGQ42" s="119"/>
      <c r="GGR42" s="119"/>
      <c r="GGS42" s="119"/>
      <c r="GGT42" s="119"/>
      <c r="GGU42" s="119"/>
      <c r="GGV42" s="119"/>
      <c r="GGW42" s="119"/>
      <c r="GGX42" s="119"/>
      <c r="GGY42" s="119"/>
      <c r="GGZ42" s="119"/>
      <c r="GHA42" s="119"/>
      <c r="GHB42" s="119"/>
      <c r="GHC42" s="119"/>
      <c r="GHD42" s="119"/>
      <c r="GHE42" s="119"/>
      <c r="GHF42" s="119"/>
      <c r="GHG42" s="119"/>
      <c r="GHH42" s="119"/>
      <c r="GHI42" s="119"/>
      <c r="GHJ42" s="119"/>
      <c r="GHK42" s="119"/>
      <c r="GHL42" s="119"/>
      <c r="GHM42" s="119"/>
      <c r="GHN42" s="119"/>
      <c r="GHO42" s="119"/>
      <c r="GHP42" s="119"/>
      <c r="GHQ42" s="119"/>
      <c r="GHR42" s="119"/>
      <c r="GHS42" s="119"/>
      <c r="GHT42" s="119"/>
      <c r="GHU42" s="119"/>
      <c r="GHV42" s="119"/>
      <c r="GHW42" s="119"/>
      <c r="GHX42" s="119"/>
      <c r="GHY42" s="119"/>
      <c r="GHZ42" s="119"/>
      <c r="GIA42" s="119"/>
      <c r="GIB42" s="119"/>
      <c r="GIC42" s="119"/>
      <c r="GID42" s="119"/>
      <c r="GIE42" s="119"/>
      <c r="GIF42" s="119"/>
      <c r="GIG42" s="119"/>
      <c r="GIH42" s="119"/>
      <c r="GII42" s="119"/>
      <c r="GIJ42" s="119"/>
      <c r="GIK42" s="119"/>
      <c r="GIL42" s="119"/>
      <c r="GIM42" s="119"/>
      <c r="GIN42" s="119"/>
      <c r="GIO42" s="119"/>
      <c r="GIP42" s="119"/>
      <c r="GIQ42" s="119"/>
      <c r="GIR42" s="119"/>
      <c r="GIS42" s="119"/>
      <c r="GIT42" s="119"/>
      <c r="GIU42" s="119"/>
      <c r="GIV42" s="119"/>
      <c r="GIW42" s="119"/>
      <c r="GIX42" s="119"/>
      <c r="GIY42" s="119"/>
      <c r="GIZ42" s="119"/>
      <c r="GJA42" s="119"/>
      <c r="GJB42" s="119"/>
      <c r="GJC42" s="119"/>
      <c r="GJD42" s="119"/>
      <c r="GJE42" s="119"/>
      <c r="GJF42" s="119"/>
      <c r="GJG42" s="119"/>
      <c r="GJH42" s="119"/>
      <c r="GJI42" s="119"/>
      <c r="GJJ42" s="119"/>
      <c r="GJK42" s="119"/>
      <c r="GJL42" s="119"/>
      <c r="GJM42" s="119"/>
      <c r="GJN42" s="119"/>
      <c r="GJO42" s="119"/>
      <c r="GJP42" s="119"/>
      <c r="GJQ42" s="119"/>
      <c r="GJR42" s="119"/>
      <c r="GJS42" s="119"/>
      <c r="GJT42" s="119"/>
      <c r="GJU42" s="119"/>
      <c r="GJV42" s="119"/>
      <c r="GJW42" s="119"/>
      <c r="GJX42" s="119"/>
      <c r="GJY42" s="119"/>
      <c r="GJZ42" s="119"/>
      <c r="GKA42" s="119"/>
      <c r="GKB42" s="119"/>
      <c r="GKC42" s="119"/>
      <c r="GKD42" s="119"/>
      <c r="GKE42" s="119"/>
      <c r="GKF42" s="119"/>
      <c r="GKG42" s="119"/>
      <c r="GKH42" s="119"/>
      <c r="GKI42" s="119"/>
      <c r="GKJ42" s="119"/>
      <c r="GKK42" s="119"/>
      <c r="GKL42" s="119"/>
      <c r="GKM42" s="119"/>
      <c r="GKN42" s="119"/>
      <c r="GKO42" s="119"/>
      <c r="GKP42" s="119"/>
      <c r="GKQ42" s="119"/>
      <c r="GKR42" s="119"/>
      <c r="GKS42" s="119"/>
      <c r="GKT42" s="119"/>
      <c r="GKU42" s="119"/>
      <c r="GKV42" s="119"/>
      <c r="GKW42" s="119"/>
      <c r="GKX42" s="119"/>
      <c r="GKY42" s="119"/>
      <c r="GKZ42" s="119"/>
      <c r="GLA42" s="119"/>
      <c r="GLB42" s="119"/>
      <c r="GLC42" s="119"/>
      <c r="GLD42" s="119"/>
      <c r="GLE42" s="119"/>
      <c r="GLF42" s="119"/>
      <c r="GLG42" s="119"/>
      <c r="GLH42" s="119"/>
      <c r="GLI42" s="119"/>
      <c r="GLJ42" s="119"/>
      <c r="GLK42" s="119"/>
      <c r="GLL42" s="119"/>
      <c r="GLM42" s="119"/>
      <c r="GLN42" s="119"/>
      <c r="GLO42" s="119"/>
      <c r="GLP42" s="119"/>
      <c r="GLQ42" s="119"/>
      <c r="GLR42" s="119"/>
      <c r="GLS42" s="119"/>
      <c r="GLT42" s="119"/>
      <c r="GLU42" s="119"/>
      <c r="GLV42" s="119"/>
      <c r="GLW42" s="119"/>
      <c r="GLX42" s="119"/>
      <c r="GLY42" s="119"/>
      <c r="GLZ42" s="119"/>
      <c r="GMA42" s="119"/>
      <c r="GMB42" s="119"/>
      <c r="GMC42" s="119"/>
      <c r="GMD42" s="119"/>
      <c r="GME42" s="119"/>
      <c r="GMF42" s="119"/>
      <c r="GMG42" s="119"/>
      <c r="GMH42" s="119"/>
      <c r="GMI42" s="119"/>
      <c r="GMJ42" s="119"/>
      <c r="GMK42" s="119"/>
      <c r="GML42" s="119"/>
      <c r="GMM42" s="119"/>
      <c r="GMN42" s="119"/>
      <c r="GMO42" s="119"/>
      <c r="GMP42" s="119"/>
      <c r="GMQ42" s="119"/>
      <c r="GMR42" s="119"/>
      <c r="GMS42" s="119"/>
      <c r="GMT42" s="119"/>
      <c r="GMU42" s="119"/>
      <c r="GMV42" s="119"/>
      <c r="GMW42" s="119"/>
      <c r="GMX42" s="119"/>
      <c r="GMY42" s="119"/>
      <c r="GMZ42" s="119"/>
      <c r="GNA42" s="119"/>
      <c r="GNB42" s="119"/>
      <c r="GNC42" s="119"/>
      <c r="GND42" s="119"/>
      <c r="GNE42" s="119"/>
      <c r="GNF42" s="119"/>
      <c r="GNG42" s="119"/>
      <c r="GNH42" s="119"/>
      <c r="GNI42" s="119"/>
      <c r="GNJ42" s="119"/>
      <c r="GNK42" s="119"/>
      <c r="GNL42" s="119"/>
      <c r="GNM42" s="119"/>
      <c r="GNN42" s="119"/>
      <c r="GNO42" s="119"/>
      <c r="GNP42" s="119"/>
      <c r="GNQ42" s="119"/>
      <c r="GNR42" s="119"/>
      <c r="GNS42" s="119"/>
      <c r="GNT42" s="119"/>
      <c r="GNU42" s="119"/>
      <c r="GNV42" s="119"/>
      <c r="GNW42" s="119"/>
      <c r="GNX42" s="119"/>
      <c r="GNY42" s="119"/>
      <c r="GNZ42" s="119"/>
      <c r="GOA42" s="119"/>
      <c r="GOB42" s="119"/>
      <c r="GOC42" s="119"/>
      <c r="GOD42" s="119"/>
      <c r="GOE42" s="119"/>
      <c r="GOF42" s="119"/>
      <c r="GOG42" s="119"/>
      <c r="GOH42" s="119"/>
      <c r="GOI42" s="119"/>
      <c r="GOJ42" s="119"/>
      <c r="GOK42" s="119"/>
      <c r="GOL42" s="119"/>
      <c r="GOM42" s="119"/>
      <c r="GON42" s="119"/>
      <c r="GOO42" s="119"/>
      <c r="GOP42" s="119"/>
      <c r="GOQ42" s="119"/>
      <c r="GOR42" s="119"/>
      <c r="GOS42" s="119"/>
      <c r="GOT42" s="119"/>
      <c r="GOU42" s="119"/>
      <c r="GOV42" s="119"/>
      <c r="GOW42" s="119"/>
      <c r="GOX42" s="119"/>
      <c r="GOY42" s="119"/>
      <c r="GOZ42" s="119"/>
      <c r="GPA42" s="119"/>
      <c r="GPB42" s="119"/>
      <c r="GPC42" s="119"/>
      <c r="GPD42" s="119"/>
      <c r="GPE42" s="119"/>
      <c r="GPF42" s="119"/>
      <c r="GPG42" s="119"/>
      <c r="GPH42" s="119"/>
      <c r="GPI42" s="119"/>
      <c r="GPJ42" s="119"/>
      <c r="GPK42" s="119"/>
      <c r="GPL42" s="119"/>
      <c r="GPM42" s="119"/>
      <c r="GPN42" s="119"/>
      <c r="GPO42" s="119"/>
      <c r="GPP42" s="119"/>
      <c r="GPQ42" s="119"/>
      <c r="GPR42" s="119"/>
      <c r="GPS42" s="119"/>
      <c r="GPT42" s="119"/>
      <c r="GPU42" s="119"/>
      <c r="GPV42" s="119"/>
      <c r="GPW42" s="119"/>
      <c r="GPX42" s="119"/>
      <c r="GPY42" s="119"/>
      <c r="GPZ42" s="119"/>
      <c r="GQA42" s="119"/>
      <c r="GQB42" s="119"/>
      <c r="GQC42" s="119"/>
      <c r="GQD42" s="119"/>
      <c r="GQE42" s="119"/>
      <c r="GQF42" s="119"/>
      <c r="GQG42" s="119"/>
      <c r="GQH42" s="119"/>
      <c r="GQI42" s="119"/>
      <c r="GQJ42" s="119"/>
      <c r="GQK42" s="119"/>
      <c r="GQL42" s="119"/>
      <c r="GQM42" s="119"/>
      <c r="GQN42" s="119"/>
      <c r="GQO42" s="119"/>
      <c r="GQP42" s="119"/>
      <c r="GQQ42" s="119"/>
      <c r="GQR42" s="119"/>
      <c r="GQS42" s="119"/>
      <c r="GQT42" s="119"/>
      <c r="GQU42" s="119"/>
      <c r="GQV42" s="119"/>
      <c r="GQW42" s="119"/>
      <c r="GQX42" s="119"/>
      <c r="GQY42" s="119"/>
      <c r="GQZ42" s="119"/>
      <c r="GRA42" s="119"/>
      <c r="GRB42" s="119"/>
      <c r="GRC42" s="119"/>
      <c r="GRD42" s="119"/>
      <c r="GRE42" s="119"/>
      <c r="GRF42" s="119"/>
      <c r="GRG42" s="119"/>
      <c r="GRH42" s="119"/>
      <c r="GRI42" s="119"/>
      <c r="GRJ42" s="119"/>
      <c r="GRK42" s="119"/>
      <c r="GRL42" s="119"/>
      <c r="GRM42" s="119"/>
      <c r="GRN42" s="119"/>
      <c r="GRO42" s="119"/>
      <c r="GRP42" s="119"/>
      <c r="GRQ42" s="119"/>
      <c r="GRR42" s="119"/>
      <c r="GRS42" s="119"/>
      <c r="GRT42" s="119"/>
      <c r="GRU42" s="119"/>
      <c r="GRV42" s="119"/>
      <c r="GRW42" s="119"/>
      <c r="GRX42" s="119"/>
      <c r="GRY42" s="119"/>
      <c r="GRZ42" s="119"/>
      <c r="GSA42" s="119"/>
      <c r="GSB42" s="119"/>
      <c r="GSC42" s="119"/>
      <c r="GSD42" s="119"/>
      <c r="GSE42" s="119"/>
      <c r="GSF42" s="119"/>
      <c r="GSG42" s="119"/>
      <c r="GSH42" s="119"/>
      <c r="GSI42" s="119"/>
      <c r="GSJ42" s="119"/>
      <c r="GSK42" s="119"/>
      <c r="GSL42" s="119"/>
      <c r="GSM42" s="119"/>
      <c r="GSN42" s="119"/>
      <c r="GSO42" s="119"/>
      <c r="GSP42" s="119"/>
      <c r="GSQ42" s="119"/>
      <c r="GSR42" s="119"/>
      <c r="GSS42" s="119"/>
      <c r="GST42" s="119"/>
      <c r="GSU42" s="119"/>
      <c r="GSV42" s="119"/>
      <c r="GSW42" s="119"/>
      <c r="GSX42" s="119"/>
      <c r="GSY42" s="119"/>
      <c r="GSZ42" s="119"/>
      <c r="GTA42" s="119"/>
      <c r="GTB42" s="119"/>
      <c r="GTC42" s="119"/>
      <c r="GTD42" s="119"/>
      <c r="GTE42" s="119"/>
      <c r="GTF42" s="119"/>
      <c r="GTG42" s="119"/>
      <c r="GTH42" s="119"/>
      <c r="GTI42" s="119"/>
      <c r="GTJ42" s="119"/>
      <c r="GTK42" s="119"/>
      <c r="GTL42" s="119"/>
      <c r="GTM42" s="119"/>
      <c r="GTN42" s="119"/>
      <c r="GTO42" s="119"/>
      <c r="GTP42" s="119"/>
      <c r="GTQ42" s="119"/>
      <c r="GTR42" s="119"/>
      <c r="GTS42" s="119"/>
      <c r="GTT42" s="119"/>
      <c r="GTU42" s="119"/>
      <c r="GTV42" s="119"/>
      <c r="GTW42" s="119"/>
      <c r="GTX42" s="119"/>
      <c r="GTY42" s="119"/>
      <c r="GTZ42" s="119"/>
      <c r="GUA42" s="119"/>
      <c r="GUB42" s="119"/>
      <c r="GUC42" s="119"/>
      <c r="GUD42" s="119"/>
      <c r="GUE42" s="119"/>
      <c r="GUF42" s="119"/>
      <c r="GUG42" s="119"/>
      <c r="GUH42" s="119"/>
      <c r="GUI42" s="119"/>
      <c r="GUJ42" s="119"/>
      <c r="GUK42" s="119"/>
      <c r="GUL42" s="119"/>
      <c r="GUM42" s="119"/>
      <c r="GUN42" s="119"/>
      <c r="GUO42" s="119"/>
      <c r="GUP42" s="119"/>
      <c r="GUQ42" s="119"/>
      <c r="GUR42" s="119"/>
      <c r="GUS42" s="119"/>
      <c r="GUT42" s="119"/>
      <c r="GUU42" s="119"/>
      <c r="GUV42" s="119"/>
      <c r="GUW42" s="119"/>
      <c r="GUX42" s="119"/>
      <c r="GUY42" s="119"/>
      <c r="GUZ42" s="119"/>
      <c r="GVA42" s="119"/>
      <c r="GVB42" s="119"/>
      <c r="GVC42" s="119"/>
      <c r="GVD42" s="119"/>
      <c r="GVE42" s="119"/>
      <c r="GVF42" s="119"/>
      <c r="GVG42" s="119"/>
      <c r="GVH42" s="119"/>
      <c r="GVI42" s="119"/>
      <c r="GVJ42" s="119"/>
      <c r="GVK42" s="119"/>
      <c r="GVL42" s="119"/>
      <c r="GVM42" s="119"/>
      <c r="GVN42" s="119"/>
      <c r="GVO42" s="119"/>
      <c r="GVP42" s="119"/>
      <c r="GVQ42" s="119"/>
      <c r="GVR42" s="119"/>
      <c r="GVS42" s="119"/>
      <c r="GVT42" s="119"/>
      <c r="GVU42" s="119"/>
      <c r="GVV42" s="119"/>
      <c r="GVW42" s="119"/>
      <c r="GVX42" s="119"/>
      <c r="GVY42" s="119"/>
      <c r="GVZ42" s="119"/>
      <c r="GWA42" s="119"/>
      <c r="GWB42" s="119"/>
      <c r="GWC42" s="119"/>
      <c r="GWD42" s="119"/>
      <c r="GWE42" s="119"/>
      <c r="GWF42" s="119"/>
      <c r="GWG42" s="119"/>
      <c r="GWH42" s="119"/>
      <c r="GWI42" s="119"/>
      <c r="GWJ42" s="119"/>
      <c r="GWK42" s="119"/>
      <c r="GWL42" s="119"/>
      <c r="GWM42" s="119"/>
      <c r="GWN42" s="119"/>
      <c r="GWO42" s="119"/>
      <c r="GWP42" s="119"/>
      <c r="GWQ42" s="119"/>
      <c r="GWR42" s="119"/>
      <c r="GWS42" s="119"/>
      <c r="GWT42" s="119"/>
      <c r="GWU42" s="119"/>
      <c r="GWV42" s="119"/>
      <c r="GWW42" s="119"/>
      <c r="GWX42" s="119"/>
      <c r="GWY42" s="119"/>
      <c r="GWZ42" s="119"/>
      <c r="GXA42" s="119"/>
      <c r="GXB42" s="119"/>
      <c r="GXC42" s="119"/>
      <c r="GXD42" s="119"/>
      <c r="GXE42" s="119"/>
      <c r="GXF42" s="119"/>
      <c r="GXG42" s="119"/>
      <c r="GXH42" s="119"/>
      <c r="GXI42" s="119"/>
      <c r="GXJ42" s="119"/>
      <c r="GXK42" s="119"/>
      <c r="GXL42" s="119"/>
      <c r="GXM42" s="119"/>
      <c r="GXN42" s="119"/>
      <c r="GXO42" s="119"/>
      <c r="GXP42" s="119"/>
      <c r="GXQ42" s="119"/>
      <c r="GXR42" s="119"/>
      <c r="GXS42" s="119"/>
      <c r="GXT42" s="119"/>
      <c r="GXU42" s="119"/>
      <c r="GXV42" s="119"/>
      <c r="GXW42" s="119"/>
      <c r="GXX42" s="119"/>
      <c r="GXY42" s="119"/>
      <c r="GXZ42" s="119"/>
      <c r="GYA42" s="119"/>
      <c r="GYB42" s="119"/>
      <c r="GYC42" s="119"/>
      <c r="GYD42" s="119"/>
      <c r="GYE42" s="119"/>
      <c r="GYF42" s="119"/>
      <c r="GYG42" s="119"/>
      <c r="GYH42" s="119"/>
      <c r="GYI42" s="119"/>
      <c r="GYJ42" s="119"/>
      <c r="GYK42" s="119"/>
      <c r="GYL42" s="119"/>
      <c r="GYM42" s="119"/>
      <c r="GYN42" s="119"/>
      <c r="GYO42" s="119"/>
      <c r="GYP42" s="119"/>
      <c r="GYQ42" s="119"/>
      <c r="GYR42" s="119"/>
      <c r="GYS42" s="119"/>
      <c r="GYT42" s="119"/>
      <c r="GYU42" s="119"/>
      <c r="GYV42" s="119"/>
      <c r="GYW42" s="119"/>
      <c r="GYX42" s="119"/>
      <c r="GYY42" s="119"/>
      <c r="GYZ42" s="119"/>
      <c r="GZA42" s="119"/>
      <c r="GZB42" s="119"/>
      <c r="GZC42" s="119"/>
      <c r="GZD42" s="119"/>
      <c r="GZE42" s="119"/>
      <c r="GZF42" s="119"/>
      <c r="GZG42" s="119"/>
      <c r="GZH42" s="119"/>
      <c r="GZI42" s="119"/>
      <c r="GZJ42" s="119"/>
      <c r="GZK42" s="119"/>
      <c r="GZL42" s="119"/>
      <c r="GZM42" s="119"/>
      <c r="GZN42" s="119"/>
      <c r="GZO42" s="119"/>
      <c r="GZP42" s="119"/>
      <c r="GZQ42" s="119"/>
      <c r="GZR42" s="119"/>
      <c r="GZS42" s="119"/>
      <c r="GZT42" s="119"/>
      <c r="GZU42" s="119"/>
      <c r="GZV42" s="119"/>
      <c r="GZW42" s="119"/>
      <c r="GZX42" s="119"/>
      <c r="GZY42" s="119"/>
      <c r="GZZ42" s="119"/>
      <c r="HAA42" s="119"/>
      <c r="HAB42" s="119"/>
      <c r="HAC42" s="119"/>
      <c r="HAD42" s="119"/>
      <c r="HAE42" s="119"/>
      <c r="HAF42" s="119"/>
      <c r="HAG42" s="119"/>
      <c r="HAH42" s="119"/>
      <c r="HAI42" s="119"/>
      <c r="HAJ42" s="119"/>
      <c r="HAK42" s="119"/>
      <c r="HAL42" s="119"/>
      <c r="HAM42" s="119"/>
      <c r="HAN42" s="119"/>
      <c r="HAO42" s="119"/>
      <c r="HAP42" s="119"/>
      <c r="HAQ42" s="119"/>
      <c r="HAR42" s="119"/>
      <c r="HAS42" s="119"/>
      <c r="HAT42" s="119"/>
      <c r="HAU42" s="119"/>
      <c r="HAV42" s="119"/>
      <c r="HAW42" s="119"/>
      <c r="HAX42" s="119"/>
      <c r="HAY42" s="119"/>
      <c r="HAZ42" s="119"/>
      <c r="HBA42" s="119"/>
      <c r="HBB42" s="119"/>
      <c r="HBC42" s="119"/>
      <c r="HBD42" s="119"/>
      <c r="HBE42" s="119"/>
      <c r="HBF42" s="119"/>
      <c r="HBG42" s="119"/>
      <c r="HBH42" s="119"/>
      <c r="HBI42" s="119"/>
      <c r="HBJ42" s="119"/>
      <c r="HBK42" s="119"/>
      <c r="HBL42" s="119"/>
      <c r="HBM42" s="119"/>
      <c r="HBN42" s="119"/>
      <c r="HBO42" s="119"/>
      <c r="HBP42" s="119"/>
      <c r="HBQ42" s="119"/>
      <c r="HBR42" s="119"/>
      <c r="HBS42" s="119"/>
      <c r="HBT42" s="119"/>
      <c r="HBU42" s="119"/>
      <c r="HBV42" s="119"/>
      <c r="HBW42" s="119"/>
      <c r="HBX42" s="119"/>
      <c r="HBY42" s="119"/>
      <c r="HBZ42" s="119"/>
      <c r="HCA42" s="119"/>
      <c r="HCB42" s="119"/>
      <c r="HCC42" s="119"/>
      <c r="HCD42" s="119"/>
      <c r="HCE42" s="119"/>
      <c r="HCF42" s="119"/>
      <c r="HCG42" s="119"/>
      <c r="HCH42" s="119"/>
      <c r="HCI42" s="119"/>
      <c r="HCJ42" s="119"/>
      <c r="HCK42" s="119"/>
      <c r="HCL42" s="119"/>
      <c r="HCM42" s="119"/>
      <c r="HCN42" s="119"/>
      <c r="HCO42" s="119"/>
      <c r="HCP42" s="119"/>
      <c r="HCQ42" s="119"/>
      <c r="HCR42" s="119"/>
      <c r="HCS42" s="119"/>
      <c r="HCT42" s="119"/>
      <c r="HCU42" s="119"/>
      <c r="HCV42" s="119"/>
      <c r="HCW42" s="119"/>
      <c r="HCX42" s="119"/>
      <c r="HCY42" s="119"/>
      <c r="HCZ42" s="119"/>
      <c r="HDA42" s="119"/>
      <c r="HDB42" s="119"/>
      <c r="HDC42" s="119"/>
      <c r="HDD42" s="119"/>
      <c r="HDE42" s="119"/>
      <c r="HDF42" s="119"/>
      <c r="HDG42" s="119"/>
      <c r="HDH42" s="119"/>
      <c r="HDI42" s="119"/>
      <c r="HDJ42" s="119"/>
      <c r="HDK42" s="119"/>
      <c r="HDL42" s="119"/>
      <c r="HDM42" s="119"/>
      <c r="HDN42" s="119"/>
      <c r="HDO42" s="119"/>
      <c r="HDP42" s="119"/>
      <c r="HDQ42" s="119"/>
      <c r="HDR42" s="119"/>
      <c r="HDS42" s="119"/>
      <c r="HDT42" s="119"/>
      <c r="HDU42" s="119"/>
      <c r="HDV42" s="119"/>
      <c r="HDW42" s="119"/>
      <c r="HDX42" s="119"/>
      <c r="HDY42" s="119"/>
      <c r="HDZ42" s="119"/>
      <c r="HEA42" s="119"/>
      <c r="HEB42" s="119"/>
      <c r="HEC42" s="119"/>
      <c r="HED42" s="119"/>
      <c r="HEE42" s="119"/>
      <c r="HEF42" s="119"/>
      <c r="HEG42" s="119"/>
      <c r="HEH42" s="119"/>
      <c r="HEI42" s="119"/>
      <c r="HEJ42" s="119"/>
      <c r="HEK42" s="119"/>
      <c r="HEL42" s="119"/>
      <c r="HEM42" s="119"/>
      <c r="HEN42" s="119"/>
      <c r="HEO42" s="119"/>
      <c r="HEP42" s="119"/>
      <c r="HEQ42" s="119"/>
      <c r="HER42" s="119"/>
      <c r="HES42" s="119"/>
      <c r="HET42" s="119"/>
      <c r="HEU42" s="119"/>
      <c r="HEV42" s="119"/>
      <c r="HEW42" s="119"/>
      <c r="HEX42" s="119"/>
      <c r="HEY42" s="119"/>
      <c r="HEZ42" s="119"/>
      <c r="HFA42" s="119"/>
      <c r="HFB42" s="119"/>
      <c r="HFC42" s="119"/>
      <c r="HFD42" s="119"/>
      <c r="HFE42" s="119"/>
      <c r="HFF42" s="119"/>
      <c r="HFG42" s="119"/>
      <c r="HFH42" s="119"/>
      <c r="HFI42" s="119"/>
      <c r="HFJ42" s="119"/>
      <c r="HFK42" s="119"/>
      <c r="HFL42" s="119"/>
      <c r="HFM42" s="119"/>
      <c r="HFN42" s="119"/>
      <c r="HFO42" s="119"/>
      <c r="HFP42" s="119"/>
      <c r="HFQ42" s="119"/>
      <c r="HFR42" s="119"/>
      <c r="HFS42" s="119"/>
      <c r="HFT42" s="119"/>
      <c r="HFU42" s="119"/>
      <c r="HFV42" s="119"/>
      <c r="HFW42" s="119"/>
      <c r="HFX42" s="119"/>
      <c r="HFY42" s="119"/>
      <c r="HFZ42" s="119"/>
      <c r="HGA42" s="119"/>
      <c r="HGB42" s="119"/>
      <c r="HGC42" s="119"/>
      <c r="HGD42" s="119"/>
      <c r="HGE42" s="119"/>
      <c r="HGF42" s="119"/>
      <c r="HGG42" s="119"/>
      <c r="HGH42" s="119"/>
      <c r="HGI42" s="119"/>
      <c r="HGJ42" s="119"/>
      <c r="HGK42" s="119"/>
      <c r="HGL42" s="119"/>
      <c r="HGM42" s="119"/>
      <c r="HGN42" s="119"/>
      <c r="HGO42" s="119"/>
      <c r="HGP42" s="119"/>
      <c r="HGQ42" s="119"/>
      <c r="HGR42" s="119"/>
      <c r="HGS42" s="119"/>
      <c r="HGT42" s="119"/>
      <c r="HGU42" s="119"/>
      <c r="HGV42" s="119"/>
      <c r="HGW42" s="119"/>
      <c r="HGX42" s="119"/>
      <c r="HGY42" s="119"/>
      <c r="HGZ42" s="119"/>
      <c r="HHA42" s="119"/>
      <c r="HHB42" s="119"/>
      <c r="HHC42" s="119"/>
      <c r="HHD42" s="119"/>
      <c r="HHE42" s="119"/>
      <c r="HHF42" s="119"/>
      <c r="HHG42" s="119"/>
      <c r="HHH42" s="119"/>
      <c r="HHI42" s="119"/>
      <c r="HHJ42" s="119"/>
      <c r="HHK42" s="119"/>
      <c r="HHL42" s="119"/>
      <c r="HHM42" s="119"/>
      <c r="HHN42" s="119"/>
      <c r="HHO42" s="119"/>
      <c r="HHP42" s="119"/>
      <c r="HHQ42" s="119"/>
      <c r="HHR42" s="119"/>
      <c r="HHS42" s="119"/>
      <c r="HHT42" s="119"/>
      <c r="HHU42" s="119"/>
      <c r="HHV42" s="119"/>
      <c r="HHW42" s="119"/>
      <c r="HHX42" s="119"/>
      <c r="HHY42" s="119"/>
      <c r="HHZ42" s="119"/>
      <c r="HIA42" s="119"/>
      <c r="HIB42" s="119"/>
      <c r="HIC42" s="119"/>
      <c r="HID42" s="119"/>
      <c r="HIE42" s="119"/>
      <c r="HIF42" s="119"/>
      <c r="HIG42" s="119"/>
      <c r="HIH42" s="119"/>
      <c r="HII42" s="119"/>
      <c r="HIJ42" s="119"/>
      <c r="HIK42" s="119"/>
      <c r="HIL42" s="119"/>
      <c r="HIM42" s="119"/>
      <c r="HIN42" s="119"/>
      <c r="HIO42" s="119"/>
      <c r="HIP42" s="119"/>
      <c r="HIQ42" s="119"/>
      <c r="HIR42" s="119"/>
      <c r="HIS42" s="119"/>
      <c r="HIT42" s="119"/>
      <c r="HIU42" s="119"/>
      <c r="HIV42" s="119"/>
      <c r="HIW42" s="119"/>
      <c r="HIX42" s="119"/>
      <c r="HIY42" s="119"/>
      <c r="HIZ42" s="119"/>
      <c r="HJA42" s="119"/>
      <c r="HJB42" s="119"/>
      <c r="HJC42" s="119"/>
      <c r="HJD42" s="119"/>
      <c r="HJE42" s="119"/>
      <c r="HJF42" s="119"/>
      <c r="HJG42" s="119"/>
      <c r="HJH42" s="119"/>
      <c r="HJI42" s="119"/>
      <c r="HJJ42" s="119"/>
      <c r="HJK42" s="119"/>
      <c r="HJL42" s="119"/>
      <c r="HJM42" s="119"/>
      <c r="HJN42" s="119"/>
      <c r="HJO42" s="119"/>
      <c r="HJP42" s="119"/>
      <c r="HJQ42" s="119"/>
      <c r="HJR42" s="119"/>
      <c r="HJS42" s="119"/>
      <c r="HJT42" s="119"/>
      <c r="HJU42" s="119"/>
      <c r="HJV42" s="119"/>
      <c r="HJW42" s="119"/>
      <c r="HJX42" s="119"/>
      <c r="HJY42" s="119"/>
      <c r="HJZ42" s="119"/>
      <c r="HKA42" s="119"/>
      <c r="HKB42" s="119"/>
      <c r="HKC42" s="119"/>
      <c r="HKD42" s="119"/>
      <c r="HKE42" s="119"/>
      <c r="HKF42" s="119"/>
      <c r="HKG42" s="119"/>
      <c r="HKH42" s="119"/>
      <c r="HKI42" s="119"/>
      <c r="HKJ42" s="119"/>
      <c r="HKK42" s="119"/>
      <c r="HKL42" s="119"/>
      <c r="HKM42" s="119"/>
      <c r="HKN42" s="119"/>
      <c r="HKO42" s="119"/>
      <c r="HKP42" s="119"/>
      <c r="HKQ42" s="119"/>
      <c r="HKR42" s="119"/>
      <c r="HKS42" s="119"/>
      <c r="HKT42" s="119"/>
      <c r="HKU42" s="119"/>
      <c r="HKV42" s="119"/>
      <c r="HKW42" s="119"/>
      <c r="HKX42" s="119"/>
      <c r="HKY42" s="119"/>
      <c r="HKZ42" s="119"/>
      <c r="HLA42" s="119"/>
      <c r="HLB42" s="119"/>
      <c r="HLC42" s="119"/>
      <c r="HLD42" s="119"/>
      <c r="HLE42" s="119"/>
      <c r="HLF42" s="119"/>
      <c r="HLG42" s="119"/>
      <c r="HLH42" s="119"/>
      <c r="HLI42" s="119"/>
      <c r="HLJ42" s="119"/>
      <c r="HLK42" s="119"/>
      <c r="HLL42" s="119"/>
      <c r="HLM42" s="119"/>
      <c r="HLN42" s="119"/>
      <c r="HLO42" s="119"/>
      <c r="HLP42" s="119"/>
      <c r="HLQ42" s="119"/>
      <c r="HLR42" s="119"/>
      <c r="HLS42" s="119"/>
      <c r="HLT42" s="119"/>
      <c r="HLU42" s="119"/>
      <c r="HLV42" s="119"/>
      <c r="HLW42" s="119"/>
      <c r="HLX42" s="119"/>
      <c r="HLY42" s="119"/>
      <c r="HLZ42" s="119"/>
      <c r="HMA42" s="119"/>
      <c r="HMB42" s="119"/>
      <c r="HMC42" s="119"/>
      <c r="HMD42" s="119"/>
      <c r="HME42" s="119"/>
      <c r="HMF42" s="119"/>
      <c r="HMG42" s="119"/>
      <c r="HMH42" s="119"/>
      <c r="HMI42" s="119"/>
      <c r="HMJ42" s="119"/>
      <c r="HMK42" s="119"/>
      <c r="HML42" s="119"/>
      <c r="HMM42" s="119"/>
      <c r="HMN42" s="119"/>
      <c r="HMO42" s="119"/>
      <c r="HMP42" s="119"/>
      <c r="HMQ42" s="119"/>
      <c r="HMR42" s="119"/>
      <c r="HMS42" s="119"/>
      <c r="HMT42" s="119"/>
      <c r="HMU42" s="119"/>
      <c r="HMV42" s="119"/>
      <c r="HMW42" s="119"/>
      <c r="HMX42" s="119"/>
      <c r="HMY42" s="119"/>
      <c r="HMZ42" s="119"/>
      <c r="HNA42" s="119"/>
      <c r="HNB42" s="119"/>
      <c r="HNC42" s="119"/>
      <c r="HND42" s="119"/>
      <c r="HNE42" s="119"/>
      <c r="HNF42" s="119"/>
      <c r="HNG42" s="119"/>
      <c r="HNH42" s="119"/>
      <c r="HNI42" s="119"/>
      <c r="HNJ42" s="119"/>
      <c r="HNK42" s="119"/>
      <c r="HNL42" s="119"/>
      <c r="HNM42" s="119"/>
      <c r="HNN42" s="119"/>
      <c r="HNO42" s="119"/>
      <c r="HNP42" s="119"/>
      <c r="HNQ42" s="119"/>
      <c r="HNR42" s="119"/>
      <c r="HNS42" s="119"/>
      <c r="HNT42" s="119"/>
      <c r="HNU42" s="119"/>
      <c r="HNV42" s="119"/>
      <c r="HNW42" s="119"/>
      <c r="HNX42" s="119"/>
      <c r="HNY42" s="119"/>
      <c r="HNZ42" s="119"/>
      <c r="HOA42" s="119"/>
      <c r="HOB42" s="119"/>
      <c r="HOC42" s="119"/>
      <c r="HOD42" s="119"/>
      <c r="HOE42" s="119"/>
      <c r="HOF42" s="119"/>
      <c r="HOG42" s="119"/>
      <c r="HOH42" s="119"/>
      <c r="HOI42" s="119"/>
      <c r="HOJ42" s="119"/>
      <c r="HOK42" s="119"/>
      <c r="HOL42" s="119"/>
      <c r="HOM42" s="119"/>
      <c r="HON42" s="119"/>
      <c r="HOO42" s="119"/>
      <c r="HOP42" s="119"/>
      <c r="HOQ42" s="119"/>
      <c r="HOR42" s="119"/>
      <c r="HOS42" s="119"/>
      <c r="HOT42" s="119"/>
      <c r="HOU42" s="119"/>
      <c r="HOV42" s="119"/>
      <c r="HOW42" s="119"/>
      <c r="HOX42" s="119"/>
      <c r="HOY42" s="119"/>
      <c r="HOZ42" s="119"/>
      <c r="HPA42" s="119"/>
      <c r="HPB42" s="119"/>
      <c r="HPC42" s="119"/>
      <c r="HPD42" s="119"/>
      <c r="HPE42" s="119"/>
      <c r="HPF42" s="119"/>
      <c r="HPG42" s="119"/>
      <c r="HPH42" s="119"/>
      <c r="HPI42" s="119"/>
      <c r="HPJ42" s="119"/>
      <c r="HPK42" s="119"/>
      <c r="HPL42" s="119"/>
      <c r="HPM42" s="119"/>
      <c r="HPN42" s="119"/>
      <c r="HPO42" s="119"/>
      <c r="HPP42" s="119"/>
      <c r="HPQ42" s="119"/>
      <c r="HPR42" s="119"/>
      <c r="HPS42" s="119"/>
      <c r="HPT42" s="119"/>
      <c r="HPU42" s="119"/>
      <c r="HPV42" s="119"/>
      <c r="HPW42" s="119"/>
      <c r="HPX42" s="119"/>
      <c r="HPY42" s="119"/>
      <c r="HPZ42" s="119"/>
      <c r="HQA42" s="119"/>
      <c r="HQB42" s="119"/>
      <c r="HQC42" s="119"/>
      <c r="HQD42" s="119"/>
      <c r="HQE42" s="119"/>
      <c r="HQF42" s="119"/>
      <c r="HQG42" s="119"/>
      <c r="HQH42" s="119"/>
      <c r="HQI42" s="119"/>
      <c r="HQJ42" s="119"/>
      <c r="HQK42" s="119"/>
      <c r="HQL42" s="119"/>
      <c r="HQM42" s="119"/>
      <c r="HQN42" s="119"/>
      <c r="HQO42" s="119"/>
      <c r="HQP42" s="119"/>
      <c r="HQQ42" s="119"/>
      <c r="HQR42" s="119"/>
      <c r="HQS42" s="119"/>
      <c r="HQT42" s="119"/>
      <c r="HQU42" s="119"/>
      <c r="HQV42" s="119"/>
      <c r="HQW42" s="119"/>
      <c r="HQX42" s="119"/>
      <c r="HQY42" s="119"/>
      <c r="HQZ42" s="119"/>
      <c r="HRA42" s="119"/>
      <c r="HRB42" s="119"/>
      <c r="HRC42" s="119"/>
      <c r="HRD42" s="119"/>
      <c r="HRE42" s="119"/>
      <c r="HRF42" s="119"/>
      <c r="HRG42" s="119"/>
      <c r="HRH42" s="119"/>
      <c r="HRI42" s="119"/>
      <c r="HRJ42" s="119"/>
      <c r="HRK42" s="119"/>
      <c r="HRL42" s="119"/>
      <c r="HRM42" s="119"/>
      <c r="HRN42" s="119"/>
      <c r="HRO42" s="119"/>
      <c r="HRP42" s="119"/>
      <c r="HRQ42" s="119"/>
      <c r="HRR42" s="119"/>
      <c r="HRS42" s="119"/>
      <c r="HRT42" s="119"/>
      <c r="HRU42" s="119"/>
      <c r="HRV42" s="119"/>
      <c r="HRW42" s="119"/>
      <c r="HRX42" s="119"/>
      <c r="HRY42" s="119"/>
      <c r="HRZ42" s="119"/>
      <c r="HSA42" s="119"/>
      <c r="HSB42" s="119"/>
      <c r="HSC42" s="119"/>
      <c r="HSD42" s="119"/>
      <c r="HSE42" s="119"/>
      <c r="HSF42" s="119"/>
      <c r="HSG42" s="119"/>
      <c r="HSH42" s="119"/>
      <c r="HSI42" s="119"/>
      <c r="HSJ42" s="119"/>
      <c r="HSK42" s="119"/>
      <c r="HSL42" s="119"/>
      <c r="HSM42" s="119"/>
      <c r="HSN42" s="119"/>
      <c r="HSO42" s="119"/>
      <c r="HSP42" s="119"/>
      <c r="HSQ42" s="119"/>
      <c r="HSR42" s="119"/>
      <c r="HSS42" s="119"/>
      <c r="HST42" s="119"/>
      <c r="HSU42" s="119"/>
      <c r="HSV42" s="119"/>
      <c r="HSW42" s="119"/>
      <c r="HSX42" s="119"/>
      <c r="HSY42" s="119"/>
      <c r="HSZ42" s="119"/>
      <c r="HTA42" s="119"/>
      <c r="HTB42" s="119"/>
      <c r="HTC42" s="119"/>
      <c r="HTD42" s="119"/>
      <c r="HTE42" s="119"/>
      <c r="HTF42" s="119"/>
      <c r="HTG42" s="119"/>
      <c r="HTH42" s="119"/>
      <c r="HTI42" s="119"/>
      <c r="HTJ42" s="119"/>
      <c r="HTK42" s="119"/>
      <c r="HTL42" s="119"/>
      <c r="HTM42" s="119"/>
      <c r="HTN42" s="119"/>
      <c r="HTO42" s="119"/>
      <c r="HTP42" s="119"/>
      <c r="HTQ42" s="119"/>
      <c r="HTR42" s="119"/>
      <c r="HTS42" s="119"/>
      <c r="HTT42" s="119"/>
      <c r="HTU42" s="119"/>
      <c r="HTV42" s="119"/>
      <c r="HTW42" s="119"/>
      <c r="HTX42" s="119"/>
      <c r="HTY42" s="119"/>
      <c r="HTZ42" s="119"/>
      <c r="HUA42" s="119"/>
      <c r="HUB42" s="119"/>
      <c r="HUC42" s="119"/>
      <c r="HUD42" s="119"/>
      <c r="HUE42" s="119"/>
      <c r="HUF42" s="119"/>
      <c r="HUG42" s="119"/>
      <c r="HUH42" s="119"/>
      <c r="HUI42" s="119"/>
      <c r="HUJ42" s="119"/>
      <c r="HUK42" s="119"/>
      <c r="HUL42" s="119"/>
      <c r="HUM42" s="119"/>
      <c r="HUN42" s="119"/>
      <c r="HUO42" s="119"/>
      <c r="HUP42" s="119"/>
      <c r="HUQ42" s="119"/>
      <c r="HUR42" s="119"/>
      <c r="HUS42" s="119"/>
      <c r="HUT42" s="119"/>
      <c r="HUU42" s="119"/>
      <c r="HUV42" s="119"/>
      <c r="HUW42" s="119"/>
      <c r="HUX42" s="119"/>
      <c r="HUY42" s="119"/>
      <c r="HUZ42" s="119"/>
      <c r="HVA42" s="119"/>
      <c r="HVB42" s="119"/>
      <c r="HVC42" s="119"/>
      <c r="HVD42" s="119"/>
      <c r="HVE42" s="119"/>
      <c r="HVF42" s="119"/>
      <c r="HVG42" s="119"/>
      <c r="HVH42" s="119"/>
      <c r="HVI42" s="119"/>
      <c r="HVJ42" s="119"/>
      <c r="HVK42" s="119"/>
      <c r="HVL42" s="119"/>
      <c r="HVM42" s="119"/>
      <c r="HVN42" s="119"/>
      <c r="HVO42" s="119"/>
      <c r="HVP42" s="119"/>
      <c r="HVQ42" s="119"/>
      <c r="HVR42" s="119"/>
      <c r="HVS42" s="119"/>
      <c r="HVT42" s="119"/>
      <c r="HVU42" s="119"/>
      <c r="HVV42" s="119"/>
      <c r="HVW42" s="119"/>
      <c r="HVX42" s="119"/>
      <c r="HVY42" s="119"/>
      <c r="HVZ42" s="119"/>
      <c r="HWA42" s="119"/>
      <c r="HWB42" s="119"/>
      <c r="HWC42" s="119"/>
      <c r="HWD42" s="119"/>
      <c r="HWE42" s="119"/>
      <c r="HWF42" s="119"/>
      <c r="HWG42" s="119"/>
      <c r="HWH42" s="119"/>
      <c r="HWI42" s="119"/>
      <c r="HWJ42" s="119"/>
      <c r="HWK42" s="119"/>
      <c r="HWL42" s="119"/>
      <c r="HWM42" s="119"/>
      <c r="HWN42" s="119"/>
      <c r="HWO42" s="119"/>
      <c r="HWP42" s="119"/>
      <c r="HWQ42" s="119"/>
      <c r="HWR42" s="119"/>
      <c r="HWS42" s="119"/>
      <c r="HWT42" s="119"/>
      <c r="HWU42" s="119"/>
      <c r="HWV42" s="119"/>
      <c r="HWW42" s="119"/>
      <c r="HWX42" s="119"/>
      <c r="HWY42" s="119"/>
      <c r="HWZ42" s="119"/>
      <c r="HXA42" s="119"/>
      <c r="HXB42" s="119"/>
      <c r="HXC42" s="119"/>
      <c r="HXD42" s="119"/>
      <c r="HXE42" s="119"/>
      <c r="HXF42" s="119"/>
      <c r="HXG42" s="119"/>
      <c r="HXH42" s="119"/>
      <c r="HXI42" s="119"/>
      <c r="HXJ42" s="119"/>
      <c r="HXK42" s="119"/>
      <c r="HXL42" s="119"/>
      <c r="HXM42" s="119"/>
      <c r="HXN42" s="119"/>
      <c r="HXO42" s="119"/>
      <c r="HXP42" s="119"/>
      <c r="HXQ42" s="119"/>
      <c r="HXR42" s="119"/>
      <c r="HXS42" s="119"/>
      <c r="HXT42" s="119"/>
      <c r="HXU42" s="119"/>
      <c r="HXV42" s="119"/>
      <c r="HXW42" s="119"/>
      <c r="HXX42" s="119"/>
      <c r="HXY42" s="119"/>
      <c r="HXZ42" s="119"/>
      <c r="HYA42" s="119"/>
      <c r="HYB42" s="119"/>
      <c r="HYC42" s="119"/>
      <c r="HYD42" s="119"/>
      <c r="HYE42" s="119"/>
      <c r="HYF42" s="119"/>
      <c r="HYG42" s="119"/>
      <c r="HYH42" s="119"/>
      <c r="HYI42" s="119"/>
      <c r="HYJ42" s="119"/>
      <c r="HYK42" s="119"/>
      <c r="HYL42" s="119"/>
      <c r="HYM42" s="119"/>
      <c r="HYN42" s="119"/>
      <c r="HYO42" s="119"/>
      <c r="HYP42" s="119"/>
      <c r="HYQ42" s="119"/>
      <c r="HYR42" s="119"/>
      <c r="HYS42" s="119"/>
      <c r="HYT42" s="119"/>
      <c r="HYU42" s="119"/>
      <c r="HYV42" s="119"/>
      <c r="HYW42" s="119"/>
      <c r="HYX42" s="119"/>
      <c r="HYY42" s="119"/>
      <c r="HYZ42" s="119"/>
      <c r="HZA42" s="119"/>
      <c r="HZB42" s="119"/>
      <c r="HZC42" s="119"/>
      <c r="HZD42" s="119"/>
      <c r="HZE42" s="119"/>
      <c r="HZF42" s="119"/>
      <c r="HZG42" s="119"/>
      <c r="HZH42" s="119"/>
      <c r="HZI42" s="119"/>
      <c r="HZJ42" s="119"/>
      <c r="HZK42" s="119"/>
      <c r="HZL42" s="119"/>
      <c r="HZM42" s="119"/>
      <c r="HZN42" s="119"/>
      <c r="HZO42" s="119"/>
      <c r="HZP42" s="119"/>
      <c r="HZQ42" s="119"/>
      <c r="HZR42" s="119"/>
      <c r="HZS42" s="119"/>
      <c r="HZT42" s="119"/>
      <c r="HZU42" s="119"/>
      <c r="HZV42" s="119"/>
      <c r="HZW42" s="119"/>
      <c r="HZX42" s="119"/>
      <c r="HZY42" s="119"/>
      <c r="HZZ42" s="119"/>
      <c r="IAA42" s="119"/>
      <c r="IAB42" s="119"/>
      <c r="IAC42" s="119"/>
      <c r="IAD42" s="119"/>
      <c r="IAE42" s="119"/>
      <c r="IAF42" s="119"/>
      <c r="IAG42" s="119"/>
      <c r="IAH42" s="119"/>
      <c r="IAI42" s="119"/>
      <c r="IAJ42" s="119"/>
      <c r="IAK42" s="119"/>
      <c r="IAL42" s="119"/>
      <c r="IAM42" s="119"/>
      <c r="IAN42" s="119"/>
      <c r="IAO42" s="119"/>
      <c r="IAP42" s="119"/>
      <c r="IAQ42" s="119"/>
      <c r="IAR42" s="119"/>
      <c r="IAS42" s="119"/>
      <c r="IAT42" s="119"/>
      <c r="IAU42" s="119"/>
      <c r="IAV42" s="119"/>
      <c r="IAW42" s="119"/>
      <c r="IAX42" s="119"/>
      <c r="IAY42" s="119"/>
      <c r="IAZ42" s="119"/>
      <c r="IBA42" s="119"/>
      <c r="IBB42" s="119"/>
      <c r="IBC42" s="119"/>
      <c r="IBD42" s="119"/>
      <c r="IBE42" s="119"/>
      <c r="IBF42" s="119"/>
      <c r="IBG42" s="119"/>
      <c r="IBH42" s="119"/>
      <c r="IBI42" s="119"/>
      <c r="IBJ42" s="119"/>
      <c r="IBK42" s="119"/>
      <c r="IBL42" s="119"/>
      <c r="IBM42" s="119"/>
      <c r="IBN42" s="119"/>
      <c r="IBO42" s="119"/>
      <c r="IBP42" s="119"/>
      <c r="IBQ42" s="119"/>
      <c r="IBR42" s="119"/>
      <c r="IBS42" s="119"/>
      <c r="IBT42" s="119"/>
      <c r="IBU42" s="119"/>
      <c r="IBV42" s="119"/>
      <c r="IBW42" s="119"/>
      <c r="IBX42" s="119"/>
      <c r="IBY42" s="119"/>
      <c r="IBZ42" s="119"/>
      <c r="ICA42" s="119"/>
      <c r="ICB42" s="119"/>
      <c r="ICC42" s="119"/>
      <c r="ICD42" s="119"/>
      <c r="ICE42" s="119"/>
      <c r="ICF42" s="119"/>
      <c r="ICG42" s="119"/>
      <c r="ICH42" s="119"/>
      <c r="ICI42" s="119"/>
      <c r="ICJ42" s="119"/>
      <c r="ICK42" s="119"/>
      <c r="ICL42" s="119"/>
      <c r="ICM42" s="119"/>
      <c r="ICN42" s="119"/>
      <c r="ICO42" s="119"/>
      <c r="ICP42" s="119"/>
      <c r="ICQ42" s="119"/>
      <c r="ICR42" s="119"/>
      <c r="ICS42" s="119"/>
      <c r="ICT42" s="119"/>
      <c r="ICU42" s="119"/>
      <c r="ICV42" s="119"/>
      <c r="ICW42" s="119"/>
      <c r="ICX42" s="119"/>
      <c r="ICY42" s="119"/>
      <c r="ICZ42" s="119"/>
      <c r="IDA42" s="119"/>
      <c r="IDB42" s="119"/>
      <c r="IDC42" s="119"/>
      <c r="IDD42" s="119"/>
      <c r="IDE42" s="119"/>
      <c r="IDF42" s="119"/>
      <c r="IDG42" s="119"/>
      <c r="IDH42" s="119"/>
      <c r="IDI42" s="119"/>
      <c r="IDJ42" s="119"/>
      <c r="IDK42" s="119"/>
      <c r="IDL42" s="119"/>
      <c r="IDM42" s="119"/>
      <c r="IDN42" s="119"/>
      <c r="IDO42" s="119"/>
      <c r="IDP42" s="119"/>
      <c r="IDQ42" s="119"/>
      <c r="IDR42" s="119"/>
      <c r="IDS42" s="119"/>
      <c r="IDT42" s="119"/>
      <c r="IDU42" s="119"/>
      <c r="IDV42" s="119"/>
      <c r="IDW42" s="119"/>
      <c r="IDX42" s="119"/>
      <c r="IDY42" s="119"/>
      <c r="IDZ42" s="119"/>
      <c r="IEA42" s="119"/>
      <c r="IEB42" s="119"/>
      <c r="IEC42" s="119"/>
      <c r="IED42" s="119"/>
      <c r="IEE42" s="119"/>
      <c r="IEF42" s="119"/>
      <c r="IEG42" s="119"/>
      <c r="IEH42" s="119"/>
      <c r="IEI42" s="119"/>
      <c r="IEJ42" s="119"/>
      <c r="IEK42" s="119"/>
      <c r="IEL42" s="119"/>
      <c r="IEM42" s="119"/>
      <c r="IEN42" s="119"/>
      <c r="IEO42" s="119"/>
      <c r="IEP42" s="119"/>
      <c r="IEQ42" s="119"/>
      <c r="IER42" s="119"/>
      <c r="IES42" s="119"/>
      <c r="IET42" s="119"/>
      <c r="IEU42" s="119"/>
      <c r="IEV42" s="119"/>
      <c r="IEW42" s="119"/>
      <c r="IEX42" s="119"/>
      <c r="IEY42" s="119"/>
      <c r="IEZ42" s="119"/>
      <c r="IFA42" s="119"/>
      <c r="IFB42" s="119"/>
      <c r="IFC42" s="119"/>
      <c r="IFD42" s="119"/>
      <c r="IFE42" s="119"/>
      <c r="IFF42" s="119"/>
      <c r="IFG42" s="119"/>
      <c r="IFH42" s="119"/>
      <c r="IFI42" s="119"/>
      <c r="IFJ42" s="119"/>
      <c r="IFK42" s="119"/>
      <c r="IFL42" s="119"/>
      <c r="IFM42" s="119"/>
      <c r="IFN42" s="119"/>
      <c r="IFO42" s="119"/>
      <c r="IFP42" s="119"/>
      <c r="IFQ42" s="119"/>
      <c r="IFR42" s="119"/>
      <c r="IFS42" s="119"/>
      <c r="IFT42" s="119"/>
      <c r="IFU42" s="119"/>
      <c r="IFV42" s="119"/>
      <c r="IFW42" s="119"/>
      <c r="IFX42" s="119"/>
      <c r="IFY42" s="119"/>
      <c r="IFZ42" s="119"/>
      <c r="IGA42" s="119"/>
      <c r="IGB42" s="119"/>
      <c r="IGC42" s="119"/>
      <c r="IGD42" s="119"/>
      <c r="IGE42" s="119"/>
      <c r="IGF42" s="119"/>
      <c r="IGG42" s="119"/>
      <c r="IGH42" s="119"/>
      <c r="IGI42" s="119"/>
      <c r="IGJ42" s="119"/>
      <c r="IGK42" s="119"/>
      <c r="IGL42" s="119"/>
      <c r="IGM42" s="119"/>
      <c r="IGN42" s="119"/>
      <c r="IGO42" s="119"/>
      <c r="IGP42" s="119"/>
      <c r="IGQ42" s="119"/>
      <c r="IGR42" s="119"/>
      <c r="IGS42" s="119"/>
      <c r="IGT42" s="119"/>
      <c r="IGU42" s="119"/>
      <c r="IGV42" s="119"/>
      <c r="IGW42" s="119"/>
      <c r="IGX42" s="119"/>
      <c r="IGY42" s="119"/>
      <c r="IGZ42" s="119"/>
      <c r="IHA42" s="119"/>
      <c r="IHB42" s="119"/>
      <c r="IHC42" s="119"/>
      <c r="IHD42" s="119"/>
      <c r="IHE42" s="119"/>
      <c r="IHF42" s="119"/>
      <c r="IHG42" s="119"/>
      <c r="IHH42" s="119"/>
      <c r="IHI42" s="119"/>
      <c r="IHJ42" s="119"/>
      <c r="IHK42" s="119"/>
      <c r="IHL42" s="119"/>
      <c r="IHM42" s="119"/>
      <c r="IHN42" s="119"/>
      <c r="IHO42" s="119"/>
      <c r="IHP42" s="119"/>
      <c r="IHQ42" s="119"/>
      <c r="IHR42" s="119"/>
      <c r="IHS42" s="119"/>
      <c r="IHT42" s="119"/>
      <c r="IHU42" s="119"/>
      <c r="IHV42" s="119"/>
      <c r="IHW42" s="119"/>
      <c r="IHX42" s="119"/>
      <c r="IHY42" s="119"/>
      <c r="IHZ42" s="119"/>
      <c r="IIA42" s="119"/>
      <c r="IIB42" s="119"/>
      <c r="IIC42" s="119"/>
      <c r="IID42" s="119"/>
      <c r="IIE42" s="119"/>
      <c r="IIF42" s="119"/>
      <c r="IIG42" s="119"/>
      <c r="IIH42" s="119"/>
      <c r="III42" s="119"/>
      <c r="IIJ42" s="119"/>
      <c r="IIK42" s="119"/>
      <c r="IIL42" s="119"/>
      <c r="IIM42" s="119"/>
      <c r="IIN42" s="119"/>
      <c r="IIO42" s="119"/>
      <c r="IIP42" s="119"/>
      <c r="IIQ42" s="119"/>
      <c r="IIR42" s="119"/>
      <c r="IIS42" s="119"/>
      <c r="IIT42" s="119"/>
      <c r="IIU42" s="119"/>
      <c r="IIV42" s="119"/>
      <c r="IIW42" s="119"/>
      <c r="IIX42" s="119"/>
      <c r="IIY42" s="119"/>
      <c r="IIZ42" s="119"/>
      <c r="IJA42" s="119"/>
      <c r="IJB42" s="119"/>
      <c r="IJC42" s="119"/>
      <c r="IJD42" s="119"/>
      <c r="IJE42" s="119"/>
      <c r="IJF42" s="119"/>
      <c r="IJG42" s="119"/>
      <c r="IJH42" s="119"/>
      <c r="IJI42" s="119"/>
      <c r="IJJ42" s="119"/>
      <c r="IJK42" s="119"/>
      <c r="IJL42" s="119"/>
      <c r="IJM42" s="119"/>
      <c r="IJN42" s="119"/>
      <c r="IJO42" s="119"/>
      <c r="IJP42" s="119"/>
      <c r="IJQ42" s="119"/>
      <c r="IJR42" s="119"/>
      <c r="IJS42" s="119"/>
      <c r="IJT42" s="119"/>
      <c r="IJU42" s="119"/>
      <c r="IJV42" s="119"/>
      <c r="IJW42" s="119"/>
      <c r="IJX42" s="119"/>
      <c r="IJY42" s="119"/>
      <c r="IJZ42" s="119"/>
      <c r="IKA42" s="119"/>
      <c r="IKB42" s="119"/>
      <c r="IKC42" s="119"/>
      <c r="IKD42" s="119"/>
      <c r="IKE42" s="119"/>
      <c r="IKF42" s="119"/>
      <c r="IKG42" s="119"/>
      <c r="IKH42" s="119"/>
      <c r="IKI42" s="119"/>
      <c r="IKJ42" s="119"/>
      <c r="IKK42" s="119"/>
      <c r="IKL42" s="119"/>
      <c r="IKM42" s="119"/>
      <c r="IKN42" s="119"/>
      <c r="IKO42" s="119"/>
      <c r="IKP42" s="119"/>
      <c r="IKQ42" s="119"/>
      <c r="IKR42" s="119"/>
      <c r="IKS42" s="119"/>
      <c r="IKT42" s="119"/>
      <c r="IKU42" s="119"/>
      <c r="IKV42" s="119"/>
      <c r="IKW42" s="119"/>
      <c r="IKX42" s="119"/>
      <c r="IKY42" s="119"/>
      <c r="IKZ42" s="119"/>
      <c r="ILA42" s="119"/>
      <c r="ILB42" s="119"/>
      <c r="ILC42" s="119"/>
      <c r="ILD42" s="119"/>
      <c r="ILE42" s="119"/>
      <c r="ILF42" s="119"/>
      <c r="ILG42" s="119"/>
      <c r="ILH42" s="119"/>
      <c r="ILI42" s="119"/>
      <c r="ILJ42" s="119"/>
      <c r="ILK42" s="119"/>
      <c r="ILL42" s="119"/>
      <c r="ILM42" s="119"/>
      <c r="ILN42" s="119"/>
      <c r="ILO42" s="119"/>
      <c r="ILP42" s="119"/>
      <c r="ILQ42" s="119"/>
      <c r="ILR42" s="119"/>
      <c r="ILS42" s="119"/>
      <c r="ILT42" s="119"/>
      <c r="ILU42" s="119"/>
      <c r="ILV42" s="119"/>
      <c r="ILW42" s="119"/>
      <c r="ILX42" s="119"/>
      <c r="ILY42" s="119"/>
      <c r="ILZ42" s="119"/>
      <c r="IMA42" s="119"/>
      <c r="IMB42" s="119"/>
      <c r="IMC42" s="119"/>
      <c r="IMD42" s="119"/>
      <c r="IME42" s="119"/>
      <c r="IMF42" s="119"/>
      <c r="IMG42" s="119"/>
      <c r="IMH42" s="119"/>
      <c r="IMI42" s="119"/>
      <c r="IMJ42" s="119"/>
      <c r="IMK42" s="119"/>
      <c r="IML42" s="119"/>
      <c r="IMM42" s="119"/>
      <c r="IMN42" s="119"/>
      <c r="IMO42" s="119"/>
      <c r="IMP42" s="119"/>
      <c r="IMQ42" s="119"/>
      <c r="IMR42" s="119"/>
      <c r="IMS42" s="119"/>
      <c r="IMT42" s="119"/>
      <c r="IMU42" s="119"/>
      <c r="IMV42" s="119"/>
      <c r="IMW42" s="119"/>
      <c r="IMX42" s="119"/>
      <c r="IMY42" s="119"/>
      <c r="IMZ42" s="119"/>
      <c r="INA42" s="119"/>
      <c r="INB42" s="119"/>
      <c r="INC42" s="119"/>
      <c r="IND42" s="119"/>
      <c r="INE42" s="119"/>
      <c r="INF42" s="119"/>
      <c r="ING42" s="119"/>
      <c r="INH42" s="119"/>
      <c r="INI42" s="119"/>
      <c r="INJ42" s="119"/>
      <c r="INK42" s="119"/>
      <c r="INL42" s="119"/>
      <c r="INM42" s="119"/>
      <c r="INN42" s="119"/>
      <c r="INO42" s="119"/>
      <c r="INP42" s="119"/>
      <c r="INQ42" s="119"/>
      <c r="INR42" s="119"/>
      <c r="INS42" s="119"/>
      <c r="INT42" s="119"/>
      <c r="INU42" s="119"/>
      <c r="INV42" s="119"/>
      <c r="INW42" s="119"/>
      <c r="INX42" s="119"/>
      <c r="INY42" s="119"/>
      <c r="INZ42" s="119"/>
      <c r="IOA42" s="119"/>
      <c r="IOB42" s="119"/>
      <c r="IOC42" s="119"/>
      <c r="IOD42" s="119"/>
      <c r="IOE42" s="119"/>
      <c r="IOF42" s="119"/>
      <c r="IOG42" s="119"/>
      <c r="IOH42" s="119"/>
      <c r="IOI42" s="119"/>
      <c r="IOJ42" s="119"/>
      <c r="IOK42" s="119"/>
      <c r="IOL42" s="119"/>
      <c r="IOM42" s="119"/>
      <c r="ION42" s="119"/>
      <c r="IOO42" s="119"/>
      <c r="IOP42" s="119"/>
      <c r="IOQ42" s="119"/>
      <c r="IOR42" s="119"/>
      <c r="IOS42" s="119"/>
      <c r="IOT42" s="119"/>
      <c r="IOU42" s="119"/>
      <c r="IOV42" s="119"/>
      <c r="IOW42" s="119"/>
      <c r="IOX42" s="119"/>
      <c r="IOY42" s="119"/>
      <c r="IOZ42" s="119"/>
      <c r="IPA42" s="119"/>
      <c r="IPB42" s="119"/>
      <c r="IPC42" s="119"/>
      <c r="IPD42" s="119"/>
      <c r="IPE42" s="119"/>
      <c r="IPF42" s="119"/>
      <c r="IPG42" s="119"/>
      <c r="IPH42" s="119"/>
      <c r="IPI42" s="119"/>
      <c r="IPJ42" s="119"/>
      <c r="IPK42" s="119"/>
      <c r="IPL42" s="119"/>
      <c r="IPM42" s="119"/>
      <c r="IPN42" s="119"/>
      <c r="IPO42" s="119"/>
      <c r="IPP42" s="119"/>
      <c r="IPQ42" s="119"/>
      <c r="IPR42" s="119"/>
      <c r="IPS42" s="119"/>
      <c r="IPT42" s="119"/>
      <c r="IPU42" s="119"/>
      <c r="IPV42" s="119"/>
      <c r="IPW42" s="119"/>
      <c r="IPX42" s="119"/>
      <c r="IPY42" s="119"/>
      <c r="IPZ42" s="119"/>
      <c r="IQA42" s="119"/>
      <c r="IQB42" s="119"/>
      <c r="IQC42" s="119"/>
      <c r="IQD42" s="119"/>
      <c r="IQE42" s="119"/>
      <c r="IQF42" s="119"/>
      <c r="IQG42" s="119"/>
      <c r="IQH42" s="119"/>
      <c r="IQI42" s="119"/>
      <c r="IQJ42" s="119"/>
      <c r="IQK42" s="119"/>
      <c r="IQL42" s="119"/>
      <c r="IQM42" s="119"/>
      <c r="IQN42" s="119"/>
      <c r="IQO42" s="119"/>
      <c r="IQP42" s="119"/>
      <c r="IQQ42" s="119"/>
      <c r="IQR42" s="119"/>
      <c r="IQS42" s="119"/>
      <c r="IQT42" s="119"/>
      <c r="IQU42" s="119"/>
      <c r="IQV42" s="119"/>
      <c r="IQW42" s="119"/>
      <c r="IQX42" s="119"/>
      <c r="IQY42" s="119"/>
      <c r="IQZ42" s="119"/>
      <c r="IRA42" s="119"/>
      <c r="IRB42" s="119"/>
      <c r="IRC42" s="119"/>
      <c r="IRD42" s="119"/>
      <c r="IRE42" s="119"/>
      <c r="IRF42" s="119"/>
      <c r="IRG42" s="119"/>
      <c r="IRH42" s="119"/>
      <c r="IRI42" s="119"/>
      <c r="IRJ42" s="119"/>
      <c r="IRK42" s="119"/>
      <c r="IRL42" s="119"/>
      <c r="IRM42" s="119"/>
      <c r="IRN42" s="119"/>
      <c r="IRO42" s="119"/>
      <c r="IRP42" s="119"/>
      <c r="IRQ42" s="119"/>
      <c r="IRR42" s="119"/>
      <c r="IRS42" s="119"/>
      <c r="IRT42" s="119"/>
      <c r="IRU42" s="119"/>
      <c r="IRV42" s="119"/>
      <c r="IRW42" s="119"/>
      <c r="IRX42" s="119"/>
      <c r="IRY42" s="119"/>
      <c r="IRZ42" s="119"/>
      <c r="ISA42" s="119"/>
      <c r="ISB42" s="119"/>
      <c r="ISC42" s="119"/>
      <c r="ISD42" s="119"/>
      <c r="ISE42" s="119"/>
      <c r="ISF42" s="119"/>
      <c r="ISG42" s="119"/>
      <c r="ISH42" s="119"/>
      <c r="ISI42" s="119"/>
      <c r="ISJ42" s="119"/>
      <c r="ISK42" s="119"/>
      <c r="ISL42" s="119"/>
      <c r="ISM42" s="119"/>
      <c r="ISN42" s="119"/>
      <c r="ISO42" s="119"/>
      <c r="ISP42" s="119"/>
      <c r="ISQ42" s="119"/>
      <c r="ISR42" s="119"/>
      <c r="ISS42" s="119"/>
      <c r="IST42" s="119"/>
      <c r="ISU42" s="119"/>
      <c r="ISV42" s="119"/>
      <c r="ISW42" s="119"/>
      <c r="ISX42" s="119"/>
      <c r="ISY42" s="119"/>
      <c r="ISZ42" s="119"/>
      <c r="ITA42" s="119"/>
      <c r="ITB42" s="119"/>
      <c r="ITC42" s="119"/>
      <c r="ITD42" s="119"/>
      <c r="ITE42" s="119"/>
      <c r="ITF42" s="119"/>
      <c r="ITG42" s="119"/>
      <c r="ITH42" s="119"/>
      <c r="ITI42" s="119"/>
      <c r="ITJ42" s="119"/>
      <c r="ITK42" s="119"/>
      <c r="ITL42" s="119"/>
      <c r="ITM42" s="119"/>
      <c r="ITN42" s="119"/>
      <c r="ITO42" s="119"/>
      <c r="ITP42" s="119"/>
      <c r="ITQ42" s="119"/>
      <c r="ITR42" s="119"/>
      <c r="ITS42" s="119"/>
      <c r="ITT42" s="119"/>
      <c r="ITU42" s="119"/>
      <c r="ITV42" s="119"/>
      <c r="ITW42" s="119"/>
      <c r="ITX42" s="119"/>
      <c r="ITY42" s="119"/>
      <c r="ITZ42" s="119"/>
      <c r="IUA42" s="119"/>
      <c r="IUB42" s="119"/>
      <c r="IUC42" s="119"/>
      <c r="IUD42" s="119"/>
      <c r="IUE42" s="119"/>
      <c r="IUF42" s="119"/>
      <c r="IUG42" s="119"/>
      <c r="IUH42" s="119"/>
      <c r="IUI42" s="119"/>
      <c r="IUJ42" s="119"/>
      <c r="IUK42" s="119"/>
      <c r="IUL42" s="119"/>
      <c r="IUM42" s="119"/>
      <c r="IUN42" s="119"/>
      <c r="IUO42" s="119"/>
      <c r="IUP42" s="119"/>
      <c r="IUQ42" s="119"/>
      <c r="IUR42" s="119"/>
      <c r="IUS42" s="119"/>
      <c r="IUT42" s="119"/>
      <c r="IUU42" s="119"/>
      <c r="IUV42" s="119"/>
      <c r="IUW42" s="119"/>
      <c r="IUX42" s="119"/>
      <c r="IUY42" s="119"/>
      <c r="IUZ42" s="119"/>
      <c r="IVA42" s="119"/>
      <c r="IVB42" s="119"/>
      <c r="IVC42" s="119"/>
      <c r="IVD42" s="119"/>
      <c r="IVE42" s="119"/>
      <c r="IVF42" s="119"/>
      <c r="IVG42" s="119"/>
      <c r="IVH42" s="119"/>
      <c r="IVI42" s="119"/>
      <c r="IVJ42" s="119"/>
      <c r="IVK42" s="119"/>
      <c r="IVL42" s="119"/>
      <c r="IVM42" s="119"/>
      <c r="IVN42" s="119"/>
      <c r="IVO42" s="119"/>
      <c r="IVP42" s="119"/>
      <c r="IVQ42" s="119"/>
      <c r="IVR42" s="119"/>
      <c r="IVS42" s="119"/>
      <c r="IVT42" s="119"/>
      <c r="IVU42" s="119"/>
      <c r="IVV42" s="119"/>
      <c r="IVW42" s="119"/>
      <c r="IVX42" s="119"/>
      <c r="IVY42" s="119"/>
      <c r="IVZ42" s="119"/>
      <c r="IWA42" s="119"/>
      <c r="IWB42" s="119"/>
      <c r="IWC42" s="119"/>
      <c r="IWD42" s="119"/>
      <c r="IWE42" s="119"/>
      <c r="IWF42" s="119"/>
      <c r="IWG42" s="119"/>
      <c r="IWH42" s="119"/>
      <c r="IWI42" s="119"/>
      <c r="IWJ42" s="119"/>
      <c r="IWK42" s="119"/>
      <c r="IWL42" s="119"/>
      <c r="IWM42" s="119"/>
      <c r="IWN42" s="119"/>
      <c r="IWO42" s="119"/>
      <c r="IWP42" s="119"/>
      <c r="IWQ42" s="119"/>
      <c r="IWR42" s="119"/>
      <c r="IWS42" s="119"/>
      <c r="IWT42" s="119"/>
      <c r="IWU42" s="119"/>
      <c r="IWV42" s="119"/>
      <c r="IWW42" s="119"/>
      <c r="IWX42" s="119"/>
      <c r="IWY42" s="119"/>
      <c r="IWZ42" s="119"/>
      <c r="IXA42" s="119"/>
      <c r="IXB42" s="119"/>
      <c r="IXC42" s="119"/>
      <c r="IXD42" s="119"/>
      <c r="IXE42" s="119"/>
      <c r="IXF42" s="119"/>
      <c r="IXG42" s="119"/>
      <c r="IXH42" s="119"/>
      <c r="IXI42" s="119"/>
      <c r="IXJ42" s="119"/>
      <c r="IXK42" s="119"/>
      <c r="IXL42" s="119"/>
      <c r="IXM42" s="119"/>
      <c r="IXN42" s="119"/>
      <c r="IXO42" s="119"/>
      <c r="IXP42" s="119"/>
      <c r="IXQ42" s="119"/>
      <c r="IXR42" s="119"/>
      <c r="IXS42" s="119"/>
      <c r="IXT42" s="119"/>
      <c r="IXU42" s="119"/>
      <c r="IXV42" s="119"/>
      <c r="IXW42" s="119"/>
      <c r="IXX42" s="119"/>
      <c r="IXY42" s="119"/>
      <c r="IXZ42" s="119"/>
      <c r="IYA42" s="119"/>
      <c r="IYB42" s="119"/>
      <c r="IYC42" s="119"/>
      <c r="IYD42" s="119"/>
      <c r="IYE42" s="119"/>
      <c r="IYF42" s="119"/>
      <c r="IYG42" s="119"/>
      <c r="IYH42" s="119"/>
      <c r="IYI42" s="119"/>
      <c r="IYJ42" s="119"/>
      <c r="IYK42" s="119"/>
      <c r="IYL42" s="119"/>
      <c r="IYM42" s="119"/>
      <c r="IYN42" s="119"/>
      <c r="IYO42" s="119"/>
      <c r="IYP42" s="119"/>
      <c r="IYQ42" s="119"/>
      <c r="IYR42" s="119"/>
      <c r="IYS42" s="119"/>
      <c r="IYT42" s="119"/>
      <c r="IYU42" s="119"/>
      <c r="IYV42" s="119"/>
      <c r="IYW42" s="119"/>
      <c r="IYX42" s="119"/>
      <c r="IYY42" s="119"/>
      <c r="IYZ42" s="119"/>
      <c r="IZA42" s="119"/>
      <c r="IZB42" s="119"/>
      <c r="IZC42" s="119"/>
      <c r="IZD42" s="119"/>
      <c r="IZE42" s="119"/>
      <c r="IZF42" s="119"/>
      <c r="IZG42" s="119"/>
      <c r="IZH42" s="119"/>
      <c r="IZI42" s="119"/>
      <c r="IZJ42" s="119"/>
      <c r="IZK42" s="119"/>
      <c r="IZL42" s="119"/>
      <c r="IZM42" s="119"/>
      <c r="IZN42" s="119"/>
      <c r="IZO42" s="119"/>
      <c r="IZP42" s="119"/>
      <c r="IZQ42" s="119"/>
      <c r="IZR42" s="119"/>
      <c r="IZS42" s="119"/>
      <c r="IZT42" s="119"/>
      <c r="IZU42" s="119"/>
      <c r="IZV42" s="119"/>
      <c r="IZW42" s="119"/>
      <c r="IZX42" s="119"/>
      <c r="IZY42" s="119"/>
      <c r="IZZ42" s="119"/>
      <c r="JAA42" s="119"/>
      <c r="JAB42" s="119"/>
      <c r="JAC42" s="119"/>
      <c r="JAD42" s="119"/>
      <c r="JAE42" s="119"/>
      <c r="JAF42" s="119"/>
      <c r="JAG42" s="119"/>
      <c r="JAH42" s="119"/>
      <c r="JAI42" s="119"/>
      <c r="JAJ42" s="119"/>
      <c r="JAK42" s="119"/>
      <c r="JAL42" s="119"/>
      <c r="JAM42" s="119"/>
      <c r="JAN42" s="119"/>
      <c r="JAO42" s="119"/>
      <c r="JAP42" s="119"/>
      <c r="JAQ42" s="119"/>
      <c r="JAR42" s="119"/>
      <c r="JAS42" s="119"/>
      <c r="JAT42" s="119"/>
      <c r="JAU42" s="119"/>
      <c r="JAV42" s="119"/>
      <c r="JAW42" s="119"/>
      <c r="JAX42" s="119"/>
      <c r="JAY42" s="119"/>
      <c r="JAZ42" s="119"/>
      <c r="JBA42" s="119"/>
      <c r="JBB42" s="119"/>
      <c r="JBC42" s="119"/>
      <c r="JBD42" s="119"/>
      <c r="JBE42" s="119"/>
      <c r="JBF42" s="119"/>
      <c r="JBG42" s="119"/>
      <c r="JBH42" s="119"/>
      <c r="JBI42" s="119"/>
      <c r="JBJ42" s="119"/>
      <c r="JBK42" s="119"/>
      <c r="JBL42" s="119"/>
      <c r="JBM42" s="119"/>
      <c r="JBN42" s="119"/>
      <c r="JBO42" s="119"/>
      <c r="JBP42" s="119"/>
      <c r="JBQ42" s="119"/>
      <c r="JBR42" s="119"/>
      <c r="JBS42" s="119"/>
      <c r="JBT42" s="119"/>
      <c r="JBU42" s="119"/>
      <c r="JBV42" s="119"/>
      <c r="JBW42" s="119"/>
      <c r="JBX42" s="119"/>
      <c r="JBY42" s="119"/>
      <c r="JBZ42" s="119"/>
      <c r="JCA42" s="119"/>
      <c r="JCB42" s="119"/>
      <c r="JCC42" s="119"/>
      <c r="JCD42" s="119"/>
      <c r="JCE42" s="119"/>
      <c r="JCF42" s="119"/>
      <c r="JCG42" s="119"/>
      <c r="JCH42" s="119"/>
      <c r="JCI42" s="119"/>
      <c r="JCJ42" s="119"/>
      <c r="JCK42" s="119"/>
      <c r="JCL42" s="119"/>
      <c r="JCM42" s="119"/>
      <c r="JCN42" s="119"/>
      <c r="JCO42" s="119"/>
      <c r="JCP42" s="119"/>
      <c r="JCQ42" s="119"/>
      <c r="JCR42" s="119"/>
      <c r="JCS42" s="119"/>
      <c r="JCT42" s="119"/>
      <c r="JCU42" s="119"/>
      <c r="JCV42" s="119"/>
      <c r="JCW42" s="119"/>
      <c r="JCX42" s="119"/>
      <c r="JCY42" s="119"/>
      <c r="JCZ42" s="119"/>
      <c r="JDA42" s="119"/>
      <c r="JDB42" s="119"/>
      <c r="JDC42" s="119"/>
      <c r="JDD42" s="119"/>
      <c r="JDE42" s="119"/>
      <c r="JDF42" s="119"/>
      <c r="JDG42" s="119"/>
      <c r="JDH42" s="119"/>
      <c r="JDI42" s="119"/>
      <c r="JDJ42" s="119"/>
      <c r="JDK42" s="119"/>
      <c r="JDL42" s="119"/>
      <c r="JDM42" s="119"/>
      <c r="JDN42" s="119"/>
      <c r="JDO42" s="119"/>
      <c r="JDP42" s="119"/>
      <c r="JDQ42" s="119"/>
      <c r="JDR42" s="119"/>
      <c r="JDS42" s="119"/>
      <c r="JDT42" s="119"/>
      <c r="JDU42" s="119"/>
      <c r="JDV42" s="119"/>
      <c r="JDW42" s="119"/>
      <c r="JDX42" s="119"/>
      <c r="JDY42" s="119"/>
      <c r="JDZ42" s="119"/>
      <c r="JEA42" s="119"/>
      <c r="JEB42" s="119"/>
      <c r="JEC42" s="119"/>
      <c r="JED42" s="119"/>
      <c r="JEE42" s="119"/>
      <c r="JEF42" s="119"/>
      <c r="JEG42" s="119"/>
      <c r="JEH42" s="119"/>
      <c r="JEI42" s="119"/>
      <c r="JEJ42" s="119"/>
      <c r="JEK42" s="119"/>
      <c r="JEL42" s="119"/>
      <c r="JEM42" s="119"/>
      <c r="JEN42" s="119"/>
      <c r="JEO42" s="119"/>
      <c r="JEP42" s="119"/>
      <c r="JEQ42" s="119"/>
      <c r="JER42" s="119"/>
      <c r="JES42" s="119"/>
      <c r="JET42" s="119"/>
      <c r="JEU42" s="119"/>
      <c r="JEV42" s="119"/>
      <c r="JEW42" s="119"/>
      <c r="JEX42" s="119"/>
      <c r="JEY42" s="119"/>
      <c r="JEZ42" s="119"/>
      <c r="JFA42" s="119"/>
      <c r="JFB42" s="119"/>
      <c r="JFC42" s="119"/>
      <c r="JFD42" s="119"/>
      <c r="JFE42" s="119"/>
      <c r="JFF42" s="119"/>
      <c r="JFG42" s="119"/>
      <c r="JFH42" s="119"/>
      <c r="JFI42" s="119"/>
      <c r="JFJ42" s="119"/>
      <c r="JFK42" s="119"/>
      <c r="JFL42" s="119"/>
      <c r="JFM42" s="119"/>
      <c r="JFN42" s="119"/>
      <c r="JFO42" s="119"/>
      <c r="JFP42" s="119"/>
      <c r="JFQ42" s="119"/>
      <c r="JFR42" s="119"/>
      <c r="JFS42" s="119"/>
      <c r="JFT42" s="119"/>
      <c r="JFU42" s="119"/>
      <c r="JFV42" s="119"/>
      <c r="JFW42" s="119"/>
      <c r="JFX42" s="119"/>
      <c r="JFY42" s="119"/>
      <c r="JFZ42" s="119"/>
      <c r="JGA42" s="119"/>
      <c r="JGB42" s="119"/>
      <c r="JGC42" s="119"/>
      <c r="JGD42" s="119"/>
      <c r="JGE42" s="119"/>
      <c r="JGF42" s="119"/>
      <c r="JGG42" s="119"/>
      <c r="JGH42" s="119"/>
      <c r="JGI42" s="119"/>
      <c r="JGJ42" s="119"/>
      <c r="JGK42" s="119"/>
      <c r="JGL42" s="119"/>
      <c r="JGM42" s="119"/>
      <c r="JGN42" s="119"/>
      <c r="JGO42" s="119"/>
      <c r="JGP42" s="119"/>
      <c r="JGQ42" s="119"/>
      <c r="JGR42" s="119"/>
      <c r="JGS42" s="119"/>
      <c r="JGT42" s="119"/>
      <c r="JGU42" s="119"/>
      <c r="JGV42" s="119"/>
      <c r="JGW42" s="119"/>
      <c r="JGX42" s="119"/>
      <c r="JGY42" s="119"/>
      <c r="JGZ42" s="119"/>
      <c r="JHA42" s="119"/>
      <c r="JHB42" s="119"/>
      <c r="JHC42" s="119"/>
      <c r="JHD42" s="119"/>
      <c r="JHE42" s="119"/>
      <c r="JHF42" s="119"/>
      <c r="JHG42" s="119"/>
      <c r="JHH42" s="119"/>
      <c r="JHI42" s="119"/>
      <c r="JHJ42" s="119"/>
      <c r="JHK42" s="119"/>
      <c r="JHL42" s="119"/>
      <c r="JHM42" s="119"/>
      <c r="JHN42" s="119"/>
      <c r="JHO42" s="119"/>
      <c r="JHP42" s="119"/>
      <c r="JHQ42" s="119"/>
      <c r="JHR42" s="119"/>
      <c r="JHS42" s="119"/>
      <c r="JHT42" s="119"/>
      <c r="JHU42" s="119"/>
      <c r="JHV42" s="119"/>
      <c r="JHW42" s="119"/>
      <c r="JHX42" s="119"/>
      <c r="JHY42" s="119"/>
      <c r="JHZ42" s="119"/>
      <c r="JIA42" s="119"/>
      <c r="JIB42" s="119"/>
      <c r="JIC42" s="119"/>
      <c r="JID42" s="119"/>
      <c r="JIE42" s="119"/>
      <c r="JIF42" s="119"/>
      <c r="JIG42" s="119"/>
      <c r="JIH42" s="119"/>
      <c r="JII42" s="119"/>
      <c r="JIJ42" s="119"/>
      <c r="JIK42" s="119"/>
      <c r="JIL42" s="119"/>
      <c r="JIM42" s="119"/>
      <c r="JIN42" s="119"/>
      <c r="JIO42" s="119"/>
      <c r="JIP42" s="119"/>
      <c r="JIQ42" s="119"/>
      <c r="JIR42" s="119"/>
      <c r="JIS42" s="119"/>
      <c r="JIT42" s="119"/>
      <c r="JIU42" s="119"/>
      <c r="JIV42" s="119"/>
      <c r="JIW42" s="119"/>
      <c r="JIX42" s="119"/>
      <c r="JIY42" s="119"/>
      <c r="JIZ42" s="119"/>
      <c r="JJA42" s="119"/>
      <c r="JJB42" s="119"/>
      <c r="JJC42" s="119"/>
      <c r="JJD42" s="119"/>
      <c r="JJE42" s="119"/>
      <c r="JJF42" s="119"/>
      <c r="JJG42" s="119"/>
      <c r="JJH42" s="119"/>
      <c r="JJI42" s="119"/>
      <c r="JJJ42" s="119"/>
      <c r="JJK42" s="119"/>
      <c r="JJL42" s="119"/>
      <c r="JJM42" s="119"/>
      <c r="JJN42" s="119"/>
      <c r="JJO42" s="119"/>
      <c r="JJP42" s="119"/>
      <c r="JJQ42" s="119"/>
      <c r="JJR42" s="119"/>
      <c r="JJS42" s="119"/>
      <c r="JJT42" s="119"/>
      <c r="JJU42" s="119"/>
      <c r="JJV42" s="119"/>
      <c r="JJW42" s="119"/>
      <c r="JJX42" s="119"/>
      <c r="JJY42" s="119"/>
      <c r="JJZ42" s="119"/>
      <c r="JKA42" s="119"/>
      <c r="JKB42" s="119"/>
      <c r="JKC42" s="119"/>
      <c r="JKD42" s="119"/>
      <c r="JKE42" s="119"/>
      <c r="JKF42" s="119"/>
      <c r="JKG42" s="119"/>
      <c r="JKH42" s="119"/>
      <c r="JKI42" s="119"/>
      <c r="JKJ42" s="119"/>
      <c r="JKK42" s="119"/>
      <c r="JKL42" s="119"/>
      <c r="JKM42" s="119"/>
      <c r="JKN42" s="119"/>
      <c r="JKO42" s="119"/>
      <c r="JKP42" s="119"/>
      <c r="JKQ42" s="119"/>
      <c r="JKR42" s="119"/>
      <c r="JKS42" s="119"/>
      <c r="JKT42" s="119"/>
      <c r="JKU42" s="119"/>
      <c r="JKV42" s="119"/>
      <c r="JKW42" s="119"/>
      <c r="JKX42" s="119"/>
      <c r="JKY42" s="119"/>
      <c r="JKZ42" s="119"/>
      <c r="JLA42" s="119"/>
      <c r="JLB42" s="119"/>
      <c r="JLC42" s="119"/>
      <c r="JLD42" s="119"/>
      <c r="JLE42" s="119"/>
      <c r="JLF42" s="119"/>
      <c r="JLG42" s="119"/>
      <c r="JLH42" s="119"/>
      <c r="JLI42" s="119"/>
      <c r="JLJ42" s="119"/>
      <c r="JLK42" s="119"/>
      <c r="JLL42" s="119"/>
      <c r="JLM42" s="119"/>
      <c r="JLN42" s="119"/>
      <c r="JLO42" s="119"/>
      <c r="JLP42" s="119"/>
      <c r="JLQ42" s="119"/>
      <c r="JLR42" s="119"/>
      <c r="JLS42" s="119"/>
      <c r="JLT42" s="119"/>
      <c r="JLU42" s="119"/>
      <c r="JLV42" s="119"/>
      <c r="JLW42" s="119"/>
      <c r="JLX42" s="119"/>
      <c r="JLY42" s="119"/>
      <c r="JLZ42" s="119"/>
      <c r="JMA42" s="119"/>
      <c r="JMB42" s="119"/>
      <c r="JMC42" s="119"/>
      <c r="JMD42" s="119"/>
      <c r="JME42" s="119"/>
      <c r="JMF42" s="119"/>
      <c r="JMG42" s="119"/>
      <c r="JMH42" s="119"/>
      <c r="JMI42" s="119"/>
      <c r="JMJ42" s="119"/>
      <c r="JMK42" s="119"/>
      <c r="JML42" s="119"/>
      <c r="JMM42" s="119"/>
      <c r="JMN42" s="119"/>
      <c r="JMO42" s="119"/>
      <c r="JMP42" s="119"/>
      <c r="JMQ42" s="119"/>
      <c r="JMR42" s="119"/>
      <c r="JMS42" s="119"/>
      <c r="JMT42" s="119"/>
      <c r="JMU42" s="119"/>
      <c r="JMV42" s="119"/>
      <c r="JMW42" s="119"/>
      <c r="JMX42" s="119"/>
      <c r="JMY42" s="119"/>
      <c r="JMZ42" s="119"/>
      <c r="JNA42" s="119"/>
      <c r="JNB42" s="119"/>
      <c r="JNC42" s="119"/>
      <c r="JND42" s="119"/>
      <c r="JNE42" s="119"/>
      <c r="JNF42" s="119"/>
      <c r="JNG42" s="119"/>
      <c r="JNH42" s="119"/>
      <c r="JNI42" s="119"/>
      <c r="JNJ42" s="119"/>
      <c r="JNK42" s="119"/>
      <c r="JNL42" s="119"/>
      <c r="JNM42" s="119"/>
      <c r="JNN42" s="119"/>
      <c r="JNO42" s="119"/>
      <c r="JNP42" s="119"/>
      <c r="JNQ42" s="119"/>
      <c r="JNR42" s="119"/>
      <c r="JNS42" s="119"/>
      <c r="JNT42" s="119"/>
      <c r="JNU42" s="119"/>
      <c r="JNV42" s="119"/>
      <c r="JNW42" s="119"/>
      <c r="JNX42" s="119"/>
      <c r="JNY42" s="119"/>
      <c r="JNZ42" s="119"/>
      <c r="JOA42" s="119"/>
      <c r="JOB42" s="119"/>
      <c r="JOC42" s="119"/>
      <c r="JOD42" s="119"/>
      <c r="JOE42" s="119"/>
      <c r="JOF42" s="119"/>
      <c r="JOG42" s="119"/>
      <c r="JOH42" s="119"/>
      <c r="JOI42" s="119"/>
      <c r="JOJ42" s="119"/>
      <c r="JOK42" s="119"/>
      <c r="JOL42" s="119"/>
      <c r="JOM42" s="119"/>
      <c r="JON42" s="119"/>
      <c r="JOO42" s="119"/>
      <c r="JOP42" s="119"/>
      <c r="JOQ42" s="119"/>
      <c r="JOR42" s="119"/>
      <c r="JOS42" s="119"/>
      <c r="JOT42" s="119"/>
      <c r="JOU42" s="119"/>
      <c r="JOV42" s="119"/>
      <c r="JOW42" s="119"/>
      <c r="JOX42" s="119"/>
      <c r="JOY42" s="119"/>
      <c r="JOZ42" s="119"/>
      <c r="JPA42" s="119"/>
      <c r="JPB42" s="119"/>
      <c r="JPC42" s="119"/>
      <c r="JPD42" s="119"/>
      <c r="JPE42" s="119"/>
      <c r="JPF42" s="119"/>
      <c r="JPG42" s="119"/>
      <c r="JPH42" s="119"/>
      <c r="JPI42" s="119"/>
      <c r="JPJ42" s="119"/>
      <c r="JPK42" s="119"/>
      <c r="JPL42" s="119"/>
      <c r="JPM42" s="119"/>
      <c r="JPN42" s="119"/>
      <c r="JPO42" s="119"/>
      <c r="JPP42" s="119"/>
      <c r="JPQ42" s="119"/>
      <c r="JPR42" s="119"/>
      <c r="JPS42" s="119"/>
      <c r="JPT42" s="119"/>
      <c r="JPU42" s="119"/>
      <c r="JPV42" s="119"/>
      <c r="JPW42" s="119"/>
      <c r="JPX42" s="119"/>
      <c r="JPY42" s="119"/>
      <c r="JPZ42" s="119"/>
      <c r="JQA42" s="119"/>
      <c r="JQB42" s="119"/>
      <c r="JQC42" s="119"/>
      <c r="JQD42" s="119"/>
      <c r="JQE42" s="119"/>
      <c r="JQF42" s="119"/>
      <c r="JQG42" s="119"/>
      <c r="JQH42" s="119"/>
      <c r="JQI42" s="119"/>
      <c r="JQJ42" s="119"/>
      <c r="JQK42" s="119"/>
      <c r="JQL42" s="119"/>
      <c r="JQM42" s="119"/>
      <c r="JQN42" s="119"/>
      <c r="JQO42" s="119"/>
      <c r="JQP42" s="119"/>
      <c r="JQQ42" s="119"/>
      <c r="JQR42" s="119"/>
      <c r="JQS42" s="119"/>
      <c r="JQT42" s="119"/>
      <c r="JQU42" s="119"/>
      <c r="JQV42" s="119"/>
      <c r="JQW42" s="119"/>
      <c r="JQX42" s="119"/>
      <c r="JQY42" s="119"/>
      <c r="JQZ42" s="119"/>
      <c r="JRA42" s="119"/>
      <c r="JRB42" s="119"/>
      <c r="JRC42" s="119"/>
      <c r="JRD42" s="119"/>
      <c r="JRE42" s="119"/>
      <c r="JRF42" s="119"/>
      <c r="JRG42" s="119"/>
      <c r="JRH42" s="119"/>
      <c r="JRI42" s="119"/>
      <c r="JRJ42" s="119"/>
      <c r="JRK42" s="119"/>
      <c r="JRL42" s="119"/>
      <c r="JRM42" s="119"/>
      <c r="JRN42" s="119"/>
      <c r="JRO42" s="119"/>
      <c r="JRP42" s="119"/>
      <c r="JRQ42" s="119"/>
      <c r="JRR42" s="119"/>
      <c r="JRS42" s="119"/>
      <c r="JRT42" s="119"/>
      <c r="JRU42" s="119"/>
      <c r="JRV42" s="119"/>
      <c r="JRW42" s="119"/>
      <c r="JRX42" s="119"/>
      <c r="JRY42" s="119"/>
      <c r="JRZ42" s="119"/>
      <c r="JSA42" s="119"/>
      <c r="JSB42" s="119"/>
      <c r="JSC42" s="119"/>
      <c r="JSD42" s="119"/>
      <c r="JSE42" s="119"/>
      <c r="JSF42" s="119"/>
      <c r="JSG42" s="119"/>
      <c r="JSH42" s="119"/>
      <c r="JSI42" s="119"/>
      <c r="JSJ42" s="119"/>
      <c r="JSK42" s="119"/>
      <c r="JSL42" s="119"/>
      <c r="JSM42" s="119"/>
      <c r="JSN42" s="119"/>
      <c r="JSO42" s="119"/>
      <c r="JSP42" s="119"/>
      <c r="JSQ42" s="119"/>
      <c r="JSR42" s="119"/>
      <c r="JSS42" s="119"/>
      <c r="JST42" s="119"/>
      <c r="JSU42" s="119"/>
      <c r="JSV42" s="119"/>
      <c r="JSW42" s="119"/>
      <c r="JSX42" s="119"/>
      <c r="JSY42" s="119"/>
      <c r="JSZ42" s="119"/>
      <c r="JTA42" s="119"/>
      <c r="JTB42" s="119"/>
      <c r="JTC42" s="119"/>
      <c r="JTD42" s="119"/>
      <c r="JTE42" s="119"/>
      <c r="JTF42" s="119"/>
      <c r="JTG42" s="119"/>
      <c r="JTH42" s="119"/>
      <c r="JTI42" s="119"/>
      <c r="JTJ42" s="119"/>
      <c r="JTK42" s="119"/>
      <c r="JTL42" s="119"/>
      <c r="JTM42" s="119"/>
      <c r="JTN42" s="119"/>
      <c r="JTO42" s="119"/>
      <c r="JTP42" s="119"/>
      <c r="JTQ42" s="119"/>
      <c r="JTR42" s="119"/>
      <c r="JTS42" s="119"/>
      <c r="JTT42" s="119"/>
      <c r="JTU42" s="119"/>
      <c r="JTV42" s="119"/>
      <c r="JTW42" s="119"/>
      <c r="JTX42" s="119"/>
      <c r="JTY42" s="119"/>
      <c r="JTZ42" s="119"/>
      <c r="JUA42" s="119"/>
      <c r="JUB42" s="119"/>
      <c r="JUC42" s="119"/>
      <c r="JUD42" s="119"/>
      <c r="JUE42" s="119"/>
      <c r="JUF42" s="119"/>
      <c r="JUG42" s="119"/>
      <c r="JUH42" s="119"/>
      <c r="JUI42" s="119"/>
      <c r="JUJ42" s="119"/>
      <c r="JUK42" s="119"/>
      <c r="JUL42" s="119"/>
      <c r="JUM42" s="119"/>
      <c r="JUN42" s="119"/>
      <c r="JUO42" s="119"/>
      <c r="JUP42" s="119"/>
      <c r="JUQ42" s="119"/>
      <c r="JUR42" s="119"/>
      <c r="JUS42" s="119"/>
      <c r="JUT42" s="119"/>
      <c r="JUU42" s="119"/>
      <c r="JUV42" s="119"/>
      <c r="JUW42" s="119"/>
      <c r="JUX42" s="119"/>
      <c r="JUY42" s="119"/>
      <c r="JUZ42" s="119"/>
      <c r="JVA42" s="119"/>
      <c r="JVB42" s="119"/>
      <c r="JVC42" s="119"/>
      <c r="JVD42" s="119"/>
      <c r="JVE42" s="119"/>
      <c r="JVF42" s="119"/>
      <c r="JVG42" s="119"/>
      <c r="JVH42" s="119"/>
      <c r="JVI42" s="119"/>
      <c r="JVJ42" s="119"/>
      <c r="JVK42" s="119"/>
      <c r="JVL42" s="119"/>
      <c r="JVM42" s="119"/>
      <c r="JVN42" s="119"/>
      <c r="JVO42" s="119"/>
      <c r="JVP42" s="119"/>
      <c r="JVQ42" s="119"/>
      <c r="JVR42" s="119"/>
      <c r="JVS42" s="119"/>
      <c r="JVT42" s="119"/>
      <c r="JVU42" s="119"/>
      <c r="JVV42" s="119"/>
      <c r="JVW42" s="119"/>
      <c r="JVX42" s="119"/>
      <c r="JVY42" s="119"/>
      <c r="JVZ42" s="119"/>
      <c r="JWA42" s="119"/>
      <c r="JWB42" s="119"/>
      <c r="JWC42" s="119"/>
      <c r="JWD42" s="119"/>
      <c r="JWE42" s="119"/>
      <c r="JWF42" s="119"/>
      <c r="JWG42" s="119"/>
      <c r="JWH42" s="119"/>
      <c r="JWI42" s="119"/>
      <c r="JWJ42" s="119"/>
      <c r="JWK42" s="119"/>
      <c r="JWL42" s="119"/>
      <c r="JWM42" s="119"/>
      <c r="JWN42" s="119"/>
      <c r="JWO42" s="119"/>
      <c r="JWP42" s="119"/>
      <c r="JWQ42" s="119"/>
      <c r="JWR42" s="119"/>
      <c r="JWS42" s="119"/>
      <c r="JWT42" s="119"/>
      <c r="JWU42" s="119"/>
      <c r="JWV42" s="119"/>
      <c r="JWW42" s="119"/>
      <c r="JWX42" s="119"/>
      <c r="JWY42" s="119"/>
      <c r="JWZ42" s="119"/>
      <c r="JXA42" s="119"/>
      <c r="JXB42" s="119"/>
      <c r="JXC42" s="119"/>
      <c r="JXD42" s="119"/>
      <c r="JXE42" s="119"/>
      <c r="JXF42" s="119"/>
      <c r="JXG42" s="119"/>
      <c r="JXH42" s="119"/>
      <c r="JXI42" s="119"/>
      <c r="JXJ42" s="119"/>
      <c r="JXK42" s="119"/>
      <c r="JXL42" s="119"/>
      <c r="JXM42" s="119"/>
      <c r="JXN42" s="119"/>
      <c r="JXO42" s="119"/>
      <c r="JXP42" s="119"/>
      <c r="JXQ42" s="119"/>
      <c r="JXR42" s="119"/>
      <c r="JXS42" s="119"/>
      <c r="JXT42" s="119"/>
      <c r="JXU42" s="119"/>
      <c r="JXV42" s="119"/>
      <c r="JXW42" s="119"/>
      <c r="JXX42" s="119"/>
      <c r="JXY42" s="119"/>
      <c r="JXZ42" s="119"/>
      <c r="JYA42" s="119"/>
      <c r="JYB42" s="119"/>
      <c r="JYC42" s="119"/>
      <c r="JYD42" s="119"/>
      <c r="JYE42" s="119"/>
      <c r="JYF42" s="119"/>
      <c r="JYG42" s="119"/>
      <c r="JYH42" s="119"/>
      <c r="JYI42" s="119"/>
      <c r="JYJ42" s="119"/>
      <c r="JYK42" s="119"/>
      <c r="JYL42" s="119"/>
      <c r="JYM42" s="119"/>
      <c r="JYN42" s="119"/>
      <c r="JYO42" s="119"/>
      <c r="JYP42" s="119"/>
      <c r="JYQ42" s="119"/>
      <c r="JYR42" s="119"/>
      <c r="JYS42" s="119"/>
      <c r="JYT42" s="119"/>
      <c r="JYU42" s="119"/>
      <c r="JYV42" s="119"/>
      <c r="JYW42" s="119"/>
      <c r="JYX42" s="119"/>
      <c r="JYY42" s="119"/>
      <c r="JYZ42" s="119"/>
      <c r="JZA42" s="119"/>
      <c r="JZB42" s="119"/>
      <c r="JZC42" s="119"/>
      <c r="JZD42" s="119"/>
      <c r="JZE42" s="119"/>
      <c r="JZF42" s="119"/>
      <c r="JZG42" s="119"/>
      <c r="JZH42" s="119"/>
      <c r="JZI42" s="119"/>
      <c r="JZJ42" s="119"/>
      <c r="JZK42" s="119"/>
      <c r="JZL42" s="119"/>
      <c r="JZM42" s="119"/>
      <c r="JZN42" s="119"/>
      <c r="JZO42" s="119"/>
      <c r="JZP42" s="119"/>
      <c r="JZQ42" s="119"/>
      <c r="JZR42" s="119"/>
      <c r="JZS42" s="119"/>
      <c r="JZT42" s="119"/>
      <c r="JZU42" s="119"/>
      <c r="JZV42" s="119"/>
      <c r="JZW42" s="119"/>
      <c r="JZX42" s="119"/>
      <c r="JZY42" s="119"/>
      <c r="JZZ42" s="119"/>
      <c r="KAA42" s="119"/>
      <c r="KAB42" s="119"/>
      <c r="KAC42" s="119"/>
      <c r="KAD42" s="119"/>
      <c r="KAE42" s="119"/>
      <c r="KAF42" s="119"/>
      <c r="KAG42" s="119"/>
      <c r="KAH42" s="119"/>
      <c r="KAI42" s="119"/>
      <c r="KAJ42" s="119"/>
      <c r="KAK42" s="119"/>
      <c r="KAL42" s="119"/>
      <c r="KAM42" s="119"/>
      <c r="KAN42" s="119"/>
      <c r="KAO42" s="119"/>
      <c r="KAP42" s="119"/>
      <c r="KAQ42" s="119"/>
      <c r="KAR42" s="119"/>
      <c r="KAS42" s="119"/>
      <c r="KAT42" s="119"/>
      <c r="KAU42" s="119"/>
      <c r="KAV42" s="119"/>
      <c r="KAW42" s="119"/>
      <c r="KAX42" s="119"/>
      <c r="KAY42" s="119"/>
      <c r="KAZ42" s="119"/>
      <c r="KBA42" s="119"/>
      <c r="KBB42" s="119"/>
      <c r="KBC42" s="119"/>
      <c r="KBD42" s="119"/>
      <c r="KBE42" s="119"/>
      <c r="KBF42" s="119"/>
      <c r="KBG42" s="119"/>
      <c r="KBH42" s="119"/>
      <c r="KBI42" s="119"/>
      <c r="KBJ42" s="119"/>
      <c r="KBK42" s="119"/>
      <c r="KBL42" s="119"/>
      <c r="KBM42" s="119"/>
      <c r="KBN42" s="119"/>
      <c r="KBO42" s="119"/>
      <c r="KBP42" s="119"/>
      <c r="KBQ42" s="119"/>
      <c r="KBR42" s="119"/>
      <c r="KBS42" s="119"/>
      <c r="KBT42" s="119"/>
      <c r="KBU42" s="119"/>
      <c r="KBV42" s="119"/>
      <c r="KBW42" s="119"/>
      <c r="KBX42" s="119"/>
      <c r="KBY42" s="119"/>
      <c r="KBZ42" s="119"/>
      <c r="KCA42" s="119"/>
      <c r="KCB42" s="119"/>
      <c r="KCC42" s="119"/>
      <c r="KCD42" s="119"/>
      <c r="KCE42" s="119"/>
      <c r="KCF42" s="119"/>
      <c r="KCG42" s="119"/>
      <c r="KCH42" s="119"/>
      <c r="KCI42" s="119"/>
      <c r="KCJ42" s="119"/>
      <c r="KCK42" s="119"/>
      <c r="KCL42" s="119"/>
      <c r="KCM42" s="119"/>
      <c r="KCN42" s="119"/>
      <c r="KCO42" s="119"/>
      <c r="KCP42" s="119"/>
      <c r="KCQ42" s="119"/>
      <c r="KCR42" s="119"/>
      <c r="KCS42" s="119"/>
      <c r="KCT42" s="119"/>
      <c r="KCU42" s="119"/>
      <c r="KCV42" s="119"/>
      <c r="KCW42" s="119"/>
      <c r="KCX42" s="119"/>
      <c r="KCY42" s="119"/>
      <c r="KCZ42" s="119"/>
      <c r="KDA42" s="119"/>
      <c r="KDB42" s="119"/>
      <c r="KDC42" s="119"/>
      <c r="KDD42" s="119"/>
      <c r="KDE42" s="119"/>
      <c r="KDF42" s="119"/>
      <c r="KDG42" s="119"/>
      <c r="KDH42" s="119"/>
      <c r="KDI42" s="119"/>
      <c r="KDJ42" s="119"/>
      <c r="KDK42" s="119"/>
      <c r="KDL42" s="119"/>
      <c r="KDM42" s="119"/>
      <c r="KDN42" s="119"/>
      <c r="KDO42" s="119"/>
      <c r="KDP42" s="119"/>
      <c r="KDQ42" s="119"/>
      <c r="KDR42" s="119"/>
      <c r="KDS42" s="119"/>
      <c r="KDT42" s="119"/>
      <c r="KDU42" s="119"/>
      <c r="KDV42" s="119"/>
      <c r="KDW42" s="119"/>
      <c r="KDX42" s="119"/>
      <c r="KDY42" s="119"/>
      <c r="KDZ42" s="119"/>
      <c r="KEA42" s="119"/>
      <c r="KEB42" s="119"/>
      <c r="KEC42" s="119"/>
      <c r="KED42" s="119"/>
      <c r="KEE42" s="119"/>
      <c r="KEF42" s="119"/>
      <c r="KEG42" s="119"/>
      <c r="KEH42" s="119"/>
      <c r="KEI42" s="119"/>
      <c r="KEJ42" s="119"/>
      <c r="KEK42" s="119"/>
      <c r="KEL42" s="119"/>
      <c r="KEM42" s="119"/>
      <c r="KEN42" s="119"/>
      <c r="KEO42" s="119"/>
      <c r="KEP42" s="119"/>
      <c r="KEQ42" s="119"/>
      <c r="KER42" s="119"/>
      <c r="KES42" s="119"/>
      <c r="KET42" s="119"/>
      <c r="KEU42" s="119"/>
      <c r="KEV42" s="119"/>
      <c r="KEW42" s="119"/>
      <c r="KEX42" s="119"/>
      <c r="KEY42" s="119"/>
      <c r="KEZ42" s="119"/>
      <c r="KFA42" s="119"/>
      <c r="KFB42" s="119"/>
      <c r="KFC42" s="119"/>
      <c r="KFD42" s="119"/>
      <c r="KFE42" s="119"/>
      <c r="KFF42" s="119"/>
      <c r="KFG42" s="119"/>
      <c r="KFH42" s="119"/>
      <c r="KFI42" s="119"/>
      <c r="KFJ42" s="119"/>
      <c r="KFK42" s="119"/>
      <c r="KFL42" s="119"/>
      <c r="KFM42" s="119"/>
      <c r="KFN42" s="119"/>
      <c r="KFO42" s="119"/>
      <c r="KFP42" s="119"/>
      <c r="KFQ42" s="119"/>
      <c r="KFR42" s="119"/>
      <c r="KFS42" s="119"/>
      <c r="KFT42" s="119"/>
      <c r="KFU42" s="119"/>
      <c r="KFV42" s="119"/>
      <c r="KFW42" s="119"/>
      <c r="KFX42" s="119"/>
      <c r="KFY42" s="119"/>
      <c r="KFZ42" s="119"/>
      <c r="KGA42" s="119"/>
      <c r="KGB42" s="119"/>
      <c r="KGC42" s="119"/>
      <c r="KGD42" s="119"/>
      <c r="KGE42" s="119"/>
      <c r="KGF42" s="119"/>
      <c r="KGG42" s="119"/>
      <c r="KGH42" s="119"/>
      <c r="KGI42" s="119"/>
      <c r="KGJ42" s="119"/>
      <c r="KGK42" s="119"/>
      <c r="KGL42" s="119"/>
      <c r="KGM42" s="119"/>
      <c r="KGN42" s="119"/>
      <c r="KGO42" s="119"/>
      <c r="KGP42" s="119"/>
      <c r="KGQ42" s="119"/>
      <c r="KGR42" s="119"/>
      <c r="KGS42" s="119"/>
      <c r="KGT42" s="119"/>
      <c r="KGU42" s="119"/>
      <c r="KGV42" s="119"/>
      <c r="KGW42" s="119"/>
      <c r="KGX42" s="119"/>
      <c r="KGY42" s="119"/>
      <c r="KGZ42" s="119"/>
      <c r="KHA42" s="119"/>
      <c r="KHB42" s="119"/>
      <c r="KHC42" s="119"/>
      <c r="KHD42" s="119"/>
      <c r="KHE42" s="119"/>
      <c r="KHF42" s="119"/>
      <c r="KHG42" s="119"/>
      <c r="KHH42" s="119"/>
      <c r="KHI42" s="119"/>
      <c r="KHJ42" s="119"/>
      <c r="KHK42" s="119"/>
      <c r="KHL42" s="119"/>
      <c r="KHM42" s="119"/>
      <c r="KHN42" s="119"/>
      <c r="KHO42" s="119"/>
      <c r="KHP42" s="119"/>
      <c r="KHQ42" s="119"/>
      <c r="KHR42" s="119"/>
      <c r="KHS42" s="119"/>
      <c r="KHT42" s="119"/>
      <c r="KHU42" s="119"/>
      <c r="KHV42" s="119"/>
      <c r="KHW42" s="119"/>
      <c r="KHX42" s="119"/>
      <c r="KHY42" s="119"/>
      <c r="KHZ42" s="119"/>
      <c r="KIA42" s="119"/>
      <c r="KIB42" s="119"/>
      <c r="KIC42" s="119"/>
      <c r="KID42" s="119"/>
      <c r="KIE42" s="119"/>
      <c r="KIF42" s="119"/>
      <c r="KIG42" s="119"/>
      <c r="KIH42" s="119"/>
      <c r="KII42" s="119"/>
      <c r="KIJ42" s="119"/>
      <c r="KIK42" s="119"/>
      <c r="KIL42" s="119"/>
      <c r="KIM42" s="119"/>
      <c r="KIN42" s="119"/>
      <c r="KIO42" s="119"/>
      <c r="KIP42" s="119"/>
      <c r="KIQ42" s="119"/>
      <c r="KIR42" s="119"/>
      <c r="KIS42" s="119"/>
      <c r="KIT42" s="119"/>
      <c r="KIU42" s="119"/>
      <c r="KIV42" s="119"/>
      <c r="KIW42" s="119"/>
      <c r="KIX42" s="119"/>
      <c r="KIY42" s="119"/>
      <c r="KIZ42" s="119"/>
      <c r="KJA42" s="119"/>
      <c r="KJB42" s="119"/>
      <c r="KJC42" s="119"/>
      <c r="KJD42" s="119"/>
      <c r="KJE42" s="119"/>
      <c r="KJF42" s="119"/>
      <c r="KJG42" s="119"/>
      <c r="KJH42" s="119"/>
      <c r="KJI42" s="119"/>
      <c r="KJJ42" s="119"/>
      <c r="KJK42" s="119"/>
      <c r="KJL42" s="119"/>
      <c r="KJM42" s="119"/>
      <c r="KJN42" s="119"/>
      <c r="KJO42" s="119"/>
      <c r="KJP42" s="119"/>
      <c r="KJQ42" s="119"/>
      <c r="KJR42" s="119"/>
      <c r="KJS42" s="119"/>
      <c r="KJT42" s="119"/>
      <c r="KJU42" s="119"/>
      <c r="KJV42" s="119"/>
      <c r="KJW42" s="119"/>
      <c r="KJX42" s="119"/>
      <c r="KJY42" s="119"/>
      <c r="KJZ42" s="119"/>
      <c r="KKA42" s="119"/>
      <c r="KKB42" s="119"/>
      <c r="KKC42" s="119"/>
      <c r="KKD42" s="119"/>
      <c r="KKE42" s="119"/>
      <c r="KKF42" s="119"/>
      <c r="KKG42" s="119"/>
      <c r="KKH42" s="119"/>
      <c r="KKI42" s="119"/>
      <c r="KKJ42" s="119"/>
      <c r="KKK42" s="119"/>
      <c r="KKL42" s="119"/>
      <c r="KKM42" s="119"/>
      <c r="KKN42" s="119"/>
      <c r="KKO42" s="119"/>
      <c r="KKP42" s="119"/>
      <c r="KKQ42" s="119"/>
      <c r="KKR42" s="119"/>
      <c r="KKS42" s="119"/>
      <c r="KKT42" s="119"/>
      <c r="KKU42" s="119"/>
      <c r="KKV42" s="119"/>
      <c r="KKW42" s="119"/>
      <c r="KKX42" s="119"/>
      <c r="KKY42" s="119"/>
      <c r="KKZ42" s="119"/>
      <c r="KLA42" s="119"/>
      <c r="KLB42" s="119"/>
      <c r="KLC42" s="119"/>
      <c r="KLD42" s="119"/>
      <c r="KLE42" s="119"/>
      <c r="KLF42" s="119"/>
      <c r="KLG42" s="119"/>
      <c r="KLH42" s="119"/>
      <c r="KLI42" s="119"/>
      <c r="KLJ42" s="119"/>
      <c r="KLK42" s="119"/>
      <c r="KLL42" s="119"/>
      <c r="KLM42" s="119"/>
      <c r="KLN42" s="119"/>
      <c r="KLO42" s="119"/>
      <c r="KLP42" s="119"/>
      <c r="KLQ42" s="119"/>
      <c r="KLR42" s="119"/>
      <c r="KLS42" s="119"/>
      <c r="KLT42" s="119"/>
      <c r="KLU42" s="119"/>
      <c r="KLV42" s="119"/>
      <c r="KLW42" s="119"/>
      <c r="KLX42" s="119"/>
      <c r="KLY42" s="119"/>
      <c r="KLZ42" s="119"/>
      <c r="KMA42" s="119"/>
      <c r="KMB42" s="119"/>
      <c r="KMC42" s="119"/>
      <c r="KMD42" s="119"/>
      <c r="KME42" s="119"/>
      <c r="KMF42" s="119"/>
      <c r="KMG42" s="119"/>
      <c r="KMH42" s="119"/>
      <c r="KMI42" s="119"/>
      <c r="KMJ42" s="119"/>
      <c r="KMK42" s="119"/>
      <c r="KML42" s="119"/>
      <c r="KMM42" s="119"/>
      <c r="KMN42" s="119"/>
      <c r="KMO42" s="119"/>
      <c r="KMP42" s="119"/>
      <c r="KMQ42" s="119"/>
      <c r="KMR42" s="119"/>
      <c r="KMS42" s="119"/>
      <c r="KMT42" s="119"/>
      <c r="KMU42" s="119"/>
      <c r="KMV42" s="119"/>
      <c r="KMW42" s="119"/>
      <c r="KMX42" s="119"/>
      <c r="KMY42" s="119"/>
      <c r="KMZ42" s="119"/>
      <c r="KNA42" s="119"/>
      <c r="KNB42" s="119"/>
      <c r="KNC42" s="119"/>
      <c r="KND42" s="119"/>
      <c r="KNE42" s="119"/>
      <c r="KNF42" s="119"/>
      <c r="KNG42" s="119"/>
      <c r="KNH42" s="119"/>
      <c r="KNI42" s="119"/>
      <c r="KNJ42" s="119"/>
      <c r="KNK42" s="119"/>
      <c r="KNL42" s="119"/>
      <c r="KNM42" s="119"/>
      <c r="KNN42" s="119"/>
      <c r="KNO42" s="119"/>
      <c r="KNP42" s="119"/>
      <c r="KNQ42" s="119"/>
      <c r="KNR42" s="119"/>
      <c r="KNS42" s="119"/>
      <c r="KNT42" s="119"/>
      <c r="KNU42" s="119"/>
      <c r="KNV42" s="119"/>
      <c r="KNW42" s="119"/>
      <c r="KNX42" s="119"/>
      <c r="KNY42" s="119"/>
      <c r="KNZ42" s="119"/>
      <c r="KOA42" s="119"/>
      <c r="KOB42" s="119"/>
      <c r="KOC42" s="119"/>
      <c r="KOD42" s="119"/>
      <c r="KOE42" s="119"/>
      <c r="KOF42" s="119"/>
      <c r="KOG42" s="119"/>
      <c r="KOH42" s="119"/>
      <c r="KOI42" s="119"/>
      <c r="KOJ42" s="119"/>
      <c r="KOK42" s="119"/>
      <c r="KOL42" s="119"/>
      <c r="KOM42" s="119"/>
      <c r="KON42" s="119"/>
      <c r="KOO42" s="119"/>
      <c r="KOP42" s="119"/>
      <c r="KOQ42" s="119"/>
      <c r="KOR42" s="119"/>
      <c r="KOS42" s="119"/>
      <c r="KOT42" s="119"/>
      <c r="KOU42" s="119"/>
      <c r="KOV42" s="119"/>
      <c r="KOW42" s="119"/>
      <c r="KOX42" s="119"/>
      <c r="KOY42" s="119"/>
      <c r="KOZ42" s="119"/>
      <c r="KPA42" s="119"/>
      <c r="KPB42" s="119"/>
      <c r="KPC42" s="119"/>
      <c r="KPD42" s="119"/>
      <c r="KPE42" s="119"/>
      <c r="KPF42" s="119"/>
      <c r="KPG42" s="119"/>
      <c r="KPH42" s="119"/>
      <c r="KPI42" s="119"/>
      <c r="KPJ42" s="119"/>
      <c r="KPK42" s="119"/>
      <c r="KPL42" s="119"/>
      <c r="KPM42" s="119"/>
      <c r="KPN42" s="119"/>
      <c r="KPO42" s="119"/>
      <c r="KPP42" s="119"/>
      <c r="KPQ42" s="119"/>
      <c r="KPR42" s="119"/>
      <c r="KPS42" s="119"/>
      <c r="KPT42" s="119"/>
      <c r="KPU42" s="119"/>
      <c r="KPV42" s="119"/>
      <c r="KPW42" s="119"/>
      <c r="KPX42" s="119"/>
      <c r="KPY42" s="119"/>
      <c r="KPZ42" s="119"/>
      <c r="KQA42" s="119"/>
      <c r="KQB42" s="119"/>
      <c r="KQC42" s="119"/>
      <c r="KQD42" s="119"/>
      <c r="KQE42" s="119"/>
      <c r="KQF42" s="119"/>
      <c r="KQG42" s="119"/>
      <c r="KQH42" s="119"/>
      <c r="KQI42" s="119"/>
      <c r="KQJ42" s="119"/>
      <c r="KQK42" s="119"/>
      <c r="KQL42" s="119"/>
      <c r="KQM42" s="119"/>
      <c r="KQN42" s="119"/>
      <c r="KQO42" s="119"/>
      <c r="KQP42" s="119"/>
      <c r="KQQ42" s="119"/>
      <c r="KQR42" s="119"/>
      <c r="KQS42" s="119"/>
      <c r="KQT42" s="119"/>
      <c r="KQU42" s="119"/>
      <c r="KQV42" s="119"/>
      <c r="KQW42" s="119"/>
      <c r="KQX42" s="119"/>
      <c r="KQY42" s="119"/>
      <c r="KQZ42" s="119"/>
      <c r="KRA42" s="119"/>
      <c r="KRB42" s="119"/>
      <c r="KRC42" s="119"/>
      <c r="KRD42" s="119"/>
      <c r="KRE42" s="119"/>
      <c r="KRF42" s="119"/>
      <c r="KRG42" s="119"/>
      <c r="KRH42" s="119"/>
      <c r="KRI42" s="119"/>
      <c r="KRJ42" s="119"/>
      <c r="KRK42" s="119"/>
      <c r="KRL42" s="119"/>
      <c r="KRM42" s="119"/>
      <c r="KRN42" s="119"/>
      <c r="KRO42" s="119"/>
      <c r="KRP42" s="119"/>
      <c r="KRQ42" s="119"/>
      <c r="KRR42" s="119"/>
      <c r="KRS42" s="119"/>
      <c r="KRT42" s="119"/>
      <c r="KRU42" s="119"/>
      <c r="KRV42" s="119"/>
      <c r="KRW42" s="119"/>
      <c r="KRX42" s="119"/>
      <c r="KRY42" s="119"/>
      <c r="KRZ42" s="119"/>
      <c r="KSA42" s="119"/>
      <c r="KSB42" s="119"/>
      <c r="KSC42" s="119"/>
      <c r="KSD42" s="119"/>
      <c r="KSE42" s="119"/>
      <c r="KSF42" s="119"/>
      <c r="KSG42" s="119"/>
      <c r="KSH42" s="119"/>
      <c r="KSI42" s="119"/>
      <c r="KSJ42" s="119"/>
      <c r="KSK42" s="119"/>
      <c r="KSL42" s="119"/>
      <c r="KSM42" s="119"/>
      <c r="KSN42" s="119"/>
      <c r="KSO42" s="119"/>
      <c r="KSP42" s="119"/>
      <c r="KSQ42" s="119"/>
      <c r="KSR42" s="119"/>
      <c r="KSS42" s="119"/>
      <c r="KST42" s="119"/>
      <c r="KSU42" s="119"/>
      <c r="KSV42" s="119"/>
      <c r="KSW42" s="119"/>
      <c r="KSX42" s="119"/>
      <c r="KSY42" s="119"/>
      <c r="KSZ42" s="119"/>
      <c r="KTA42" s="119"/>
      <c r="KTB42" s="119"/>
      <c r="KTC42" s="119"/>
      <c r="KTD42" s="119"/>
      <c r="KTE42" s="119"/>
      <c r="KTF42" s="119"/>
      <c r="KTG42" s="119"/>
      <c r="KTH42" s="119"/>
      <c r="KTI42" s="119"/>
      <c r="KTJ42" s="119"/>
      <c r="KTK42" s="119"/>
      <c r="KTL42" s="119"/>
      <c r="KTM42" s="119"/>
      <c r="KTN42" s="119"/>
      <c r="KTO42" s="119"/>
      <c r="KTP42" s="119"/>
      <c r="KTQ42" s="119"/>
      <c r="KTR42" s="119"/>
      <c r="KTS42" s="119"/>
      <c r="KTT42" s="119"/>
      <c r="KTU42" s="119"/>
      <c r="KTV42" s="119"/>
      <c r="KTW42" s="119"/>
      <c r="KTX42" s="119"/>
      <c r="KTY42" s="119"/>
      <c r="KTZ42" s="119"/>
      <c r="KUA42" s="119"/>
      <c r="KUB42" s="119"/>
      <c r="KUC42" s="119"/>
      <c r="KUD42" s="119"/>
      <c r="KUE42" s="119"/>
      <c r="KUF42" s="119"/>
      <c r="KUG42" s="119"/>
      <c r="KUH42" s="119"/>
      <c r="KUI42" s="119"/>
      <c r="KUJ42" s="119"/>
      <c r="KUK42" s="119"/>
      <c r="KUL42" s="119"/>
      <c r="KUM42" s="119"/>
      <c r="KUN42" s="119"/>
      <c r="KUO42" s="119"/>
      <c r="KUP42" s="119"/>
      <c r="KUQ42" s="119"/>
      <c r="KUR42" s="119"/>
      <c r="KUS42" s="119"/>
      <c r="KUT42" s="119"/>
      <c r="KUU42" s="119"/>
      <c r="KUV42" s="119"/>
      <c r="KUW42" s="119"/>
      <c r="KUX42" s="119"/>
      <c r="KUY42" s="119"/>
      <c r="KUZ42" s="119"/>
      <c r="KVA42" s="119"/>
      <c r="KVB42" s="119"/>
      <c r="KVC42" s="119"/>
      <c r="KVD42" s="119"/>
      <c r="KVE42" s="119"/>
      <c r="KVF42" s="119"/>
      <c r="KVG42" s="119"/>
      <c r="KVH42" s="119"/>
      <c r="KVI42" s="119"/>
      <c r="KVJ42" s="119"/>
      <c r="KVK42" s="119"/>
      <c r="KVL42" s="119"/>
      <c r="KVM42" s="119"/>
      <c r="KVN42" s="119"/>
      <c r="KVO42" s="119"/>
      <c r="KVP42" s="119"/>
      <c r="KVQ42" s="119"/>
      <c r="KVR42" s="119"/>
      <c r="KVS42" s="119"/>
      <c r="KVT42" s="119"/>
      <c r="KVU42" s="119"/>
      <c r="KVV42" s="119"/>
      <c r="KVW42" s="119"/>
      <c r="KVX42" s="119"/>
      <c r="KVY42" s="119"/>
      <c r="KVZ42" s="119"/>
      <c r="KWA42" s="119"/>
      <c r="KWB42" s="119"/>
      <c r="KWC42" s="119"/>
      <c r="KWD42" s="119"/>
      <c r="KWE42" s="119"/>
      <c r="KWF42" s="119"/>
      <c r="KWG42" s="119"/>
      <c r="KWH42" s="119"/>
      <c r="KWI42" s="119"/>
      <c r="KWJ42" s="119"/>
      <c r="KWK42" s="119"/>
      <c r="KWL42" s="119"/>
      <c r="KWM42" s="119"/>
      <c r="KWN42" s="119"/>
      <c r="KWO42" s="119"/>
      <c r="KWP42" s="119"/>
      <c r="KWQ42" s="119"/>
      <c r="KWR42" s="119"/>
      <c r="KWS42" s="119"/>
      <c r="KWT42" s="119"/>
      <c r="KWU42" s="119"/>
      <c r="KWV42" s="119"/>
      <c r="KWW42" s="119"/>
      <c r="KWX42" s="119"/>
      <c r="KWY42" s="119"/>
      <c r="KWZ42" s="119"/>
      <c r="KXA42" s="119"/>
      <c r="KXB42" s="119"/>
      <c r="KXC42" s="119"/>
      <c r="KXD42" s="119"/>
      <c r="KXE42" s="119"/>
      <c r="KXF42" s="119"/>
      <c r="KXG42" s="119"/>
      <c r="KXH42" s="119"/>
      <c r="KXI42" s="119"/>
      <c r="KXJ42" s="119"/>
      <c r="KXK42" s="119"/>
      <c r="KXL42" s="119"/>
      <c r="KXM42" s="119"/>
      <c r="KXN42" s="119"/>
      <c r="KXO42" s="119"/>
      <c r="KXP42" s="119"/>
      <c r="KXQ42" s="119"/>
      <c r="KXR42" s="119"/>
      <c r="KXS42" s="119"/>
      <c r="KXT42" s="119"/>
      <c r="KXU42" s="119"/>
      <c r="KXV42" s="119"/>
      <c r="KXW42" s="119"/>
      <c r="KXX42" s="119"/>
      <c r="KXY42" s="119"/>
      <c r="KXZ42" s="119"/>
      <c r="KYA42" s="119"/>
      <c r="KYB42" s="119"/>
      <c r="KYC42" s="119"/>
      <c r="KYD42" s="119"/>
      <c r="KYE42" s="119"/>
      <c r="KYF42" s="119"/>
      <c r="KYG42" s="119"/>
      <c r="KYH42" s="119"/>
      <c r="KYI42" s="119"/>
      <c r="KYJ42" s="119"/>
      <c r="KYK42" s="119"/>
      <c r="KYL42" s="119"/>
      <c r="KYM42" s="119"/>
      <c r="KYN42" s="119"/>
      <c r="KYO42" s="119"/>
      <c r="KYP42" s="119"/>
      <c r="KYQ42" s="119"/>
      <c r="KYR42" s="119"/>
      <c r="KYS42" s="119"/>
      <c r="KYT42" s="119"/>
      <c r="KYU42" s="119"/>
      <c r="KYV42" s="119"/>
      <c r="KYW42" s="119"/>
      <c r="KYX42" s="119"/>
      <c r="KYY42" s="119"/>
      <c r="KYZ42" s="119"/>
      <c r="KZA42" s="119"/>
      <c r="KZB42" s="119"/>
      <c r="KZC42" s="119"/>
      <c r="KZD42" s="119"/>
      <c r="KZE42" s="119"/>
      <c r="KZF42" s="119"/>
      <c r="KZG42" s="119"/>
      <c r="KZH42" s="119"/>
      <c r="KZI42" s="119"/>
      <c r="KZJ42" s="119"/>
      <c r="KZK42" s="119"/>
      <c r="KZL42" s="119"/>
      <c r="KZM42" s="119"/>
      <c r="KZN42" s="119"/>
      <c r="KZO42" s="119"/>
      <c r="KZP42" s="119"/>
      <c r="KZQ42" s="119"/>
      <c r="KZR42" s="119"/>
      <c r="KZS42" s="119"/>
      <c r="KZT42" s="119"/>
      <c r="KZU42" s="119"/>
      <c r="KZV42" s="119"/>
      <c r="KZW42" s="119"/>
      <c r="KZX42" s="119"/>
      <c r="KZY42" s="119"/>
      <c r="KZZ42" s="119"/>
      <c r="LAA42" s="119"/>
      <c r="LAB42" s="119"/>
      <c r="LAC42" s="119"/>
      <c r="LAD42" s="119"/>
      <c r="LAE42" s="119"/>
      <c r="LAF42" s="119"/>
      <c r="LAG42" s="119"/>
      <c r="LAH42" s="119"/>
      <c r="LAI42" s="119"/>
      <c r="LAJ42" s="119"/>
      <c r="LAK42" s="119"/>
      <c r="LAL42" s="119"/>
      <c r="LAM42" s="119"/>
      <c r="LAN42" s="119"/>
      <c r="LAO42" s="119"/>
      <c r="LAP42" s="119"/>
      <c r="LAQ42" s="119"/>
      <c r="LAR42" s="119"/>
      <c r="LAS42" s="119"/>
      <c r="LAT42" s="119"/>
      <c r="LAU42" s="119"/>
      <c r="LAV42" s="119"/>
      <c r="LAW42" s="119"/>
      <c r="LAX42" s="119"/>
      <c r="LAY42" s="119"/>
      <c r="LAZ42" s="119"/>
      <c r="LBA42" s="119"/>
      <c r="LBB42" s="119"/>
      <c r="LBC42" s="119"/>
      <c r="LBD42" s="119"/>
      <c r="LBE42" s="119"/>
      <c r="LBF42" s="119"/>
      <c r="LBG42" s="119"/>
      <c r="LBH42" s="119"/>
      <c r="LBI42" s="119"/>
      <c r="LBJ42" s="119"/>
      <c r="LBK42" s="119"/>
      <c r="LBL42" s="119"/>
      <c r="LBM42" s="119"/>
      <c r="LBN42" s="119"/>
      <c r="LBO42" s="119"/>
      <c r="LBP42" s="119"/>
      <c r="LBQ42" s="119"/>
      <c r="LBR42" s="119"/>
      <c r="LBS42" s="119"/>
      <c r="LBT42" s="119"/>
      <c r="LBU42" s="119"/>
      <c r="LBV42" s="119"/>
      <c r="LBW42" s="119"/>
      <c r="LBX42" s="119"/>
      <c r="LBY42" s="119"/>
      <c r="LBZ42" s="119"/>
      <c r="LCA42" s="119"/>
      <c r="LCB42" s="119"/>
      <c r="LCC42" s="119"/>
      <c r="LCD42" s="119"/>
      <c r="LCE42" s="119"/>
      <c r="LCF42" s="119"/>
      <c r="LCG42" s="119"/>
      <c r="LCH42" s="119"/>
      <c r="LCI42" s="119"/>
      <c r="LCJ42" s="119"/>
      <c r="LCK42" s="119"/>
      <c r="LCL42" s="119"/>
      <c r="LCM42" s="119"/>
      <c r="LCN42" s="119"/>
      <c r="LCO42" s="119"/>
      <c r="LCP42" s="119"/>
      <c r="LCQ42" s="119"/>
      <c r="LCR42" s="119"/>
      <c r="LCS42" s="119"/>
      <c r="LCT42" s="119"/>
      <c r="LCU42" s="119"/>
      <c r="LCV42" s="119"/>
      <c r="LCW42" s="119"/>
      <c r="LCX42" s="119"/>
      <c r="LCY42" s="119"/>
      <c r="LCZ42" s="119"/>
      <c r="LDA42" s="119"/>
      <c r="LDB42" s="119"/>
      <c r="LDC42" s="119"/>
      <c r="LDD42" s="119"/>
      <c r="LDE42" s="119"/>
      <c r="LDF42" s="119"/>
      <c r="LDG42" s="119"/>
      <c r="LDH42" s="119"/>
      <c r="LDI42" s="119"/>
      <c r="LDJ42" s="119"/>
      <c r="LDK42" s="119"/>
      <c r="LDL42" s="119"/>
      <c r="LDM42" s="119"/>
      <c r="LDN42" s="119"/>
      <c r="LDO42" s="119"/>
      <c r="LDP42" s="119"/>
      <c r="LDQ42" s="119"/>
      <c r="LDR42" s="119"/>
      <c r="LDS42" s="119"/>
      <c r="LDT42" s="119"/>
      <c r="LDU42" s="119"/>
      <c r="LDV42" s="119"/>
      <c r="LDW42" s="119"/>
      <c r="LDX42" s="119"/>
      <c r="LDY42" s="119"/>
      <c r="LDZ42" s="119"/>
      <c r="LEA42" s="119"/>
      <c r="LEB42" s="119"/>
      <c r="LEC42" s="119"/>
      <c r="LED42" s="119"/>
      <c r="LEE42" s="119"/>
      <c r="LEF42" s="119"/>
      <c r="LEG42" s="119"/>
      <c r="LEH42" s="119"/>
      <c r="LEI42" s="119"/>
      <c r="LEJ42" s="119"/>
      <c r="LEK42" s="119"/>
      <c r="LEL42" s="119"/>
      <c r="LEM42" s="119"/>
      <c r="LEN42" s="119"/>
      <c r="LEO42" s="119"/>
      <c r="LEP42" s="119"/>
      <c r="LEQ42" s="119"/>
      <c r="LER42" s="119"/>
      <c r="LES42" s="119"/>
      <c r="LET42" s="119"/>
      <c r="LEU42" s="119"/>
      <c r="LEV42" s="119"/>
      <c r="LEW42" s="119"/>
      <c r="LEX42" s="119"/>
      <c r="LEY42" s="119"/>
      <c r="LEZ42" s="119"/>
      <c r="LFA42" s="119"/>
      <c r="LFB42" s="119"/>
      <c r="LFC42" s="119"/>
      <c r="LFD42" s="119"/>
      <c r="LFE42" s="119"/>
      <c r="LFF42" s="119"/>
      <c r="LFG42" s="119"/>
      <c r="LFH42" s="119"/>
      <c r="LFI42" s="119"/>
      <c r="LFJ42" s="119"/>
      <c r="LFK42" s="119"/>
      <c r="LFL42" s="119"/>
      <c r="LFM42" s="119"/>
      <c r="LFN42" s="119"/>
      <c r="LFO42" s="119"/>
      <c r="LFP42" s="119"/>
      <c r="LFQ42" s="119"/>
      <c r="LFR42" s="119"/>
      <c r="LFS42" s="119"/>
      <c r="LFT42" s="119"/>
      <c r="LFU42" s="119"/>
      <c r="LFV42" s="119"/>
      <c r="LFW42" s="119"/>
      <c r="LFX42" s="119"/>
      <c r="LFY42" s="119"/>
      <c r="LFZ42" s="119"/>
      <c r="LGA42" s="119"/>
      <c r="LGB42" s="119"/>
      <c r="LGC42" s="119"/>
      <c r="LGD42" s="119"/>
      <c r="LGE42" s="119"/>
      <c r="LGF42" s="119"/>
      <c r="LGG42" s="119"/>
      <c r="LGH42" s="119"/>
      <c r="LGI42" s="119"/>
      <c r="LGJ42" s="119"/>
      <c r="LGK42" s="119"/>
      <c r="LGL42" s="119"/>
      <c r="LGM42" s="119"/>
      <c r="LGN42" s="119"/>
      <c r="LGO42" s="119"/>
      <c r="LGP42" s="119"/>
      <c r="LGQ42" s="119"/>
      <c r="LGR42" s="119"/>
      <c r="LGS42" s="119"/>
      <c r="LGT42" s="119"/>
      <c r="LGU42" s="119"/>
      <c r="LGV42" s="119"/>
      <c r="LGW42" s="119"/>
      <c r="LGX42" s="119"/>
      <c r="LGY42" s="119"/>
      <c r="LGZ42" s="119"/>
      <c r="LHA42" s="119"/>
      <c r="LHB42" s="119"/>
      <c r="LHC42" s="119"/>
      <c r="LHD42" s="119"/>
      <c r="LHE42" s="119"/>
      <c r="LHF42" s="119"/>
      <c r="LHG42" s="119"/>
      <c r="LHH42" s="119"/>
      <c r="LHI42" s="119"/>
      <c r="LHJ42" s="119"/>
      <c r="LHK42" s="119"/>
      <c r="LHL42" s="119"/>
      <c r="LHM42" s="119"/>
      <c r="LHN42" s="119"/>
      <c r="LHO42" s="119"/>
      <c r="LHP42" s="119"/>
      <c r="LHQ42" s="119"/>
      <c r="LHR42" s="119"/>
      <c r="LHS42" s="119"/>
      <c r="LHT42" s="119"/>
      <c r="LHU42" s="119"/>
      <c r="LHV42" s="119"/>
      <c r="LHW42" s="119"/>
      <c r="LHX42" s="119"/>
      <c r="LHY42" s="119"/>
      <c r="LHZ42" s="119"/>
      <c r="LIA42" s="119"/>
      <c r="LIB42" s="119"/>
      <c r="LIC42" s="119"/>
      <c r="LID42" s="119"/>
      <c r="LIE42" s="119"/>
      <c r="LIF42" s="119"/>
      <c r="LIG42" s="119"/>
      <c r="LIH42" s="119"/>
      <c r="LII42" s="119"/>
      <c r="LIJ42" s="119"/>
      <c r="LIK42" s="119"/>
      <c r="LIL42" s="119"/>
      <c r="LIM42" s="119"/>
      <c r="LIN42" s="119"/>
      <c r="LIO42" s="119"/>
      <c r="LIP42" s="119"/>
      <c r="LIQ42" s="119"/>
      <c r="LIR42" s="119"/>
      <c r="LIS42" s="119"/>
      <c r="LIT42" s="119"/>
      <c r="LIU42" s="119"/>
      <c r="LIV42" s="119"/>
      <c r="LIW42" s="119"/>
      <c r="LIX42" s="119"/>
      <c r="LIY42" s="119"/>
      <c r="LIZ42" s="119"/>
      <c r="LJA42" s="119"/>
      <c r="LJB42" s="119"/>
      <c r="LJC42" s="119"/>
      <c r="LJD42" s="119"/>
      <c r="LJE42" s="119"/>
      <c r="LJF42" s="119"/>
      <c r="LJG42" s="119"/>
      <c r="LJH42" s="119"/>
      <c r="LJI42" s="119"/>
      <c r="LJJ42" s="119"/>
      <c r="LJK42" s="119"/>
      <c r="LJL42" s="119"/>
      <c r="LJM42" s="119"/>
      <c r="LJN42" s="119"/>
      <c r="LJO42" s="119"/>
      <c r="LJP42" s="119"/>
      <c r="LJQ42" s="119"/>
      <c r="LJR42" s="119"/>
      <c r="LJS42" s="119"/>
      <c r="LJT42" s="119"/>
      <c r="LJU42" s="119"/>
      <c r="LJV42" s="119"/>
      <c r="LJW42" s="119"/>
      <c r="LJX42" s="119"/>
      <c r="LJY42" s="119"/>
      <c r="LJZ42" s="119"/>
      <c r="LKA42" s="119"/>
      <c r="LKB42" s="119"/>
      <c r="LKC42" s="119"/>
      <c r="LKD42" s="119"/>
      <c r="LKE42" s="119"/>
      <c r="LKF42" s="119"/>
      <c r="LKG42" s="119"/>
      <c r="LKH42" s="119"/>
      <c r="LKI42" s="119"/>
      <c r="LKJ42" s="119"/>
      <c r="LKK42" s="119"/>
      <c r="LKL42" s="119"/>
      <c r="LKM42" s="119"/>
      <c r="LKN42" s="119"/>
      <c r="LKO42" s="119"/>
      <c r="LKP42" s="119"/>
      <c r="LKQ42" s="119"/>
      <c r="LKR42" s="119"/>
      <c r="LKS42" s="119"/>
      <c r="LKT42" s="119"/>
      <c r="LKU42" s="119"/>
      <c r="LKV42" s="119"/>
      <c r="LKW42" s="119"/>
      <c r="LKX42" s="119"/>
      <c r="LKY42" s="119"/>
      <c r="LKZ42" s="119"/>
      <c r="LLA42" s="119"/>
      <c r="LLB42" s="119"/>
      <c r="LLC42" s="119"/>
      <c r="LLD42" s="119"/>
      <c r="LLE42" s="119"/>
      <c r="LLF42" s="119"/>
      <c r="LLG42" s="119"/>
      <c r="LLH42" s="119"/>
      <c r="LLI42" s="119"/>
      <c r="LLJ42" s="119"/>
      <c r="LLK42" s="119"/>
      <c r="LLL42" s="119"/>
      <c r="LLM42" s="119"/>
      <c r="LLN42" s="119"/>
      <c r="LLO42" s="119"/>
      <c r="LLP42" s="119"/>
      <c r="LLQ42" s="119"/>
      <c r="LLR42" s="119"/>
      <c r="LLS42" s="119"/>
      <c r="LLT42" s="119"/>
      <c r="LLU42" s="119"/>
      <c r="LLV42" s="119"/>
      <c r="LLW42" s="119"/>
      <c r="LLX42" s="119"/>
      <c r="LLY42" s="119"/>
      <c r="LLZ42" s="119"/>
      <c r="LMA42" s="119"/>
      <c r="LMB42" s="119"/>
      <c r="LMC42" s="119"/>
      <c r="LMD42" s="119"/>
      <c r="LME42" s="119"/>
      <c r="LMF42" s="119"/>
      <c r="LMG42" s="119"/>
      <c r="LMH42" s="119"/>
      <c r="LMI42" s="119"/>
      <c r="LMJ42" s="119"/>
      <c r="LMK42" s="119"/>
      <c r="LML42" s="119"/>
      <c r="LMM42" s="119"/>
      <c r="LMN42" s="119"/>
      <c r="LMO42" s="119"/>
      <c r="LMP42" s="119"/>
      <c r="LMQ42" s="119"/>
      <c r="LMR42" s="119"/>
      <c r="LMS42" s="119"/>
      <c r="LMT42" s="119"/>
      <c r="LMU42" s="119"/>
      <c r="LMV42" s="119"/>
      <c r="LMW42" s="119"/>
      <c r="LMX42" s="119"/>
      <c r="LMY42" s="119"/>
      <c r="LMZ42" s="119"/>
      <c r="LNA42" s="119"/>
      <c r="LNB42" s="119"/>
      <c r="LNC42" s="119"/>
      <c r="LND42" s="119"/>
      <c r="LNE42" s="119"/>
      <c r="LNF42" s="119"/>
      <c r="LNG42" s="119"/>
      <c r="LNH42" s="119"/>
      <c r="LNI42" s="119"/>
      <c r="LNJ42" s="119"/>
      <c r="LNK42" s="119"/>
      <c r="LNL42" s="119"/>
      <c r="LNM42" s="119"/>
      <c r="LNN42" s="119"/>
      <c r="LNO42" s="119"/>
      <c r="LNP42" s="119"/>
      <c r="LNQ42" s="119"/>
      <c r="LNR42" s="119"/>
      <c r="LNS42" s="119"/>
      <c r="LNT42" s="119"/>
      <c r="LNU42" s="119"/>
      <c r="LNV42" s="119"/>
      <c r="LNW42" s="119"/>
      <c r="LNX42" s="119"/>
      <c r="LNY42" s="119"/>
      <c r="LNZ42" s="119"/>
      <c r="LOA42" s="119"/>
      <c r="LOB42" s="119"/>
      <c r="LOC42" s="119"/>
      <c r="LOD42" s="119"/>
      <c r="LOE42" s="119"/>
      <c r="LOF42" s="119"/>
      <c r="LOG42" s="119"/>
      <c r="LOH42" s="119"/>
      <c r="LOI42" s="119"/>
      <c r="LOJ42" s="119"/>
      <c r="LOK42" s="119"/>
      <c r="LOL42" s="119"/>
      <c r="LOM42" s="119"/>
      <c r="LON42" s="119"/>
      <c r="LOO42" s="119"/>
      <c r="LOP42" s="119"/>
      <c r="LOQ42" s="119"/>
      <c r="LOR42" s="119"/>
      <c r="LOS42" s="119"/>
      <c r="LOT42" s="119"/>
      <c r="LOU42" s="119"/>
      <c r="LOV42" s="119"/>
      <c r="LOW42" s="119"/>
      <c r="LOX42" s="119"/>
      <c r="LOY42" s="119"/>
      <c r="LOZ42" s="119"/>
      <c r="LPA42" s="119"/>
      <c r="LPB42" s="119"/>
      <c r="LPC42" s="119"/>
      <c r="LPD42" s="119"/>
      <c r="LPE42" s="119"/>
      <c r="LPF42" s="119"/>
      <c r="LPG42" s="119"/>
      <c r="LPH42" s="119"/>
      <c r="LPI42" s="119"/>
      <c r="LPJ42" s="119"/>
      <c r="LPK42" s="119"/>
      <c r="LPL42" s="119"/>
      <c r="LPM42" s="119"/>
      <c r="LPN42" s="119"/>
      <c r="LPO42" s="119"/>
      <c r="LPP42" s="119"/>
      <c r="LPQ42" s="119"/>
      <c r="LPR42" s="119"/>
      <c r="LPS42" s="119"/>
      <c r="LPT42" s="119"/>
      <c r="LPU42" s="119"/>
      <c r="LPV42" s="119"/>
      <c r="LPW42" s="119"/>
      <c r="LPX42" s="119"/>
      <c r="LPY42" s="119"/>
      <c r="LPZ42" s="119"/>
      <c r="LQA42" s="119"/>
      <c r="LQB42" s="119"/>
      <c r="LQC42" s="119"/>
      <c r="LQD42" s="119"/>
      <c r="LQE42" s="119"/>
      <c r="LQF42" s="119"/>
      <c r="LQG42" s="119"/>
      <c r="LQH42" s="119"/>
      <c r="LQI42" s="119"/>
      <c r="LQJ42" s="119"/>
      <c r="LQK42" s="119"/>
      <c r="LQL42" s="119"/>
      <c r="LQM42" s="119"/>
      <c r="LQN42" s="119"/>
      <c r="LQO42" s="119"/>
      <c r="LQP42" s="119"/>
      <c r="LQQ42" s="119"/>
      <c r="LQR42" s="119"/>
      <c r="LQS42" s="119"/>
      <c r="LQT42" s="119"/>
      <c r="LQU42" s="119"/>
      <c r="LQV42" s="119"/>
      <c r="LQW42" s="119"/>
      <c r="LQX42" s="119"/>
      <c r="LQY42" s="119"/>
      <c r="LQZ42" s="119"/>
      <c r="LRA42" s="119"/>
      <c r="LRB42" s="119"/>
      <c r="LRC42" s="119"/>
      <c r="LRD42" s="119"/>
      <c r="LRE42" s="119"/>
      <c r="LRF42" s="119"/>
      <c r="LRG42" s="119"/>
      <c r="LRH42" s="119"/>
      <c r="LRI42" s="119"/>
      <c r="LRJ42" s="119"/>
      <c r="LRK42" s="119"/>
      <c r="LRL42" s="119"/>
      <c r="LRM42" s="119"/>
      <c r="LRN42" s="119"/>
      <c r="LRO42" s="119"/>
      <c r="LRP42" s="119"/>
      <c r="LRQ42" s="119"/>
      <c r="LRR42" s="119"/>
      <c r="LRS42" s="119"/>
      <c r="LRT42" s="119"/>
      <c r="LRU42" s="119"/>
      <c r="LRV42" s="119"/>
      <c r="LRW42" s="119"/>
      <c r="LRX42" s="119"/>
      <c r="LRY42" s="119"/>
      <c r="LRZ42" s="119"/>
      <c r="LSA42" s="119"/>
      <c r="LSB42" s="119"/>
      <c r="LSC42" s="119"/>
      <c r="LSD42" s="119"/>
      <c r="LSE42" s="119"/>
      <c r="LSF42" s="119"/>
      <c r="LSG42" s="119"/>
      <c r="LSH42" s="119"/>
      <c r="LSI42" s="119"/>
      <c r="LSJ42" s="119"/>
      <c r="LSK42" s="119"/>
      <c r="LSL42" s="119"/>
      <c r="LSM42" s="119"/>
      <c r="LSN42" s="119"/>
      <c r="LSO42" s="119"/>
      <c r="LSP42" s="119"/>
      <c r="LSQ42" s="119"/>
      <c r="LSR42" s="119"/>
      <c r="LSS42" s="119"/>
      <c r="LST42" s="119"/>
      <c r="LSU42" s="119"/>
      <c r="LSV42" s="119"/>
      <c r="LSW42" s="119"/>
      <c r="LSX42" s="119"/>
      <c r="LSY42" s="119"/>
      <c r="LSZ42" s="119"/>
      <c r="LTA42" s="119"/>
      <c r="LTB42" s="119"/>
      <c r="LTC42" s="119"/>
      <c r="LTD42" s="119"/>
      <c r="LTE42" s="119"/>
      <c r="LTF42" s="119"/>
      <c r="LTG42" s="119"/>
      <c r="LTH42" s="119"/>
      <c r="LTI42" s="119"/>
      <c r="LTJ42" s="119"/>
      <c r="LTK42" s="119"/>
      <c r="LTL42" s="119"/>
      <c r="LTM42" s="119"/>
      <c r="LTN42" s="119"/>
      <c r="LTO42" s="119"/>
      <c r="LTP42" s="119"/>
      <c r="LTQ42" s="119"/>
      <c r="LTR42" s="119"/>
      <c r="LTS42" s="119"/>
      <c r="LTT42" s="119"/>
      <c r="LTU42" s="119"/>
      <c r="LTV42" s="119"/>
      <c r="LTW42" s="119"/>
      <c r="LTX42" s="119"/>
      <c r="LTY42" s="119"/>
      <c r="LTZ42" s="119"/>
      <c r="LUA42" s="119"/>
      <c r="LUB42" s="119"/>
      <c r="LUC42" s="119"/>
      <c r="LUD42" s="119"/>
      <c r="LUE42" s="119"/>
      <c r="LUF42" s="119"/>
      <c r="LUG42" s="119"/>
      <c r="LUH42" s="119"/>
      <c r="LUI42" s="119"/>
      <c r="LUJ42" s="119"/>
      <c r="LUK42" s="119"/>
      <c r="LUL42" s="119"/>
      <c r="LUM42" s="119"/>
      <c r="LUN42" s="119"/>
      <c r="LUO42" s="119"/>
      <c r="LUP42" s="119"/>
      <c r="LUQ42" s="119"/>
      <c r="LUR42" s="119"/>
      <c r="LUS42" s="119"/>
      <c r="LUT42" s="119"/>
      <c r="LUU42" s="119"/>
      <c r="LUV42" s="119"/>
      <c r="LUW42" s="119"/>
      <c r="LUX42" s="119"/>
      <c r="LUY42" s="119"/>
      <c r="LUZ42" s="119"/>
      <c r="LVA42" s="119"/>
      <c r="LVB42" s="119"/>
      <c r="LVC42" s="119"/>
      <c r="LVD42" s="119"/>
      <c r="LVE42" s="119"/>
      <c r="LVF42" s="119"/>
      <c r="LVG42" s="119"/>
      <c r="LVH42" s="119"/>
      <c r="LVI42" s="119"/>
      <c r="LVJ42" s="119"/>
      <c r="LVK42" s="119"/>
      <c r="LVL42" s="119"/>
      <c r="LVM42" s="119"/>
      <c r="LVN42" s="119"/>
      <c r="LVO42" s="119"/>
      <c r="LVP42" s="119"/>
      <c r="LVQ42" s="119"/>
      <c r="LVR42" s="119"/>
      <c r="LVS42" s="119"/>
      <c r="LVT42" s="119"/>
      <c r="LVU42" s="119"/>
      <c r="LVV42" s="119"/>
      <c r="LVW42" s="119"/>
      <c r="LVX42" s="119"/>
      <c r="LVY42" s="119"/>
      <c r="LVZ42" s="119"/>
      <c r="LWA42" s="119"/>
      <c r="LWB42" s="119"/>
      <c r="LWC42" s="119"/>
      <c r="LWD42" s="119"/>
      <c r="LWE42" s="119"/>
      <c r="LWF42" s="119"/>
      <c r="LWG42" s="119"/>
      <c r="LWH42" s="119"/>
      <c r="LWI42" s="119"/>
      <c r="LWJ42" s="119"/>
      <c r="LWK42" s="119"/>
      <c r="LWL42" s="119"/>
      <c r="LWM42" s="119"/>
      <c r="LWN42" s="119"/>
      <c r="LWO42" s="119"/>
      <c r="LWP42" s="119"/>
      <c r="LWQ42" s="119"/>
      <c r="LWR42" s="119"/>
      <c r="LWS42" s="119"/>
      <c r="LWT42" s="119"/>
      <c r="LWU42" s="119"/>
      <c r="LWV42" s="119"/>
      <c r="LWW42" s="119"/>
      <c r="LWX42" s="119"/>
      <c r="LWY42" s="119"/>
      <c r="LWZ42" s="119"/>
      <c r="LXA42" s="119"/>
      <c r="LXB42" s="119"/>
      <c r="LXC42" s="119"/>
      <c r="LXD42" s="119"/>
      <c r="LXE42" s="119"/>
      <c r="LXF42" s="119"/>
      <c r="LXG42" s="119"/>
      <c r="LXH42" s="119"/>
      <c r="LXI42" s="119"/>
      <c r="LXJ42" s="119"/>
      <c r="LXK42" s="119"/>
      <c r="LXL42" s="119"/>
      <c r="LXM42" s="119"/>
      <c r="LXN42" s="119"/>
      <c r="LXO42" s="119"/>
      <c r="LXP42" s="119"/>
      <c r="LXQ42" s="119"/>
      <c r="LXR42" s="119"/>
      <c r="LXS42" s="119"/>
      <c r="LXT42" s="119"/>
      <c r="LXU42" s="119"/>
      <c r="LXV42" s="119"/>
      <c r="LXW42" s="119"/>
      <c r="LXX42" s="119"/>
      <c r="LXY42" s="119"/>
      <c r="LXZ42" s="119"/>
      <c r="LYA42" s="119"/>
      <c r="LYB42" s="119"/>
      <c r="LYC42" s="119"/>
      <c r="LYD42" s="119"/>
      <c r="LYE42" s="119"/>
      <c r="LYF42" s="119"/>
      <c r="LYG42" s="119"/>
      <c r="LYH42" s="119"/>
      <c r="LYI42" s="119"/>
      <c r="LYJ42" s="119"/>
      <c r="LYK42" s="119"/>
      <c r="LYL42" s="119"/>
      <c r="LYM42" s="119"/>
      <c r="LYN42" s="119"/>
      <c r="LYO42" s="119"/>
      <c r="LYP42" s="119"/>
      <c r="LYQ42" s="119"/>
      <c r="LYR42" s="119"/>
      <c r="LYS42" s="119"/>
      <c r="LYT42" s="119"/>
      <c r="LYU42" s="119"/>
      <c r="LYV42" s="119"/>
      <c r="LYW42" s="119"/>
      <c r="LYX42" s="119"/>
      <c r="LYY42" s="119"/>
      <c r="LYZ42" s="119"/>
      <c r="LZA42" s="119"/>
      <c r="LZB42" s="119"/>
      <c r="LZC42" s="119"/>
      <c r="LZD42" s="119"/>
      <c r="LZE42" s="119"/>
      <c r="LZF42" s="119"/>
      <c r="LZG42" s="119"/>
      <c r="LZH42" s="119"/>
      <c r="LZI42" s="119"/>
      <c r="LZJ42" s="119"/>
      <c r="LZK42" s="119"/>
      <c r="LZL42" s="119"/>
      <c r="LZM42" s="119"/>
      <c r="LZN42" s="119"/>
      <c r="LZO42" s="119"/>
      <c r="LZP42" s="119"/>
      <c r="LZQ42" s="119"/>
      <c r="LZR42" s="119"/>
      <c r="LZS42" s="119"/>
      <c r="LZT42" s="119"/>
      <c r="LZU42" s="119"/>
      <c r="LZV42" s="119"/>
      <c r="LZW42" s="119"/>
      <c r="LZX42" s="119"/>
      <c r="LZY42" s="119"/>
      <c r="LZZ42" s="119"/>
      <c r="MAA42" s="119"/>
      <c r="MAB42" s="119"/>
      <c r="MAC42" s="119"/>
      <c r="MAD42" s="119"/>
      <c r="MAE42" s="119"/>
      <c r="MAF42" s="119"/>
      <c r="MAG42" s="119"/>
      <c r="MAH42" s="119"/>
      <c r="MAI42" s="119"/>
      <c r="MAJ42" s="119"/>
      <c r="MAK42" s="119"/>
      <c r="MAL42" s="119"/>
      <c r="MAM42" s="119"/>
      <c r="MAN42" s="119"/>
      <c r="MAO42" s="119"/>
      <c r="MAP42" s="119"/>
      <c r="MAQ42" s="119"/>
      <c r="MAR42" s="119"/>
      <c r="MAS42" s="119"/>
      <c r="MAT42" s="119"/>
      <c r="MAU42" s="119"/>
      <c r="MAV42" s="119"/>
      <c r="MAW42" s="119"/>
      <c r="MAX42" s="119"/>
      <c r="MAY42" s="119"/>
      <c r="MAZ42" s="119"/>
      <c r="MBA42" s="119"/>
      <c r="MBB42" s="119"/>
      <c r="MBC42" s="119"/>
      <c r="MBD42" s="119"/>
      <c r="MBE42" s="119"/>
      <c r="MBF42" s="119"/>
      <c r="MBG42" s="119"/>
      <c r="MBH42" s="119"/>
      <c r="MBI42" s="119"/>
      <c r="MBJ42" s="119"/>
      <c r="MBK42" s="119"/>
      <c r="MBL42" s="119"/>
      <c r="MBM42" s="119"/>
      <c r="MBN42" s="119"/>
      <c r="MBO42" s="119"/>
      <c r="MBP42" s="119"/>
      <c r="MBQ42" s="119"/>
      <c r="MBR42" s="119"/>
      <c r="MBS42" s="119"/>
      <c r="MBT42" s="119"/>
      <c r="MBU42" s="119"/>
      <c r="MBV42" s="119"/>
      <c r="MBW42" s="119"/>
      <c r="MBX42" s="119"/>
      <c r="MBY42" s="119"/>
      <c r="MBZ42" s="119"/>
      <c r="MCA42" s="119"/>
      <c r="MCB42" s="119"/>
      <c r="MCC42" s="119"/>
      <c r="MCD42" s="119"/>
      <c r="MCE42" s="119"/>
      <c r="MCF42" s="119"/>
      <c r="MCG42" s="119"/>
      <c r="MCH42" s="119"/>
      <c r="MCI42" s="119"/>
      <c r="MCJ42" s="119"/>
      <c r="MCK42" s="119"/>
      <c r="MCL42" s="119"/>
      <c r="MCM42" s="119"/>
      <c r="MCN42" s="119"/>
      <c r="MCO42" s="119"/>
      <c r="MCP42" s="119"/>
      <c r="MCQ42" s="119"/>
      <c r="MCR42" s="119"/>
      <c r="MCS42" s="119"/>
      <c r="MCT42" s="119"/>
      <c r="MCU42" s="119"/>
      <c r="MCV42" s="119"/>
      <c r="MCW42" s="119"/>
      <c r="MCX42" s="119"/>
      <c r="MCY42" s="119"/>
      <c r="MCZ42" s="119"/>
      <c r="MDA42" s="119"/>
      <c r="MDB42" s="119"/>
      <c r="MDC42" s="119"/>
      <c r="MDD42" s="119"/>
      <c r="MDE42" s="119"/>
      <c r="MDF42" s="119"/>
      <c r="MDG42" s="119"/>
      <c r="MDH42" s="119"/>
      <c r="MDI42" s="119"/>
      <c r="MDJ42" s="119"/>
      <c r="MDK42" s="119"/>
      <c r="MDL42" s="119"/>
      <c r="MDM42" s="119"/>
      <c r="MDN42" s="119"/>
      <c r="MDO42" s="119"/>
      <c r="MDP42" s="119"/>
      <c r="MDQ42" s="119"/>
      <c r="MDR42" s="119"/>
      <c r="MDS42" s="119"/>
      <c r="MDT42" s="119"/>
      <c r="MDU42" s="119"/>
      <c r="MDV42" s="119"/>
      <c r="MDW42" s="119"/>
      <c r="MDX42" s="119"/>
      <c r="MDY42" s="119"/>
      <c r="MDZ42" s="119"/>
      <c r="MEA42" s="119"/>
      <c r="MEB42" s="119"/>
      <c r="MEC42" s="119"/>
      <c r="MED42" s="119"/>
      <c r="MEE42" s="119"/>
      <c r="MEF42" s="119"/>
      <c r="MEG42" s="119"/>
      <c r="MEH42" s="119"/>
      <c r="MEI42" s="119"/>
      <c r="MEJ42" s="119"/>
      <c r="MEK42" s="119"/>
      <c r="MEL42" s="119"/>
      <c r="MEM42" s="119"/>
      <c r="MEN42" s="119"/>
      <c r="MEO42" s="119"/>
      <c r="MEP42" s="119"/>
      <c r="MEQ42" s="119"/>
      <c r="MER42" s="119"/>
      <c r="MES42" s="119"/>
      <c r="MET42" s="119"/>
      <c r="MEU42" s="119"/>
      <c r="MEV42" s="119"/>
      <c r="MEW42" s="119"/>
      <c r="MEX42" s="119"/>
      <c r="MEY42" s="119"/>
      <c r="MEZ42" s="119"/>
      <c r="MFA42" s="119"/>
      <c r="MFB42" s="119"/>
      <c r="MFC42" s="119"/>
      <c r="MFD42" s="119"/>
      <c r="MFE42" s="119"/>
      <c r="MFF42" s="119"/>
      <c r="MFG42" s="119"/>
      <c r="MFH42" s="119"/>
      <c r="MFI42" s="119"/>
      <c r="MFJ42" s="119"/>
      <c r="MFK42" s="119"/>
      <c r="MFL42" s="119"/>
      <c r="MFM42" s="119"/>
      <c r="MFN42" s="119"/>
      <c r="MFO42" s="119"/>
      <c r="MFP42" s="119"/>
      <c r="MFQ42" s="119"/>
      <c r="MFR42" s="119"/>
      <c r="MFS42" s="119"/>
      <c r="MFT42" s="119"/>
      <c r="MFU42" s="119"/>
      <c r="MFV42" s="119"/>
      <c r="MFW42" s="119"/>
      <c r="MFX42" s="119"/>
      <c r="MFY42" s="119"/>
      <c r="MFZ42" s="119"/>
      <c r="MGA42" s="119"/>
      <c r="MGB42" s="119"/>
      <c r="MGC42" s="119"/>
      <c r="MGD42" s="119"/>
      <c r="MGE42" s="119"/>
      <c r="MGF42" s="119"/>
      <c r="MGG42" s="119"/>
      <c r="MGH42" s="119"/>
      <c r="MGI42" s="119"/>
      <c r="MGJ42" s="119"/>
      <c r="MGK42" s="119"/>
      <c r="MGL42" s="119"/>
      <c r="MGM42" s="119"/>
      <c r="MGN42" s="119"/>
      <c r="MGO42" s="119"/>
      <c r="MGP42" s="119"/>
      <c r="MGQ42" s="119"/>
      <c r="MGR42" s="119"/>
      <c r="MGS42" s="119"/>
      <c r="MGT42" s="119"/>
      <c r="MGU42" s="119"/>
      <c r="MGV42" s="119"/>
      <c r="MGW42" s="119"/>
      <c r="MGX42" s="119"/>
      <c r="MGY42" s="119"/>
      <c r="MGZ42" s="119"/>
      <c r="MHA42" s="119"/>
      <c r="MHB42" s="119"/>
      <c r="MHC42" s="119"/>
      <c r="MHD42" s="119"/>
      <c r="MHE42" s="119"/>
      <c r="MHF42" s="119"/>
      <c r="MHG42" s="119"/>
      <c r="MHH42" s="119"/>
      <c r="MHI42" s="119"/>
      <c r="MHJ42" s="119"/>
      <c r="MHK42" s="119"/>
      <c r="MHL42" s="119"/>
      <c r="MHM42" s="119"/>
      <c r="MHN42" s="119"/>
      <c r="MHO42" s="119"/>
      <c r="MHP42" s="119"/>
      <c r="MHQ42" s="119"/>
      <c r="MHR42" s="119"/>
      <c r="MHS42" s="119"/>
      <c r="MHT42" s="119"/>
      <c r="MHU42" s="119"/>
      <c r="MHV42" s="119"/>
      <c r="MHW42" s="119"/>
      <c r="MHX42" s="119"/>
      <c r="MHY42" s="119"/>
      <c r="MHZ42" s="119"/>
      <c r="MIA42" s="119"/>
      <c r="MIB42" s="119"/>
      <c r="MIC42" s="119"/>
      <c r="MID42" s="119"/>
      <c r="MIE42" s="119"/>
      <c r="MIF42" s="119"/>
      <c r="MIG42" s="119"/>
      <c r="MIH42" s="119"/>
      <c r="MII42" s="119"/>
      <c r="MIJ42" s="119"/>
      <c r="MIK42" s="119"/>
      <c r="MIL42" s="119"/>
      <c r="MIM42" s="119"/>
      <c r="MIN42" s="119"/>
      <c r="MIO42" s="119"/>
      <c r="MIP42" s="119"/>
      <c r="MIQ42" s="119"/>
      <c r="MIR42" s="119"/>
      <c r="MIS42" s="119"/>
      <c r="MIT42" s="119"/>
      <c r="MIU42" s="119"/>
      <c r="MIV42" s="119"/>
      <c r="MIW42" s="119"/>
      <c r="MIX42" s="119"/>
      <c r="MIY42" s="119"/>
      <c r="MIZ42" s="119"/>
      <c r="MJA42" s="119"/>
      <c r="MJB42" s="119"/>
      <c r="MJC42" s="119"/>
      <c r="MJD42" s="119"/>
      <c r="MJE42" s="119"/>
      <c r="MJF42" s="119"/>
      <c r="MJG42" s="119"/>
      <c r="MJH42" s="119"/>
      <c r="MJI42" s="119"/>
      <c r="MJJ42" s="119"/>
      <c r="MJK42" s="119"/>
      <c r="MJL42" s="119"/>
      <c r="MJM42" s="119"/>
      <c r="MJN42" s="119"/>
      <c r="MJO42" s="119"/>
      <c r="MJP42" s="119"/>
      <c r="MJQ42" s="119"/>
      <c r="MJR42" s="119"/>
      <c r="MJS42" s="119"/>
      <c r="MJT42" s="119"/>
      <c r="MJU42" s="119"/>
      <c r="MJV42" s="119"/>
      <c r="MJW42" s="119"/>
      <c r="MJX42" s="119"/>
      <c r="MJY42" s="119"/>
      <c r="MJZ42" s="119"/>
      <c r="MKA42" s="119"/>
      <c r="MKB42" s="119"/>
      <c r="MKC42" s="119"/>
      <c r="MKD42" s="119"/>
      <c r="MKE42" s="119"/>
      <c r="MKF42" s="119"/>
      <c r="MKG42" s="119"/>
      <c r="MKH42" s="119"/>
      <c r="MKI42" s="119"/>
      <c r="MKJ42" s="119"/>
      <c r="MKK42" s="119"/>
      <c r="MKL42" s="119"/>
      <c r="MKM42" s="119"/>
      <c r="MKN42" s="119"/>
      <c r="MKO42" s="119"/>
      <c r="MKP42" s="119"/>
      <c r="MKQ42" s="119"/>
      <c r="MKR42" s="119"/>
      <c r="MKS42" s="119"/>
      <c r="MKT42" s="119"/>
      <c r="MKU42" s="119"/>
      <c r="MKV42" s="119"/>
      <c r="MKW42" s="119"/>
      <c r="MKX42" s="119"/>
      <c r="MKY42" s="119"/>
      <c r="MKZ42" s="119"/>
      <c r="MLA42" s="119"/>
      <c r="MLB42" s="119"/>
      <c r="MLC42" s="119"/>
      <c r="MLD42" s="119"/>
      <c r="MLE42" s="119"/>
      <c r="MLF42" s="119"/>
      <c r="MLG42" s="119"/>
      <c r="MLH42" s="119"/>
      <c r="MLI42" s="119"/>
      <c r="MLJ42" s="119"/>
      <c r="MLK42" s="119"/>
      <c r="MLL42" s="119"/>
      <c r="MLM42" s="119"/>
      <c r="MLN42" s="119"/>
      <c r="MLO42" s="119"/>
      <c r="MLP42" s="119"/>
      <c r="MLQ42" s="119"/>
      <c r="MLR42" s="119"/>
      <c r="MLS42" s="119"/>
      <c r="MLT42" s="119"/>
      <c r="MLU42" s="119"/>
      <c r="MLV42" s="119"/>
      <c r="MLW42" s="119"/>
      <c r="MLX42" s="119"/>
      <c r="MLY42" s="119"/>
      <c r="MLZ42" s="119"/>
      <c r="MMA42" s="119"/>
      <c r="MMB42" s="119"/>
      <c r="MMC42" s="119"/>
      <c r="MMD42" s="119"/>
      <c r="MME42" s="119"/>
      <c r="MMF42" s="119"/>
      <c r="MMG42" s="119"/>
      <c r="MMH42" s="119"/>
      <c r="MMI42" s="119"/>
      <c r="MMJ42" s="119"/>
      <c r="MMK42" s="119"/>
      <c r="MML42" s="119"/>
      <c r="MMM42" s="119"/>
      <c r="MMN42" s="119"/>
      <c r="MMO42" s="119"/>
      <c r="MMP42" s="119"/>
      <c r="MMQ42" s="119"/>
      <c r="MMR42" s="119"/>
      <c r="MMS42" s="119"/>
      <c r="MMT42" s="119"/>
      <c r="MMU42" s="119"/>
      <c r="MMV42" s="119"/>
      <c r="MMW42" s="119"/>
      <c r="MMX42" s="119"/>
      <c r="MMY42" s="119"/>
      <c r="MMZ42" s="119"/>
      <c r="MNA42" s="119"/>
      <c r="MNB42" s="119"/>
      <c r="MNC42" s="119"/>
      <c r="MND42" s="119"/>
      <c r="MNE42" s="119"/>
      <c r="MNF42" s="119"/>
      <c r="MNG42" s="119"/>
      <c r="MNH42" s="119"/>
      <c r="MNI42" s="119"/>
      <c r="MNJ42" s="119"/>
      <c r="MNK42" s="119"/>
      <c r="MNL42" s="119"/>
      <c r="MNM42" s="119"/>
      <c r="MNN42" s="119"/>
      <c r="MNO42" s="119"/>
      <c r="MNP42" s="119"/>
      <c r="MNQ42" s="119"/>
      <c r="MNR42" s="119"/>
      <c r="MNS42" s="119"/>
      <c r="MNT42" s="119"/>
      <c r="MNU42" s="119"/>
      <c r="MNV42" s="119"/>
      <c r="MNW42" s="119"/>
      <c r="MNX42" s="119"/>
      <c r="MNY42" s="119"/>
      <c r="MNZ42" s="119"/>
      <c r="MOA42" s="119"/>
      <c r="MOB42" s="119"/>
      <c r="MOC42" s="119"/>
      <c r="MOD42" s="119"/>
      <c r="MOE42" s="119"/>
      <c r="MOF42" s="119"/>
      <c r="MOG42" s="119"/>
      <c r="MOH42" s="119"/>
      <c r="MOI42" s="119"/>
      <c r="MOJ42" s="119"/>
      <c r="MOK42" s="119"/>
      <c r="MOL42" s="119"/>
      <c r="MOM42" s="119"/>
      <c r="MON42" s="119"/>
      <c r="MOO42" s="119"/>
      <c r="MOP42" s="119"/>
      <c r="MOQ42" s="119"/>
      <c r="MOR42" s="119"/>
      <c r="MOS42" s="119"/>
      <c r="MOT42" s="119"/>
      <c r="MOU42" s="119"/>
      <c r="MOV42" s="119"/>
      <c r="MOW42" s="119"/>
      <c r="MOX42" s="119"/>
      <c r="MOY42" s="119"/>
      <c r="MOZ42" s="119"/>
      <c r="MPA42" s="119"/>
      <c r="MPB42" s="119"/>
      <c r="MPC42" s="119"/>
      <c r="MPD42" s="119"/>
      <c r="MPE42" s="119"/>
      <c r="MPF42" s="119"/>
      <c r="MPG42" s="119"/>
      <c r="MPH42" s="119"/>
      <c r="MPI42" s="119"/>
      <c r="MPJ42" s="119"/>
      <c r="MPK42" s="119"/>
      <c r="MPL42" s="119"/>
      <c r="MPM42" s="119"/>
      <c r="MPN42" s="119"/>
      <c r="MPO42" s="119"/>
      <c r="MPP42" s="119"/>
      <c r="MPQ42" s="119"/>
      <c r="MPR42" s="119"/>
      <c r="MPS42" s="119"/>
      <c r="MPT42" s="119"/>
      <c r="MPU42" s="119"/>
      <c r="MPV42" s="119"/>
      <c r="MPW42" s="119"/>
      <c r="MPX42" s="119"/>
      <c r="MPY42" s="119"/>
      <c r="MPZ42" s="119"/>
      <c r="MQA42" s="119"/>
      <c r="MQB42" s="119"/>
      <c r="MQC42" s="119"/>
      <c r="MQD42" s="119"/>
      <c r="MQE42" s="119"/>
      <c r="MQF42" s="119"/>
      <c r="MQG42" s="119"/>
      <c r="MQH42" s="119"/>
      <c r="MQI42" s="119"/>
      <c r="MQJ42" s="119"/>
      <c r="MQK42" s="119"/>
      <c r="MQL42" s="119"/>
      <c r="MQM42" s="119"/>
      <c r="MQN42" s="119"/>
      <c r="MQO42" s="119"/>
      <c r="MQP42" s="119"/>
      <c r="MQQ42" s="119"/>
      <c r="MQR42" s="119"/>
      <c r="MQS42" s="119"/>
      <c r="MQT42" s="119"/>
      <c r="MQU42" s="119"/>
      <c r="MQV42" s="119"/>
      <c r="MQW42" s="119"/>
      <c r="MQX42" s="119"/>
      <c r="MQY42" s="119"/>
      <c r="MQZ42" s="119"/>
      <c r="MRA42" s="119"/>
      <c r="MRB42" s="119"/>
      <c r="MRC42" s="119"/>
      <c r="MRD42" s="119"/>
      <c r="MRE42" s="119"/>
      <c r="MRF42" s="119"/>
      <c r="MRG42" s="119"/>
      <c r="MRH42" s="119"/>
      <c r="MRI42" s="119"/>
      <c r="MRJ42" s="119"/>
      <c r="MRK42" s="119"/>
      <c r="MRL42" s="119"/>
      <c r="MRM42" s="119"/>
      <c r="MRN42" s="119"/>
      <c r="MRO42" s="119"/>
      <c r="MRP42" s="119"/>
      <c r="MRQ42" s="119"/>
      <c r="MRR42" s="119"/>
      <c r="MRS42" s="119"/>
      <c r="MRT42" s="119"/>
      <c r="MRU42" s="119"/>
      <c r="MRV42" s="119"/>
      <c r="MRW42" s="119"/>
      <c r="MRX42" s="119"/>
      <c r="MRY42" s="119"/>
      <c r="MRZ42" s="119"/>
      <c r="MSA42" s="119"/>
      <c r="MSB42" s="119"/>
      <c r="MSC42" s="119"/>
      <c r="MSD42" s="119"/>
      <c r="MSE42" s="119"/>
      <c r="MSF42" s="119"/>
      <c r="MSG42" s="119"/>
      <c r="MSH42" s="119"/>
      <c r="MSI42" s="119"/>
      <c r="MSJ42" s="119"/>
      <c r="MSK42" s="119"/>
      <c r="MSL42" s="119"/>
      <c r="MSM42" s="119"/>
      <c r="MSN42" s="119"/>
      <c r="MSO42" s="119"/>
      <c r="MSP42" s="119"/>
      <c r="MSQ42" s="119"/>
      <c r="MSR42" s="119"/>
      <c r="MSS42" s="119"/>
      <c r="MST42" s="119"/>
      <c r="MSU42" s="119"/>
      <c r="MSV42" s="119"/>
      <c r="MSW42" s="119"/>
      <c r="MSX42" s="119"/>
      <c r="MSY42" s="119"/>
      <c r="MSZ42" s="119"/>
      <c r="MTA42" s="119"/>
      <c r="MTB42" s="119"/>
      <c r="MTC42" s="119"/>
      <c r="MTD42" s="119"/>
      <c r="MTE42" s="119"/>
      <c r="MTF42" s="119"/>
      <c r="MTG42" s="119"/>
      <c r="MTH42" s="119"/>
      <c r="MTI42" s="119"/>
      <c r="MTJ42" s="119"/>
      <c r="MTK42" s="119"/>
      <c r="MTL42" s="119"/>
      <c r="MTM42" s="119"/>
      <c r="MTN42" s="119"/>
      <c r="MTO42" s="119"/>
      <c r="MTP42" s="119"/>
      <c r="MTQ42" s="119"/>
      <c r="MTR42" s="119"/>
      <c r="MTS42" s="119"/>
      <c r="MTT42" s="119"/>
      <c r="MTU42" s="119"/>
      <c r="MTV42" s="119"/>
      <c r="MTW42" s="119"/>
      <c r="MTX42" s="119"/>
      <c r="MTY42" s="119"/>
      <c r="MTZ42" s="119"/>
      <c r="MUA42" s="119"/>
      <c r="MUB42" s="119"/>
      <c r="MUC42" s="119"/>
      <c r="MUD42" s="119"/>
      <c r="MUE42" s="119"/>
      <c r="MUF42" s="119"/>
      <c r="MUG42" s="119"/>
      <c r="MUH42" s="119"/>
      <c r="MUI42" s="119"/>
      <c r="MUJ42" s="119"/>
      <c r="MUK42" s="119"/>
      <c r="MUL42" s="119"/>
      <c r="MUM42" s="119"/>
      <c r="MUN42" s="119"/>
      <c r="MUO42" s="119"/>
      <c r="MUP42" s="119"/>
      <c r="MUQ42" s="119"/>
      <c r="MUR42" s="119"/>
      <c r="MUS42" s="119"/>
      <c r="MUT42" s="119"/>
      <c r="MUU42" s="119"/>
      <c r="MUV42" s="119"/>
      <c r="MUW42" s="119"/>
      <c r="MUX42" s="119"/>
      <c r="MUY42" s="119"/>
      <c r="MUZ42" s="119"/>
      <c r="MVA42" s="119"/>
      <c r="MVB42" s="119"/>
      <c r="MVC42" s="119"/>
      <c r="MVD42" s="119"/>
      <c r="MVE42" s="119"/>
      <c r="MVF42" s="119"/>
      <c r="MVG42" s="119"/>
      <c r="MVH42" s="119"/>
      <c r="MVI42" s="119"/>
      <c r="MVJ42" s="119"/>
      <c r="MVK42" s="119"/>
      <c r="MVL42" s="119"/>
      <c r="MVM42" s="119"/>
      <c r="MVN42" s="119"/>
      <c r="MVO42" s="119"/>
      <c r="MVP42" s="119"/>
      <c r="MVQ42" s="119"/>
      <c r="MVR42" s="119"/>
      <c r="MVS42" s="119"/>
      <c r="MVT42" s="119"/>
      <c r="MVU42" s="119"/>
      <c r="MVV42" s="119"/>
      <c r="MVW42" s="119"/>
      <c r="MVX42" s="119"/>
      <c r="MVY42" s="119"/>
      <c r="MVZ42" s="119"/>
      <c r="MWA42" s="119"/>
      <c r="MWB42" s="119"/>
      <c r="MWC42" s="119"/>
      <c r="MWD42" s="119"/>
      <c r="MWE42" s="119"/>
      <c r="MWF42" s="119"/>
      <c r="MWG42" s="119"/>
      <c r="MWH42" s="119"/>
      <c r="MWI42" s="119"/>
      <c r="MWJ42" s="119"/>
      <c r="MWK42" s="119"/>
      <c r="MWL42" s="119"/>
      <c r="MWM42" s="119"/>
      <c r="MWN42" s="119"/>
      <c r="MWO42" s="119"/>
      <c r="MWP42" s="119"/>
      <c r="MWQ42" s="119"/>
      <c r="MWR42" s="119"/>
      <c r="MWS42" s="119"/>
      <c r="MWT42" s="119"/>
      <c r="MWU42" s="119"/>
      <c r="MWV42" s="119"/>
      <c r="MWW42" s="119"/>
      <c r="MWX42" s="119"/>
      <c r="MWY42" s="119"/>
      <c r="MWZ42" s="119"/>
      <c r="MXA42" s="119"/>
      <c r="MXB42" s="119"/>
      <c r="MXC42" s="119"/>
      <c r="MXD42" s="119"/>
      <c r="MXE42" s="119"/>
      <c r="MXF42" s="119"/>
      <c r="MXG42" s="119"/>
      <c r="MXH42" s="119"/>
      <c r="MXI42" s="119"/>
      <c r="MXJ42" s="119"/>
      <c r="MXK42" s="119"/>
      <c r="MXL42" s="119"/>
      <c r="MXM42" s="119"/>
      <c r="MXN42" s="119"/>
      <c r="MXO42" s="119"/>
      <c r="MXP42" s="119"/>
      <c r="MXQ42" s="119"/>
      <c r="MXR42" s="119"/>
      <c r="MXS42" s="119"/>
      <c r="MXT42" s="119"/>
      <c r="MXU42" s="119"/>
      <c r="MXV42" s="119"/>
      <c r="MXW42" s="119"/>
      <c r="MXX42" s="119"/>
      <c r="MXY42" s="119"/>
      <c r="MXZ42" s="119"/>
      <c r="MYA42" s="119"/>
      <c r="MYB42" s="119"/>
      <c r="MYC42" s="119"/>
      <c r="MYD42" s="119"/>
      <c r="MYE42" s="119"/>
      <c r="MYF42" s="119"/>
      <c r="MYG42" s="119"/>
      <c r="MYH42" s="119"/>
      <c r="MYI42" s="119"/>
      <c r="MYJ42" s="119"/>
      <c r="MYK42" s="119"/>
      <c r="MYL42" s="119"/>
      <c r="MYM42" s="119"/>
      <c r="MYN42" s="119"/>
      <c r="MYO42" s="119"/>
      <c r="MYP42" s="119"/>
      <c r="MYQ42" s="119"/>
      <c r="MYR42" s="119"/>
      <c r="MYS42" s="119"/>
      <c r="MYT42" s="119"/>
      <c r="MYU42" s="119"/>
      <c r="MYV42" s="119"/>
      <c r="MYW42" s="119"/>
      <c r="MYX42" s="119"/>
      <c r="MYY42" s="119"/>
      <c r="MYZ42" s="119"/>
      <c r="MZA42" s="119"/>
      <c r="MZB42" s="119"/>
      <c r="MZC42" s="119"/>
      <c r="MZD42" s="119"/>
      <c r="MZE42" s="119"/>
      <c r="MZF42" s="119"/>
      <c r="MZG42" s="119"/>
      <c r="MZH42" s="119"/>
      <c r="MZI42" s="119"/>
      <c r="MZJ42" s="119"/>
      <c r="MZK42" s="119"/>
      <c r="MZL42" s="119"/>
      <c r="MZM42" s="119"/>
      <c r="MZN42" s="119"/>
      <c r="MZO42" s="119"/>
      <c r="MZP42" s="119"/>
      <c r="MZQ42" s="119"/>
      <c r="MZR42" s="119"/>
      <c r="MZS42" s="119"/>
      <c r="MZT42" s="119"/>
      <c r="MZU42" s="119"/>
      <c r="MZV42" s="119"/>
      <c r="MZW42" s="119"/>
      <c r="MZX42" s="119"/>
      <c r="MZY42" s="119"/>
      <c r="MZZ42" s="119"/>
      <c r="NAA42" s="119"/>
      <c r="NAB42" s="119"/>
      <c r="NAC42" s="119"/>
      <c r="NAD42" s="119"/>
      <c r="NAE42" s="119"/>
      <c r="NAF42" s="119"/>
      <c r="NAG42" s="119"/>
      <c r="NAH42" s="119"/>
      <c r="NAI42" s="119"/>
      <c r="NAJ42" s="119"/>
      <c r="NAK42" s="119"/>
      <c r="NAL42" s="119"/>
      <c r="NAM42" s="119"/>
      <c r="NAN42" s="119"/>
      <c r="NAO42" s="119"/>
      <c r="NAP42" s="119"/>
      <c r="NAQ42" s="119"/>
      <c r="NAR42" s="119"/>
      <c r="NAS42" s="119"/>
      <c r="NAT42" s="119"/>
      <c r="NAU42" s="119"/>
      <c r="NAV42" s="119"/>
      <c r="NAW42" s="119"/>
      <c r="NAX42" s="119"/>
      <c r="NAY42" s="119"/>
      <c r="NAZ42" s="119"/>
      <c r="NBA42" s="119"/>
      <c r="NBB42" s="119"/>
      <c r="NBC42" s="119"/>
      <c r="NBD42" s="119"/>
      <c r="NBE42" s="119"/>
      <c r="NBF42" s="119"/>
      <c r="NBG42" s="119"/>
      <c r="NBH42" s="119"/>
      <c r="NBI42" s="119"/>
      <c r="NBJ42" s="119"/>
      <c r="NBK42" s="119"/>
      <c r="NBL42" s="119"/>
      <c r="NBM42" s="119"/>
      <c r="NBN42" s="119"/>
      <c r="NBO42" s="119"/>
      <c r="NBP42" s="119"/>
      <c r="NBQ42" s="119"/>
      <c r="NBR42" s="119"/>
      <c r="NBS42" s="119"/>
      <c r="NBT42" s="119"/>
      <c r="NBU42" s="119"/>
      <c r="NBV42" s="119"/>
      <c r="NBW42" s="119"/>
      <c r="NBX42" s="119"/>
      <c r="NBY42" s="119"/>
      <c r="NBZ42" s="119"/>
      <c r="NCA42" s="119"/>
      <c r="NCB42" s="119"/>
      <c r="NCC42" s="119"/>
      <c r="NCD42" s="119"/>
      <c r="NCE42" s="119"/>
      <c r="NCF42" s="119"/>
      <c r="NCG42" s="119"/>
      <c r="NCH42" s="119"/>
      <c r="NCI42" s="119"/>
      <c r="NCJ42" s="119"/>
      <c r="NCK42" s="119"/>
      <c r="NCL42" s="119"/>
      <c r="NCM42" s="119"/>
      <c r="NCN42" s="119"/>
      <c r="NCO42" s="119"/>
      <c r="NCP42" s="119"/>
      <c r="NCQ42" s="119"/>
      <c r="NCR42" s="119"/>
      <c r="NCS42" s="119"/>
      <c r="NCT42" s="119"/>
      <c r="NCU42" s="119"/>
      <c r="NCV42" s="119"/>
      <c r="NCW42" s="119"/>
      <c r="NCX42" s="119"/>
      <c r="NCY42" s="119"/>
      <c r="NCZ42" s="119"/>
      <c r="NDA42" s="119"/>
      <c r="NDB42" s="119"/>
      <c r="NDC42" s="119"/>
      <c r="NDD42" s="119"/>
      <c r="NDE42" s="119"/>
      <c r="NDF42" s="119"/>
      <c r="NDG42" s="119"/>
      <c r="NDH42" s="119"/>
      <c r="NDI42" s="119"/>
      <c r="NDJ42" s="119"/>
      <c r="NDK42" s="119"/>
      <c r="NDL42" s="119"/>
      <c r="NDM42" s="119"/>
      <c r="NDN42" s="119"/>
      <c r="NDO42" s="119"/>
      <c r="NDP42" s="119"/>
      <c r="NDQ42" s="119"/>
      <c r="NDR42" s="119"/>
      <c r="NDS42" s="119"/>
      <c r="NDT42" s="119"/>
      <c r="NDU42" s="119"/>
      <c r="NDV42" s="119"/>
      <c r="NDW42" s="119"/>
      <c r="NDX42" s="119"/>
      <c r="NDY42" s="119"/>
      <c r="NDZ42" s="119"/>
      <c r="NEA42" s="119"/>
      <c r="NEB42" s="119"/>
      <c r="NEC42" s="119"/>
      <c r="NED42" s="119"/>
      <c r="NEE42" s="119"/>
      <c r="NEF42" s="119"/>
      <c r="NEG42" s="119"/>
      <c r="NEH42" s="119"/>
      <c r="NEI42" s="119"/>
      <c r="NEJ42" s="119"/>
      <c r="NEK42" s="119"/>
      <c r="NEL42" s="119"/>
      <c r="NEM42" s="119"/>
      <c r="NEN42" s="119"/>
      <c r="NEO42" s="119"/>
      <c r="NEP42" s="119"/>
      <c r="NEQ42" s="119"/>
      <c r="NER42" s="119"/>
      <c r="NES42" s="119"/>
      <c r="NET42" s="119"/>
      <c r="NEU42" s="119"/>
      <c r="NEV42" s="119"/>
      <c r="NEW42" s="119"/>
      <c r="NEX42" s="119"/>
      <c r="NEY42" s="119"/>
      <c r="NEZ42" s="119"/>
      <c r="NFA42" s="119"/>
      <c r="NFB42" s="119"/>
      <c r="NFC42" s="119"/>
      <c r="NFD42" s="119"/>
      <c r="NFE42" s="119"/>
      <c r="NFF42" s="119"/>
      <c r="NFG42" s="119"/>
      <c r="NFH42" s="119"/>
      <c r="NFI42" s="119"/>
      <c r="NFJ42" s="119"/>
      <c r="NFK42" s="119"/>
      <c r="NFL42" s="119"/>
      <c r="NFM42" s="119"/>
      <c r="NFN42" s="119"/>
      <c r="NFO42" s="119"/>
      <c r="NFP42" s="119"/>
      <c r="NFQ42" s="119"/>
      <c r="NFR42" s="119"/>
      <c r="NFS42" s="119"/>
      <c r="NFT42" s="119"/>
      <c r="NFU42" s="119"/>
      <c r="NFV42" s="119"/>
      <c r="NFW42" s="119"/>
      <c r="NFX42" s="119"/>
      <c r="NFY42" s="119"/>
      <c r="NFZ42" s="119"/>
      <c r="NGA42" s="119"/>
      <c r="NGB42" s="119"/>
      <c r="NGC42" s="119"/>
      <c r="NGD42" s="119"/>
      <c r="NGE42" s="119"/>
      <c r="NGF42" s="119"/>
      <c r="NGG42" s="119"/>
      <c r="NGH42" s="119"/>
      <c r="NGI42" s="119"/>
      <c r="NGJ42" s="119"/>
      <c r="NGK42" s="119"/>
      <c r="NGL42" s="119"/>
      <c r="NGM42" s="119"/>
      <c r="NGN42" s="119"/>
      <c r="NGO42" s="119"/>
      <c r="NGP42" s="119"/>
      <c r="NGQ42" s="119"/>
      <c r="NGR42" s="119"/>
      <c r="NGS42" s="119"/>
      <c r="NGT42" s="119"/>
      <c r="NGU42" s="119"/>
      <c r="NGV42" s="119"/>
      <c r="NGW42" s="119"/>
      <c r="NGX42" s="119"/>
      <c r="NGY42" s="119"/>
      <c r="NGZ42" s="119"/>
      <c r="NHA42" s="119"/>
      <c r="NHB42" s="119"/>
      <c r="NHC42" s="119"/>
      <c r="NHD42" s="119"/>
      <c r="NHE42" s="119"/>
      <c r="NHF42" s="119"/>
      <c r="NHG42" s="119"/>
      <c r="NHH42" s="119"/>
      <c r="NHI42" s="119"/>
      <c r="NHJ42" s="119"/>
      <c r="NHK42" s="119"/>
      <c r="NHL42" s="119"/>
      <c r="NHM42" s="119"/>
      <c r="NHN42" s="119"/>
      <c r="NHO42" s="119"/>
      <c r="NHP42" s="119"/>
      <c r="NHQ42" s="119"/>
      <c r="NHR42" s="119"/>
      <c r="NHS42" s="119"/>
      <c r="NHT42" s="119"/>
      <c r="NHU42" s="119"/>
      <c r="NHV42" s="119"/>
      <c r="NHW42" s="119"/>
      <c r="NHX42" s="119"/>
      <c r="NHY42" s="119"/>
      <c r="NHZ42" s="119"/>
      <c r="NIA42" s="119"/>
      <c r="NIB42" s="119"/>
      <c r="NIC42" s="119"/>
      <c r="NID42" s="119"/>
      <c r="NIE42" s="119"/>
      <c r="NIF42" s="119"/>
      <c r="NIG42" s="119"/>
      <c r="NIH42" s="119"/>
      <c r="NII42" s="119"/>
      <c r="NIJ42" s="119"/>
      <c r="NIK42" s="119"/>
      <c r="NIL42" s="119"/>
      <c r="NIM42" s="119"/>
      <c r="NIN42" s="119"/>
      <c r="NIO42" s="119"/>
      <c r="NIP42" s="119"/>
      <c r="NIQ42" s="119"/>
      <c r="NIR42" s="119"/>
      <c r="NIS42" s="119"/>
      <c r="NIT42" s="119"/>
      <c r="NIU42" s="119"/>
      <c r="NIV42" s="119"/>
      <c r="NIW42" s="119"/>
      <c r="NIX42" s="119"/>
      <c r="NIY42" s="119"/>
      <c r="NIZ42" s="119"/>
      <c r="NJA42" s="119"/>
      <c r="NJB42" s="119"/>
      <c r="NJC42" s="119"/>
      <c r="NJD42" s="119"/>
      <c r="NJE42" s="119"/>
      <c r="NJF42" s="119"/>
      <c r="NJG42" s="119"/>
      <c r="NJH42" s="119"/>
      <c r="NJI42" s="119"/>
      <c r="NJJ42" s="119"/>
      <c r="NJK42" s="119"/>
      <c r="NJL42" s="119"/>
      <c r="NJM42" s="119"/>
      <c r="NJN42" s="119"/>
      <c r="NJO42" s="119"/>
      <c r="NJP42" s="119"/>
      <c r="NJQ42" s="119"/>
      <c r="NJR42" s="119"/>
      <c r="NJS42" s="119"/>
      <c r="NJT42" s="119"/>
      <c r="NJU42" s="119"/>
      <c r="NJV42" s="119"/>
      <c r="NJW42" s="119"/>
      <c r="NJX42" s="119"/>
      <c r="NJY42" s="119"/>
      <c r="NJZ42" s="119"/>
      <c r="NKA42" s="119"/>
      <c r="NKB42" s="119"/>
      <c r="NKC42" s="119"/>
      <c r="NKD42" s="119"/>
      <c r="NKE42" s="119"/>
      <c r="NKF42" s="119"/>
      <c r="NKG42" s="119"/>
      <c r="NKH42" s="119"/>
      <c r="NKI42" s="119"/>
      <c r="NKJ42" s="119"/>
      <c r="NKK42" s="119"/>
      <c r="NKL42" s="119"/>
      <c r="NKM42" s="119"/>
      <c r="NKN42" s="119"/>
      <c r="NKO42" s="119"/>
      <c r="NKP42" s="119"/>
      <c r="NKQ42" s="119"/>
      <c r="NKR42" s="119"/>
      <c r="NKS42" s="119"/>
      <c r="NKT42" s="119"/>
      <c r="NKU42" s="119"/>
      <c r="NKV42" s="119"/>
      <c r="NKW42" s="119"/>
      <c r="NKX42" s="119"/>
      <c r="NKY42" s="119"/>
      <c r="NKZ42" s="119"/>
      <c r="NLA42" s="119"/>
      <c r="NLB42" s="119"/>
      <c r="NLC42" s="119"/>
      <c r="NLD42" s="119"/>
      <c r="NLE42" s="119"/>
      <c r="NLF42" s="119"/>
      <c r="NLG42" s="119"/>
      <c r="NLH42" s="119"/>
      <c r="NLI42" s="119"/>
      <c r="NLJ42" s="119"/>
      <c r="NLK42" s="119"/>
      <c r="NLL42" s="119"/>
      <c r="NLM42" s="119"/>
      <c r="NLN42" s="119"/>
      <c r="NLO42" s="119"/>
      <c r="NLP42" s="119"/>
      <c r="NLQ42" s="119"/>
      <c r="NLR42" s="119"/>
      <c r="NLS42" s="119"/>
      <c r="NLT42" s="119"/>
      <c r="NLU42" s="119"/>
      <c r="NLV42" s="119"/>
      <c r="NLW42" s="119"/>
      <c r="NLX42" s="119"/>
      <c r="NLY42" s="119"/>
      <c r="NLZ42" s="119"/>
      <c r="NMA42" s="119"/>
      <c r="NMB42" s="119"/>
      <c r="NMC42" s="119"/>
      <c r="NMD42" s="119"/>
      <c r="NME42" s="119"/>
      <c r="NMF42" s="119"/>
      <c r="NMG42" s="119"/>
      <c r="NMH42" s="119"/>
      <c r="NMI42" s="119"/>
      <c r="NMJ42" s="119"/>
      <c r="NMK42" s="119"/>
      <c r="NML42" s="119"/>
      <c r="NMM42" s="119"/>
      <c r="NMN42" s="119"/>
      <c r="NMO42" s="119"/>
      <c r="NMP42" s="119"/>
      <c r="NMQ42" s="119"/>
      <c r="NMR42" s="119"/>
      <c r="NMS42" s="119"/>
      <c r="NMT42" s="119"/>
      <c r="NMU42" s="119"/>
      <c r="NMV42" s="119"/>
      <c r="NMW42" s="119"/>
      <c r="NMX42" s="119"/>
      <c r="NMY42" s="119"/>
      <c r="NMZ42" s="119"/>
      <c r="NNA42" s="119"/>
      <c r="NNB42" s="119"/>
      <c r="NNC42" s="119"/>
      <c r="NND42" s="119"/>
      <c r="NNE42" s="119"/>
      <c r="NNF42" s="119"/>
      <c r="NNG42" s="119"/>
      <c r="NNH42" s="119"/>
      <c r="NNI42" s="119"/>
      <c r="NNJ42" s="119"/>
      <c r="NNK42" s="119"/>
      <c r="NNL42" s="119"/>
      <c r="NNM42" s="119"/>
      <c r="NNN42" s="119"/>
      <c r="NNO42" s="119"/>
      <c r="NNP42" s="119"/>
      <c r="NNQ42" s="119"/>
      <c r="NNR42" s="119"/>
      <c r="NNS42" s="119"/>
      <c r="NNT42" s="119"/>
      <c r="NNU42" s="119"/>
      <c r="NNV42" s="119"/>
      <c r="NNW42" s="119"/>
      <c r="NNX42" s="119"/>
      <c r="NNY42" s="119"/>
      <c r="NNZ42" s="119"/>
      <c r="NOA42" s="119"/>
      <c r="NOB42" s="119"/>
      <c r="NOC42" s="119"/>
      <c r="NOD42" s="119"/>
      <c r="NOE42" s="119"/>
      <c r="NOF42" s="119"/>
      <c r="NOG42" s="119"/>
      <c r="NOH42" s="119"/>
      <c r="NOI42" s="119"/>
      <c r="NOJ42" s="119"/>
      <c r="NOK42" s="119"/>
      <c r="NOL42" s="119"/>
      <c r="NOM42" s="119"/>
      <c r="NON42" s="119"/>
      <c r="NOO42" s="119"/>
      <c r="NOP42" s="119"/>
      <c r="NOQ42" s="119"/>
      <c r="NOR42" s="119"/>
      <c r="NOS42" s="119"/>
      <c r="NOT42" s="119"/>
      <c r="NOU42" s="119"/>
      <c r="NOV42" s="119"/>
      <c r="NOW42" s="119"/>
      <c r="NOX42" s="119"/>
      <c r="NOY42" s="119"/>
      <c r="NOZ42" s="119"/>
      <c r="NPA42" s="119"/>
      <c r="NPB42" s="119"/>
      <c r="NPC42" s="119"/>
      <c r="NPD42" s="119"/>
      <c r="NPE42" s="119"/>
      <c r="NPF42" s="119"/>
      <c r="NPG42" s="119"/>
      <c r="NPH42" s="119"/>
      <c r="NPI42" s="119"/>
      <c r="NPJ42" s="119"/>
      <c r="NPK42" s="119"/>
      <c r="NPL42" s="119"/>
      <c r="NPM42" s="119"/>
      <c r="NPN42" s="119"/>
      <c r="NPO42" s="119"/>
      <c r="NPP42" s="119"/>
      <c r="NPQ42" s="119"/>
      <c r="NPR42" s="119"/>
      <c r="NPS42" s="119"/>
      <c r="NPT42" s="119"/>
      <c r="NPU42" s="119"/>
      <c r="NPV42" s="119"/>
      <c r="NPW42" s="119"/>
      <c r="NPX42" s="119"/>
      <c r="NPY42" s="119"/>
      <c r="NPZ42" s="119"/>
      <c r="NQA42" s="119"/>
      <c r="NQB42" s="119"/>
      <c r="NQC42" s="119"/>
      <c r="NQD42" s="119"/>
      <c r="NQE42" s="119"/>
      <c r="NQF42" s="119"/>
      <c r="NQG42" s="119"/>
      <c r="NQH42" s="119"/>
      <c r="NQI42" s="119"/>
      <c r="NQJ42" s="119"/>
      <c r="NQK42" s="119"/>
      <c r="NQL42" s="119"/>
      <c r="NQM42" s="119"/>
      <c r="NQN42" s="119"/>
      <c r="NQO42" s="119"/>
      <c r="NQP42" s="119"/>
      <c r="NQQ42" s="119"/>
      <c r="NQR42" s="119"/>
      <c r="NQS42" s="119"/>
      <c r="NQT42" s="119"/>
      <c r="NQU42" s="119"/>
      <c r="NQV42" s="119"/>
      <c r="NQW42" s="119"/>
      <c r="NQX42" s="119"/>
      <c r="NQY42" s="119"/>
      <c r="NQZ42" s="119"/>
      <c r="NRA42" s="119"/>
      <c r="NRB42" s="119"/>
      <c r="NRC42" s="119"/>
      <c r="NRD42" s="119"/>
      <c r="NRE42" s="119"/>
      <c r="NRF42" s="119"/>
      <c r="NRG42" s="119"/>
      <c r="NRH42" s="119"/>
      <c r="NRI42" s="119"/>
      <c r="NRJ42" s="119"/>
      <c r="NRK42" s="119"/>
      <c r="NRL42" s="119"/>
      <c r="NRM42" s="119"/>
      <c r="NRN42" s="119"/>
      <c r="NRO42" s="119"/>
      <c r="NRP42" s="119"/>
      <c r="NRQ42" s="119"/>
      <c r="NRR42" s="119"/>
      <c r="NRS42" s="119"/>
      <c r="NRT42" s="119"/>
      <c r="NRU42" s="119"/>
      <c r="NRV42" s="119"/>
      <c r="NRW42" s="119"/>
      <c r="NRX42" s="119"/>
      <c r="NRY42" s="119"/>
      <c r="NRZ42" s="119"/>
      <c r="NSA42" s="119"/>
      <c r="NSB42" s="119"/>
      <c r="NSC42" s="119"/>
      <c r="NSD42" s="119"/>
      <c r="NSE42" s="119"/>
      <c r="NSF42" s="119"/>
      <c r="NSG42" s="119"/>
      <c r="NSH42" s="119"/>
      <c r="NSI42" s="119"/>
      <c r="NSJ42" s="119"/>
      <c r="NSK42" s="119"/>
      <c r="NSL42" s="119"/>
      <c r="NSM42" s="119"/>
      <c r="NSN42" s="119"/>
      <c r="NSO42" s="119"/>
      <c r="NSP42" s="119"/>
      <c r="NSQ42" s="119"/>
      <c r="NSR42" s="119"/>
      <c r="NSS42" s="119"/>
      <c r="NST42" s="119"/>
      <c r="NSU42" s="119"/>
      <c r="NSV42" s="119"/>
      <c r="NSW42" s="119"/>
      <c r="NSX42" s="119"/>
      <c r="NSY42" s="119"/>
      <c r="NSZ42" s="119"/>
      <c r="NTA42" s="119"/>
      <c r="NTB42" s="119"/>
      <c r="NTC42" s="119"/>
      <c r="NTD42" s="119"/>
      <c r="NTE42" s="119"/>
      <c r="NTF42" s="119"/>
      <c r="NTG42" s="119"/>
      <c r="NTH42" s="119"/>
      <c r="NTI42" s="119"/>
      <c r="NTJ42" s="119"/>
      <c r="NTK42" s="119"/>
      <c r="NTL42" s="119"/>
      <c r="NTM42" s="119"/>
      <c r="NTN42" s="119"/>
      <c r="NTO42" s="119"/>
      <c r="NTP42" s="119"/>
      <c r="NTQ42" s="119"/>
      <c r="NTR42" s="119"/>
      <c r="NTS42" s="119"/>
      <c r="NTT42" s="119"/>
      <c r="NTU42" s="119"/>
      <c r="NTV42" s="119"/>
      <c r="NTW42" s="119"/>
      <c r="NTX42" s="119"/>
      <c r="NTY42" s="119"/>
      <c r="NTZ42" s="119"/>
      <c r="NUA42" s="119"/>
      <c r="NUB42" s="119"/>
      <c r="NUC42" s="119"/>
      <c r="NUD42" s="119"/>
      <c r="NUE42" s="119"/>
      <c r="NUF42" s="119"/>
      <c r="NUG42" s="119"/>
      <c r="NUH42" s="119"/>
      <c r="NUI42" s="119"/>
      <c r="NUJ42" s="119"/>
      <c r="NUK42" s="119"/>
      <c r="NUL42" s="119"/>
      <c r="NUM42" s="119"/>
      <c r="NUN42" s="119"/>
      <c r="NUO42" s="119"/>
      <c r="NUP42" s="119"/>
      <c r="NUQ42" s="119"/>
      <c r="NUR42" s="119"/>
      <c r="NUS42" s="119"/>
      <c r="NUT42" s="119"/>
      <c r="NUU42" s="119"/>
      <c r="NUV42" s="119"/>
      <c r="NUW42" s="119"/>
      <c r="NUX42" s="119"/>
      <c r="NUY42" s="119"/>
      <c r="NUZ42" s="119"/>
      <c r="NVA42" s="119"/>
      <c r="NVB42" s="119"/>
      <c r="NVC42" s="119"/>
      <c r="NVD42" s="119"/>
      <c r="NVE42" s="119"/>
      <c r="NVF42" s="119"/>
      <c r="NVG42" s="119"/>
      <c r="NVH42" s="119"/>
      <c r="NVI42" s="119"/>
      <c r="NVJ42" s="119"/>
      <c r="NVK42" s="119"/>
      <c r="NVL42" s="119"/>
      <c r="NVM42" s="119"/>
      <c r="NVN42" s="119"/>
      <c r="NVO42" s="119"/>
      <c r="NVP42" s="119"/>
      <c r="NVQ42" s="119"/>
      <c r="NVR42" s="119"/>
      <c r="NVS42" s="119"/>
      <c r="NVT42" s="119"/>
      <c r="NVU42" s="119"/>
      <c r="NVV42" s="119"/>
      <c r="NVW42" s="119"/>
      <c r="NVX42" s="119"/>
      <c r="NVY42" s="119"/>
      <c r="NVZ42" s="119"/>
      <c r="NWA42" s="119"/>
      <c r="NWB42" s="119"/>
      <c r="NWC42" s="119"/>
      <c r="NWD42" s="119"/>
      <c r="NWE42" s="119"/>
      <c r="NWF42" s="119"/>
      <c r="NWG42" s="119"/>
      <c r="NWH42" s="119"/>
      <c r="NWI42" s="119"/>
      <c r="NWJ42" s="119"/>
      <c r="NWK42" s="119"/>
      <c r="NWL42" s="119"/>
      <c r="NWM42" s="119"/>
      <c r="NWN42" s="119"/>
      <c r="NWO42" s="119"/>
      <c r="NWP42" s="119"/>
      <c r="NWQ42" s="119"/>
      <c r="NWR42" s="119"/>
      <c r="NWS42" s="119"/>
      <c r="NWT42" s="119"/>
      <c r="NWU42" s="119"/>
      <c r="NWV42" s="119"/>
      <c r="NWW42" s="119"/>
      <c r="NWX42" s="119"/>
      <c r="NWY42" s="119"/>
      <c r="NWZ42" s="119"/>
      <c r="NXA42" s="119"/>
      <c r="NXB42" s="119"/>
      <c r="NXC42" s="119"/>
      <c r="NXD42" s="119"/>
      <c r="NXE42" s="119"/>
      <c r="NXF42" s="119"/>
      <c r="NXG42" s="119"/>
      <c r="NXH42" s="119"/>
      <c r="NXI42" s="119"/>
      <c r="NXJ42" s="119"/>
      <c r="NXK42" s="119"/>
      <c r="NXL42" s="119"/>
      <c r="NXM42" s="119"/>
      <c r="NXN42" s="119"/>
      <c r="NXO42" s="119"/>
      <c r="NXP42" s="119"/>
      <c r="NXQ42" s="119"/>
      <c r="NXR42" s="119"/>
      <c r="NXS42" s="119"/>
      <c r="NXT42" s="119"/>
      <c r="NXU42" s="119"/>
      <c r="NXV42" s="119"/>
      <c r="NXW42" s="119"/>
      <c r="NXX42" s="119"/>
      <c r="NXY42" s="119"/>
      <c r="NXZ42" s="119"/>
      <c r="NYA42" s="119"/>
      <c r="NYB42" s="119"/>
      <c r="NYC42" s="119"/>
      <c r="NYD42" s="119"/>
      <c r="NYE42" s="119"/>
      <c r="NYF42" s="119"/>
      <c r="NYG42" s="119"/>
      <c r="NYH42" s="119"/>
      <c r="NYI42" s="119"/>
      <c r="NYJ42" s="119"/>
      <c r="NYK42" s="119"/>
      <c r="NYL42" s="119"/>
      <c r="NYM42" s="119"/>
      <c r="NYN42" s="119"/>
      <c r="NYO42" s="119"/>
      <c r="NYP42" s="119"/>
      <c r="NYQ42" s="119"/>
      <c r="NYR42" s="119"/>
      <c r="NYS42" s="119"/>
      <c r="NYT42" s="119"/>
      <c r="NYU42" s="119"/>
      <c r="NYV42" s="119"/>
      <c r="NYW42" s="119"/>
      <c r="NYX42" s="119"/>
      <c r="NYY42" s="119"/>
      <c r="NYZ42" s="119"/>
      <c r="NZA42" s="119"/>
      <c r="NZB42" s="119"/>
      <c r="NZC42" s="119"/>
      <c r="NZD42" s="119"/>
      <c r="NZE42" s="119"/>
      <c r="NZF42" s="119"/>
      <c r="NZG42" s="119"/>
      <c r="NZH42" s="119"/>
      <c r="NZI42" s="119"/>
      <c r="NZJ42" s="119"/>
      <c r="NZK42" s="119"/>
      <c r="NZL42" s="119"/>
      <c r="NZM42" s="119"/>
      <c r="NZN42" s="119"/>
      <c r="NZO42" s="119"/>
      <c r="NZP42" s="119"/>
      <c r="NZQ42" s="119"/>
      <c r="NZR42" s="119"/>
      <c r="NZS42" s="119"/>
      <c r="NZT42" s="119"/>
      <c r="NZU42" s="119"/>
      <c r="NZV42" s="119"/>
      <c r="NZW42" s="119"/>
      <c r="NZX42" s="119"/>
      <c r="NZY42" s="119"/>
      <c r="NZZ42" s="119"/>
      <c r="OAA42" s="119"/>
      <c r="OAB42" s="119"/>
      <c r="OAC42" s="119"/>
      <c r="OAD42" s="119"/>
      <c r="OAE42" s="119"/>
      <c r="OAF42" s="119"/>
      <c r="OAG42" s="119"/>
      <c r="OAH42" s="119"/>
      <c r="OAI42" s="119"/>
      <c r="OAJ42" s="119"/>
      <c r="OAK42" s="119"/>
      <c r="OAL42" s="119"/>
      <c r="OAM42" s="119"/>
      <c r="OAN42" s="119"/>
      <c r="OAO42" s="119"/>
      <c r="OAP42" s="119"/>
      <c r="OAQ42" s="119"/>
      <c r="OAR42" s="119"/>
      <c r="OAS42" s="119"/>
      <c r="OAT42" s="119"/>
      <c r="OAU42" s="119"/>
      <c r="OAV42" s="119"/>
      <c r="OAW42" s="119"/>
      <c r="OAX42" s="119"/>
      <c r="OAY42" s="119"/>
      <c r="OAZ42" s="119"/>
      <c r="OBA42" s="119"/>
      <c r="OBB42" s="119"/>
      <c r="OBC42" s="119"/>
      <c r="OBD42" s="119"/>
      <c r="OBE42" s="119"/>
      <c r="OBF42" s="119"/>
      <c r="OBG42" s="119"/>
      <c r="OBH42" s="119"/>
      <c r="OBI42" s="119"/>
      <c r="OBJ42" s="119"/>
      <c r="OBK42" s="119"/>
      <c r="OBL42" s="119"/>
      <c r="OBM42" s="119"/>
      <c r="OBN42" s="119"/>
      <c r="OBO42" s="119"/>
      <c r="OBP42" s="119"/>
      <c r="OBQ42" s="119"/>
      <c r="OBR42" s="119"/>
      <c r="OBS42" s="119"/>
      <c r="OBT42" s="119"/>
      <c r="OBU42" s="119"/>
      <c r="OBV42" s="119"/>
      <c r="OBW42" s="119"/>
      <c r="OBX42" s="119"/>
      <c r="OBY42" s="119"/>
      <c r="OBZ42" s="119"/>
      <c r="OCA42" s="119"/>
      <c r="OCB42" s="119"/>
      <c r="OCC42" s="119"/>
      <c r="OCD42" s="119"/>
      <c r="OCE42" s="119"/>
      <c r="OCF42" s="119"/>
      <c r="OCG42" s="119"/>
      <c r="OCH42" s="119"/>
      <c r="OCI42" s="119"/>
      <c r="OCJ42" s="119"/>
      <c r="OCK42" s="119"/>
      <c r="OCL42" s="119"/>
      <c r="OCM42" s="119"/>
      <c r="OCN42" s="119"/>
      <c r="OCO42" s="119"/>
      <c r="OCP42" s="119"/>
      <c r="OCQ42" s="119"/>
      <c r="OCR42" s="119"/>
      <c r="OCS42" s="119"/>
      <c r="OCT42" s="119"/>
      <c r="OCU42" s="119"/>
      <c r="OCV42" s="119"/>
      <c r="OCW42" s="119"/>
      <c r="OCX42" s="119"/>
      <c r="OCY42" s="119"/>
      <c r="OCZ42" s="119"/>
      <c r="ODA42" s="119"/>
      <c r="ODB42" s="119"/>
      <c r="ODC42" s="119"/>
      <c r="ODD42" s="119"/>
      <c r="ODE42" s="119"/>
      <c r="ODF42" s="119"/>
      <c r="ODG42" s="119"/>
      <c r="ODH42" s="119"/>
      <c r="ODI42" s="119"/>
      <c r="ODJ42" s="119"/>
      <c r="ODK42" s="119"/>
      <c r="ODL42" s="119"/>
      <c r="ODM42" s="119"/>
      <c r="ODN42" s="119"/>
      <c r="ODO42" s="119"/>
      <c r="ODP42" s="119"/>
      <c r="ODQ42" s="119"/>
      <c r="ODR42" s="119"/>
      <c r="ODS42" s="119"/>
      <c r="ODT42" s="119"/>
      <c r="ODU42" s="119"/>
      <c r="ODV42" s="119"/>
      <c r="ODW42" s="119"/>
      <c r="ODX42" s="119"/>
      <c r="ODY42" s="119"/>
      <c r="ODZ42" s="119"/>
      <c r="OEA42" s="119"/>
      <c r="OEB42" s="119"/>
      <c r="OEC42" s="119"/>
      <c r="OED42" s="119"/>
      <c r="OEE42" s="119"/>
      <c r="OEF42" s="119"/>
      <c r="OEG42" s="119"/>
      <c r="OEH42" s="119"/>
      <c r="OEI42" s="119"/>
      <c r="OEJ42" s="119"/>
      <c r="OEK42" s="119"/>
      <c r="OEL42" s="119"/>
      <c r="OEM42" s="119"/>
      <c r="OEN42" s="119"/>
      <c r="OEO42" s="119"/>
      <c r="OEP42" s="119"/>
      <c r="OEQ42" s="119"/>
      <c r="OER42" s="119"/>
      <c r="OES42" s="119"/>
      <c r="OET42" s="119"/>
      <c r="OEU42" s="119"/>
      <c r="OEV42" s="119"/>
      <c r="OEW42" s="119"/>
      <c r="OEX42" s="119"/>
      <c r="OEY42" s="119"/>
      <c r="OEZ42" s="119"/>
      <c r="OFA42" s="119"/>
      <c r="OFB42" s="119"/>
      <c r="OFC42" s="119"/>
      <c r="OFD42" s="119"/>
      <c r="OFE42" s="119"/>
      <c r="OFF42" s="119"/>
      <c r="OFG42" s="119"/>
      <c r="OFH42" s="119"/>
      <c r="OFI42" s="119"/>
      <c r="OFJ42" s="119"/>
      <c r="OFK42" s="119"/>
      <c r="OFL42" s="119"/>
      <c r="OFM42" s="119"/>
      <c r="OFN42" s="119"/>
      <c r="OFO42" s="119"/>
      <c r="OFP42" s="119"/>
      <c r="OFQ42" s="119"/>
      <c r="OFR42" s="119"/>
      <c r="OFS42" s="119"/>
      <c r="OFT42" s="119"/>
      <c r="OFU42" s="119"/>
      <c r="OFV42" s="119"/>
      <c r="OFW42" s="119"/>
      <c r="OFX42" s="119"/>
      <c r="OFY42" s="119"/>
      <c r="OFZ42" s="119"/>
      <c r="OGA42" s="119"/>
      <c r="OGB42" s="119"/>
      <c r="OGC42" s="119"/>
      <c r="OGD42" s="119"/>
      <c r="OGE42" s="119"/>
      <c r="OGF42" s="119"/>
      <c r="OGG42" s="119"/>
      <c r="OGH42" s="119"/>
      <c r="OGI42" s="119"/>
      <c r="OGJ42" s="119"/>
      <c r="OGK42" s="119"/>
      <c r="OGL42" s="119"/>
      <c r="OGM42" s="119"/>
      <c r="OGN42" s="119"/>
      <c r="OGO42" s="119"/>
      <c r="OGP42" s="119"/>
      <c r="OGQ42" s="119"/>
      <c r="OGR42" s="119"/>
      <c r="OGS42" s="119"/>
      <c r="OGT42" s="119"/>
      <c r="OGU42" s="119"/>
      <c r="OGV42" s="119"/>
      <c r="OGW42" s="119"/>
      <c r="OGX42" s="119"/>
      <c r="OGY42" s="119"/>
      <c r="OGZ42" s="119"/>
      <c r="OHA42" s="119"/>
      <c r="OHB42" s="119"/>
      <c r="OHC42" s="119"/>
      <c r="OHD42" s="119"/>
      <c r="OHE42" s="119"/>
      <c r="OHF42" s="119"/>
      <c r="OHG42" s="119"/>
      <c r="OHH42" s="119"/>
      <c r="OHI42" s="119"/>
      <c r="OHJ42" s="119"/>
      <c r="OHK42" s="119"/>
      <c r="OHL42" s="119"/>
      <c r="OHM42" s="119"/>
      <c r="OHN42" s="119"/>
      <c r="OHO42" s="119"/>
      <c r="OHP42" s="119"/>
      <c r="OHQ42" s="119"/>
      <c r="OHR42" s="119"/>
      <c r="OHS42" s="119"/>
      <c r="OHT42" s="119"/>
      <c r="OHU42" s="119"/>
      <c r="OHV42" s="119"/>
      <c r="OHW42" s="119"/>
      <c r="OHX42" s="119"/>
      <c r="OHY42" s="119"/>
      <c r="OHZ42" s="119"/>
      <c r="OIA42" s="119"/>
      <c r="OIB42" s="119"/>
      <c r="OIC42" s="119"/>
      <c r="OID42" s="119"/>
      <c r="OIE42" s="119"/>
      <c r="OIF42" s="119"/>
      <c r="OIG42" s="119"/>
      <c r="OIH42" s="119"/>
      <c r="OII42" s="119"/>
      <c r="OIJ42" s="119"/>
      <c r="OIK42" s="119"/>
      <c r="OIL42" s="119"/>
      <c r="OIM42" s="119"/>
      <c r="OIN42" s="119"/>
      <c r="OIO42" s="119"/>
      <c r="OIP42" s="119"/>
      <c r="OIQ42" s="119"/>
      <c r="OIR42" s="119"/>
      <c r="OIS42" s="119"/>
      <c r="OIT42" s="119"/>
      <c r="OIU42" s="119"/>
      <c r="OIV42" s="119"/>
      <c r="OIW42" s="119"/>
      <c r="OIX42" s="119"/>
      <c r="OIY42" s="119"/>
      <c r="OIZ42" s="119"/>
      <c r="OJA42" s="119"/>
      <c r="OJB42" s="119"/>
      <c r="OJC42" s="119"/>
      <c r="OJD42" s="119"/>
      <c r="OJE42" s="119"/>
      <c r="OJF42" s="119"/>
      <c r="OJG42" s="119"/>
      <c r="OJH42" s="119"/>
      <c r="OJI42" s="119"/>
      <c r="OJJ42" s="119"/>
      <c r="OJK42" s="119"/>
      <c r="OJL42" s="119"/>
      <c r="OJM42" s="119"/>
      <c r="OJN42" s="119"/>
      <c r="OJO42" s="119"/>
      <c r="OJP42" s="119"/>
      <c r="OJQ42" s="119"/>
      <c r="OJR42" s="119"/>
      <c r="OJS42" s="119"/>
      <c r="OJT42" s="119"/>
      <c r="OJU42" s="119"/>
      <c r="OJV42" s="119"/>
      <c r="OJW42" s="119"/>
      <c r="OJX42" s="119"/>
      <c r="OJY42" s="119"/>
      <c r="OJZ42" s="119"/>
      <c r="OKA42" s="119"/>
      <c r="OKB42" s="119"/>
      <c r="OKC42" s="119"/>
      <c r="OKD42" s="119"/>
      <c r="OKE42" s="119"/>
      <c r="OKF42" s="119"/>
      <c r="OKG42" s="119"/>
      <c r="OKH42" s="119"/>
      <c r="OKI42" s="119"/>
      <c r="OKJ42" s="119"/>
      <c r="OKK42" s="119"/>
      <c r="OKL42" s="119"/>
      <c r="OKM42" s="119"/>
      <c r="OKN42" s="119"/>
      <c r="OKO42" s="119"/>
      <c r="OKP42" s="119"/>
      <c r="OKQ42" s="119"/>
      <c r="OKR42" s="119"/>
      <c r="OKS42" s="119"/>
      <c r="OKT42" s="119"/>
      <c r="OKU42" s="119"/>
      <c r="OKV42" s="119"/>
      <c r="OKW42" s="119"/>
      <c r="OKX42" s="119"/>
      <c r="OKY42" s="119"/>
      <c r="OKZ42" s="119"/>
      <c r="OLA42" s="119"/>
      <c r="OLB42" s="119"/>
      <c r="OLC42" s="119"/>
      <c r="OLD42" s="119"/>
      <c r="OLE42" s="119"/>
      <c r="OLF42" s="119"/>
      <c r="OLG42" s="119"/>
      <c r="OLH42" s="119"/>
      <c r="OLI42" s="119"/>
      <c r="OLJ42" s="119"/>
      <c r="OLK42" s="119"/>
      <c r="OLL42" s="119"/>
      <c r="OLM42" s="119"/>
      <c r="OLN42" s="119"/>
      <c r="OLO42" s="119"/>
      <c r="OLP42" s="119"/>
      <c r="OLQ42" s="119"/>
      <c r="OLR42" s="119"/>
      <c r="OLS42" s="119"/>
      <c r="OLT42" s="119"/>
      <c r="OLU42" s="119"/>
      <c r="OLV42" s="119"/>
      <c r="OLW42" s="119"/>
      <c r="OLX42" s="119"/>
      <c r="OLY42" s="119"/>
      <c r="OLZ42" s="119"/>
      <c r="OMA42" s="119"/>
      <c r="OMB42" s="119"/>
      <c r="OMC42" s="119"/>
      <c r="OMD42" s="119"/>
      <c r="OME42" s="119"/>
      <c r="OMF42" s="119"/>
      <c r="OMG42" s="119"/>
      <c r="OMH42" s="119"/>
      <c r="OMI42" s="119"/>
      <c r="OMJ42" s="119"/>
      <c r="OMK42" s="119"/>
      <c r="OML42" s="119"/>
      <c r="OMM42" s="119"/>
      <c r="OMN42" s="119"/>
      <c r="OMO42" s="119"/>
      <c r="OMP42" s="119"/>
      <c r="OMQ42" s="119"/>
      <c r="OMR42" s="119"/>
      <c r="OMS42" s="119"/>
      <c r="OMT42" s="119"/>
      <c r="OMU42" s="119"/>
      <c r="OMV42" s="119"/>
      <c r="OMW42" s="119"/>
      <c r="OMX42" s="119"/>
      <c r="OMY42" s="119"/>
      <c r="OMZ42" s="119"/>
      <c r="ONA42" s="119"/>
      <c r="ONB42" s="119"/>
      <c r="ONC42" s="119"/>
      <c r="OND42" s="119"/>
      <c r="ONE42" s="119"/>
      <c r="ONF42" s="119"/>
      <c r="ONG42" s="119"/>
      <c r="ONH42" s="119"/>
      <c r="ONI42" s="119"/>
      <c r="ONJ42" s="119"/>
      <c r="ONK42" s="119"/>
      <c r="ONL42" s="119"/>
      <c r="ONM42" s="119"/>
      <c r="ONN42" s="119"/>
      <c r="ONO42" s="119"/>
      <c r="ONP42" s="119"/>
      <c r="ONQ42" s="119"/>
      <c r="ONR42" s="119"/>
      <c r="ONS42" s="119"/>
      <c r="ONT42" s="119"/>
      <c r="ONU42" s="119"/>
      <c r="ONV42" s="119"/>
      <c r="ONW42" s="119"/>
      <c r="ONX42" s="119"/>
      <c r="ONY42" s="119"/>
      <c r="ONZ42" s="119"/>
      <c r="OOA42" s="119"/>
      <c r="OOB42" s="119"/>
      <c r="OOC42" s="119"/>
      <c r="OOD42" s="119"/>
      <c r="OOE42" s="119"/>
      <c r="OOF42" s="119"/>
      <c r="OOG42" s="119"/>
      <c r="OOH42" s="119"/>
      <c r="OOI42" s="119"/>
      <c r="OOJ42" s="119"/>
      <c r="OOK42" s="119"/>
      <c r="OOL42" s="119"/>
      <c r="OOM42" s="119"/>
      <c r="OON42" s="119"/>
      <c r="OOO42" s="119"/>
      <c r="OOP42" s="119"/>
      <c r="OOQ42" s="119"/>
      <c r="OOR42" s="119"/>
      <c r="OOS42" s="119"/>
      <c r="OOT42" s="119"/>
      <c r="OOU42" s="119"/>
      <c r="OOV42" s="119"/>
      <c r="OOW42" s="119"/>
      <c r="OOX42" s="119"/>
      <c r="OOY42" s="119"/>
      <c r="OOZ42" s="119"/>
      <c r="OPA42" s="119"/>
      <c r="OPB42" s="119"/>
      <c r="OPC42" s="119"/>
      <c r="OPD42" s="119"/>
      <c r="OPE42" s="119"/>
      <c r="OPF42" s="119"/>
      <c r="OPG42" s="119"/>
      <c r="OPH42" s="119"/>
      <c r="OPI42" s="119"/>
      <c r="OPJ42" s="119"/>
      <c r="OPK42" s="119"/>
      <c r="OPL42" s="119"/>
      <c r="OPM42" s="119"/>
      <c r="OPN42" s="119"/>
      <c r="OPO42" s="119"/>
      <c r="OPP42" s="119"/>
      <c r="OPQ42" s="119"/>
      <c r="OPR42" s="119"/>
      <c r="OPS42" s="119"/>
      <c r="OPT42" s="119"/>
      <c r="OPU42" s="119"/>
      <c r="OPV42" s="119"/>
      <c r="OPW42" s="119"/>
      <c r="OPX42" s="119"/>
      <c r="OPY42" s="119"/>
      <c r="OPZ42" s="119"/>
      <c r="OQA42" s="119"/>
      <c r="OQB42" s="119"/>
      <c r="OQC42" s="119"/>
      <c r="OQD42" s="119"/>
      <c r="OQE42" s="119"/>
      <c r="OQF42" s="119"/>
      <c r="OQG42" s="119"/>
      <c r="OQH42" s="119"/>
      <c r="OQI42" s="119"/>
      <c r="OQJ42" s="119"/>
      <c r="OQK42" s="119"/>
      <c r="OQL42" s="119"/>
      <c r="OQM42" s="119"/>
      <c r="OQN42" s="119"/>
      <c r="OQO42" s="119"/>
      <c r="OQP42" s="119"/>
      <c r="OQQ42" s="119"/>
      <c r="OQR42" s="119"/>
      <c r="OQS42" s="119"/>
      <c r="OQT42" s="119"/>
      <c r="OQU42" s="119"/>
      <c r="OQV42" s="119"/>
      <c r="OQW42" s="119"/>
      <c r="OQX42" s="119"/>
      <c r="OQY42" s="119"/>
      <c r="OQZ42" s="119"/>
      <c r="ORA42" s="119"/>
      <c r="ORB42" s="119"/>
      <c r="ORC42" s="119"/>
      <c r="ORD42" s="119"/>
      <c r="ORE42" s="119"/>
      <c r="ORF42" s="119"/>
      <c r="ORG42" s="119"/>
      <c r="ORH42" s="119"/>
      <c r="ORI42" s="119"/>
      <c r="ORJ42" s="119"/>
      <c r="ORK42" s="119"/>
      <c r="ORL42" s="119"/>
      <c r="ORM42" s="119"/>
      <c r="ORN42" s="119"/>
      <c r="ORO42" s="119"/>
      <c r="ORP42" s="119"/>
      <c r="ORQ42" s="119"/>
      <c r="ORR42" s="119"/>
      <c r="ORS42" s="119"/>
      <c r="ORT42" s="119"/>
      <c r="ORU42" s="119"/>
      <c r="ORV42" s="119"/>
      <c r="ORW42" s="119"/>
      <c r="ORX42" s="119"/>
      <c r="ORY42" s="119"/>
      <c r="ORZ42" s="119"/>
      <c r="OSA42" s="119"/>
      <c r="OSB42" s="119"/>
      <c r="OSC42" s="119"/>
      <c r="OSD42" s="119"/>
      <c r="OSE42" s="119"/>
      <c r="OSF42" s="119"/>
      <c r="OSG42" s="119"/>
      <c r="OSH42" s="119"/>
      <c r="OSI42" s="119"/>
      <c r="OSJ42" s="119"/>
      <c r="OSK42" s="119"/>
      <c r="OSL42" s="119"/>
      <c r="OSM42" s="119"/>
      <c r="OSN42" s="119"/>
      <c r="OSO42" s="119"/>
      <c r="OSP42" s="119"/>
      <c r="OSQ42" s="119"/>
      <c r="OSR42" s="119"/>
      <c r="OSS42" s="119"/>
      <c r="OST42" s="119"/>
      <c r="OSU42" s="119"/>
      <c r="OSV42" s="119"/>
      <c r="OSW42" s="119"/>
      <c r="OSX42" s="119"/>
      <c r="OSY42" s="119"/>
      <c r="OSZ42" s="119"/>
      <c r="OTA42" s="119"/>
      <c r="OTB42" s="119"/>
      <c r="OTC42" s="119"/>
      <c r="OTD42" s="119"/>
      <c r="OTE42" s="119"/>
      <c r="OTF42" s="119"/>
      <c r="OTG42" s="119"/>
      <c r="OTH42" s="119"/>
      <c r="OTI42" s="119"/>
      <c r="OTJ42" s="119"/>
      <c r="OTK42" s="119"/>
      <c r="OTL42" s="119"/>
      <c r="OTM42" s="119"/>
      <c r="OTN42" s="119"/>
      <c r="OTO42" s="119"/>
      <c r="OTP42" s="119"/>
      <c r="OTQ42" s="119"/>
      <c r="OTR42" s="119"/>
      <c r="OTS42" s="119"/>
      <c r="OTT42" s="119"/>
      <c r="OTU42" s="119"/>
      <c r="OTV42" s="119"/>
      <c r="OTW42" s="119"/>
      <c r="OTX42" s="119"/>
      <c r="OTY42" s="119"/>
      <c r="OTZ42" s="119"/>
      <c r="OUA42" s="119"/>
      <c r="OUB42" s="119"/>
      <c r="OUC42" s="119"/>
      <c r="OUD42" s="119"/>
      <c r="OUE42" s="119"/>
      <c r="OUF42" s="119"/>
      <c r="OUG42" s="119"/>
      <c r="OUH42" s="119"/>
      <c r="OUI42" s="119"/>
      <c r="OUJ42" s="119"/>
      <c r="OUK42" s="119"/>
      <c r="OUL42" s="119"/>
      <c r="OUM42" s="119"/>
      <c r="OUN42" s="119"/>
      <c r="OUO42" s="119"/>
      <c r="OUP42" s="119"/>
      <c r="OUQ42" s="119"/>
      <c r="OUR42" s="119"/>
      <c r="OUS42" s="119"/>
      <c r="OUT42" s="119"/>
      <c r="OUU42" s="119"/>
      <c r="OUV42" s="119"/>
      <c r="OUW42" s="119"/>
      <c r="OUX42" s="119"/>
      <c r="OUY42" s="119"/>
      <c r="OUZ42" s="119"/>
      <c r="OVA42" s="119"/>
      <c r="OVB42" s="119"/>
      <c r="OVC42" s="119"/>
      <c r="OVD42" s="119"/>
      <c r="OVE42" s="119"/>
      <c r="OVF42" s="119"/>
      <c r="OVG42" s="119"/>
      <c r="OVH42" s="119"/>
      <c r="OVI42" s="119"/>
      <c r="OVJ42" s="119"/>
      <c r="OVK42" s="119"/>
      <c r="OVL42" s="119"/>
      <c r="OVM42" s="119"/>
      <c r="OVN42" s="119"/>
      <c r="OVO42" s="119"/>
      <c r="OVP42" s="119"/>
      <c r="OVQ42" s="119"/>
      <c r="OVR42" s="119"/>
      <c r="OVS42" s="119"/>
      <c r="OVT42" s="119"/>
      <c r="OVU42" s="119"/>
      <c r="OVV42" s="119"/>
      <c r="OVW42" s="119"/>
      <c r="OVX42" s="119"/>
      <c r="OVY42" s="119"/>
      <c r="OVZ42" s="119"/>
      <c r="OWA42" s="119"/>
      <c r="OWB42" s="119"/>
      <c r="OWC42" s="119"/>
      <c r="OWD42" s="119"/>
      <c r="OWE42" s="119"/>
      <c r="OWF42" s="119"/>
      <c r="OWG42" s="119"/>
      <c r="OWH42" s="119"/>
      <c r="OWI42" s="119"/>
      <c r="OWJ42" s="119"/>
      <c r="OWK42" s="119"/>
      <c r="OWL42" s="119"/>
      <c r="OWM42" s="119"/>
      <c r="OWN42" s="119"/>
      <c r="OWO42" s="119"/>
      <c r="OWP42" s="119"/>
      <c r="OWQ42" s="119"/>
      <c r="OWR42" s="119"/>
      <c r="OWS42" s="119"/>
      <c r="OWT42" s="119"/>
      <c r="OWU42" s="119"/>
      <c r="OWV42" s="119"/>
      <c r="OWW42" s="119"/>
      <c r="OWX42" s="119"/>
      <c r="OWY42" s="119"/>
      <c r="OWZ42" s="119"/>
      <c r="OXA42" s="119"/>
      <c r="OXB42" s="119"/>
      <c r="OXC42" s="119"/>
      <c r="OXD42" s="119"/>
      <c r="OXE42" s="119"/>
      <c r="OXF42" s="119"/>
      <c r="OXG42" s="119"/>
      <c r="OXH42" s="119"/>
      <c r="OXI42" s="119"/>
      <c r="OXJ42" s="119"/>
      <c r="OXK42" s="119"/>
      <c r="OXL42" s="119"/>
      <c r="OXM42" s="119"/>
      <c r="OXN42" s="119"/>
      <c r="OXO42" s="119"/>
      <c r="OXP42" s="119"/>
      <c r="OXQ42" s="119"/>
      <c r="OXR42" s="119"/>
      <c r="OXS42" s="119"/>
      <c r="OXT42" s="119"/>
      <c r="OXU42" s="119"/>
      <c r="OXV42" s="119"/>
      <c r="OXW42" s="119"/>
      <c r="OXX42" s="119"/>
      <c r="OXY42" s="119"/>
      <c r="OXZ42" s="119"/>
      <c r="OYA42" s="119"/>
      <c r="OYB42" s="119"/>
      <c r="OYC42" s="119"/>
      <c r="OYD42" s="119"/>
      <c r="OYE42" s="119"/>
      <c r="OYF42" s="119"/>
      <c r="OYG42" s="119"/>
      <c r="OYH42" s="119"/>
      <c r="OYI42" s="119"/>
      <c r="OYJ42" s="119"/>
      <c r="OYK42" s="119"/>
      <c r="OYL42" s="119"/>
      <c r="OYM42" s="119"/>
      <c r="OYN42" s="119"/>
      <c r="OYO42" s="119"/>
      <c r="OYP42" s="119"/>
      <c r="OYQ42" s="119"/>
      <c r="OYR42" s="119"/>
      <c r="OYS42" s="119"/>
      <c r="OYT42" s="119"/>
      <c r="OYU42" s="119"/>
      <c r="OYV42" s="119"/>
      <c r="OYW42" s="119"/>
      <c r="OYX42" s="119"/>
      <c r="OYY42" s="119"/>
      <c r="OYZ42" s="119"/>
      <c r="OZA42" s="119"/>
      <c r="OZB42" s="119"/>
      <c r="OZC42" s="119"/>
      <c r="OZD42" s="119"/>
      <c r="OZE42" s="119"/>
      <c r="OZF42" s="119"/>
      <c r="OZG42" s="119"/>
      <c r="OZH42" s="119"/>
      <c r="OZI42" s="119"/>
      <c r="OZJ42" s="119"/>
      <c r="OZK42" s="119"/>
      <c r="OZL42" s="119"/>
      <c r="OZM42" s="119"/>
      <c r="OZN42" s="119"/>
      <c r="OZO42" s="119"/>
      <c r="OZP42" s="119"/>
      <c r="OZQ42" s="119"/>
      <c r="OZR42" s="119"/>
      <c r="OZS42" s="119"/>
      <c r="OZT42" s="119"/>
      <c r="OZU42" s="119"/>
      <c r="OZV42" s="119"/>
      <c r="OZW42" s="119"/>
      <c r="OZX42" s="119"/>
      <c r="OZY42" s="119"/>
      <c r="OZZ42" s="119"/>
      <c r="PAA42" s="119"/>
      <c r="PAB42" s="119"/>
      <c r="PAC42" s="119"/>
      <c r="PAD42" s="119"/>
      <c r="PAE42" s="119"/>
      <c r="PAF42" s="119"/>
      <c r="PAG42" s="119"/>
      <c r="PAH42" s="119"/>
      <c r="PAI42" s="119"/>
      <c r="PAJ42" s="119"/>
      <c r="PAK42" s="119"/>
      <c r="PAL42" s="119"/>
      <c r="PAM42" s="119"/>
      <c r="PAN42" s="119"/>
      <c r="PAO42" s="119"/>
      <c r="PAP42" s="119"/>
      <c r="PAQ42" s="119"/>
      <c r="PAR42" s="119"/>
      <c r="PAS42" s="119"/>
      <c r="PAT42" s="119"/>
      <c r="PAU42" s="119"/>
      <c r="PAV42" s="119"/>
      <c r="PAW42" s="119"/>
      <c r="PAX42" s="119"/>
      <c r="PAY42" s="119"/>
      <c r="PAZ42" s="119"/>
      <c r="PBA42" s="119"/>
      <c r="PBB42" s="119"/>
      <c r="PBC42" s="119"/>
      <c r="PBD42" s="119"/>
      <c r="PBE42" s="119"/>
      <c r="PBF42" s="119"/>
      <c r="PBG42" s="119"/>
      <c r="PBH42" s="119"/>
      <c r="PBI42" s="119"/>
      <c r="PBJ42" s="119"/>
      <c r="PBK42" s="119"/>
      <c r="PBL42" s="119"/>
      <c r="PBM42" s="119"/>
      <c r="PBN42" s="119"/>
      <c r="PBO42" s="119"/>
      <c r="PBP42" s="119"/>
      <c r="PBQ42" s="119"/>
      <c r="PBR42" s="119"/>
      <c r="PBS42" s="119"/>
      <c r="PBT42" s="119"/>
      <c r="PBU42" s="119"/>
      <c r="PBV42" s="119"/>
      <c r="PBW42" s="119"/>
      <c r="PBX42" s="119"/>
      <c r="PBY42" s="119"/>
      <c r="PBZ42" s="119"/>
      <c r="PCA42" s="119"/>
      <c r="PCB42" s="119"/>
      <c r="PCC42" s="119"/>
      <c r="PCD42" s="119"/>
      <c r="PCE42" s="119"/>
      <c r="PCF42" s="119"/>
      <c r="PCG42" s="119"/>
      <c r="PCH42" s="119"/>
      <c r="PCI42" s="119"/>
      <c r="PCJ42" s="119"/>
      <c r="PCK42" s="119"/>
      <c r="PCL42" s="119"/>
      <c r="PCM42" s="119"/>
      <c r="PCN42" s="119"/>
      <c r="PCO42" s="119"/>
      <c r="PCP42" s="119"/>
      <c r="PCQ42" s="119"/>
      <c r="PCR42" s="119"/>
      <c r="PCS42" s="119"/>
      <c r="PCT42" s="119"/>
      <c r="PCU42" s="119"/>
      <c r="PCV42" s="119"/>
      <c r="PCW42" s="119"/>
      <c r="PCX42" s="119"/>
      <c r="PCY42" s="119"/>
      <c r="PCZ42" s="119"/>
      <c r="PDA42" s="119"/>
      <c r="PDB42" s="119"/>
      <c r="PDC42" s="119"/>
      <c r="PDD42" s="119"/>
      <c r="PDE42" s="119"/>
      <c r="PDF42" s="119"/>
      <c r="PDG42" s="119"/>
      <c r="PDH42" s="119"/>
      <c r="PDI42" s="119"/>
      <c r="PDJ42" s="119"/>
      <c r="PDK42" s="119"/>
      <c r="PDL42" s="119"/>
      <c r="PDM42" s="119"/>
      <c r="PDN42" s="119"/>
      <c r="PDO42" s="119"/>
      <c r="PDP42" s="119"/>
      <c r="PDQ42" s="119"/>
      <c r="PDR42" s="119"/>
      <c r="PDS42" s="119"/>
      <c r="PDT42" s="119"/>
      <c r="PDU42" s="119"/>
      <c r="PDV42" s="119"/>
      <c r="PDW42" s="119"/>
      <c r="PDX42" s="119"/>
      <c r="PDY42" s="119"/>
      <c r="PDZ42" s="119"/>
      <c r="PEA42" s="119"/>
      <c r="PEB42" s="119"/>
      <c r="PEC42" s="119"/>
      <c r="PED42" s="119"/>
      <c r="PEE42" s="119"/>
      <c r="PEF42" s="119"/>
      <c r="PEG42" s="119"/>
      <c r="PEH42" s="119"/>
      <c r="PEI42" s="119"/>
      <c r="PEJ42" s="119"/>
      <c r="PEK42" s="119"/>
      <c r="PEL42" s="119"/>
      <c r="PEM42" s="119"/>
      <c r="PEN42" s="119"/>
      <c r="PEO42" s="119"/>
      <c r="PEP42" s="119"/>
      <c r="PEQ42" s="119"/>
      <c r="PER42" s="119"/>
      <c r="PES42" s="119"/>
      <c r="PET42" s="119"/>
      <c r="PEU42" s="119"/>
      <c r="PEV42" s="119"/>
      <c r="PEW42" s="119"/>
      <c r="PEX42" s="119"/>
      <c r="PEY42" s="119"/>
      <c r="PEZ42" s="119"/>
      <c r="PFA42" s="119"/>
      <c r="PFB42" s="119"/>
      <c r="PFC42" s="119"/>
      <c r="PFD42" s="119"/>
      <c r="PFE42" s="119"/>
      <c r="PFF42" s="119"/>
      <c r="PFG42" s="119"/>
      <c r="PFH42" s="119"/>
      <c r="PFI42" s="119"/>
      <c r="PFJ42" s="119"/>
      <c r="PFK42" s="119"/>
      <c r="PFL42" s="119"/>
      <c r="PFM42" s="119"/>
      <c r="PFN42" s="119"/>
      <c r="PFO42" s="119"/>
      <c r="PFP42" s="119"/>
      <c r="PFQ42" s="119"/>
      <c r="PFR42" s="119"/>
      <c r="PFS42" s="119"/>
      <c r="PFT42" s="119"/>
      <c r="PFU42" s="119"/>
      <c r="PFV42" s="119"/>
      <c r="PFW42" s="119"/>
      <c r="PFX42" s="119"/>
      <c r="PFY42" s="119"/>
      <c r="PFZ42" s="119"/>
      <c r="PGA42" s="119"/>
      <c r="PGB42" s="119"/>
      <c r="PGC42" s="119"/>
      <c r="PGD42" s="119"/>
      <c r="PGE42" s="119"/>
      <c r="PGF42" s="119"/>
      <c r="PGG42" s="119"/>
      <c r="PGH42" s="119"/>
      <c r="PGI42" s="119"/>
      <c r="PGJ42" s="119"/>
      <c r="PGK42" s="119"/>
      <c r="PGL42" s="119"/>
      <c r="PGM42" s="119"/>
      <c r="PGN42" s="119"/>
      <c r="PGO42" s="119"/>
      <c r="PGP42" s="119"/>
      <c r="PGQ42" s="119"/>
      <c r="PGR42" s="119"/>
      <c r="PGS42" s="119"/>
      <c r="PGT42" s="119"/>
      <c r="PGU42" s="119"/>
      <c r="PGV42" s="119"/>
      <c r="PGW42" s="119"/>
      <c r="PGX42" s="119"/>
      <c r="PGY42" s="119"/>
      <c r="PGZ42" s="119"/>
      <c r="PHA42" s="119"/>
      <c r="PHB42" s="119"/>
      <c r="PHC42" s="119"/>
      <c r="PHD42" s="119"/>
      <c r="PHE42" s="119"/>
      <c r="PHF42" s="119"/>
      <c r="PHG42" s="119"/>
      <c r="PHH42" s="119"/>
      <c r="PHI42" s="119"/>
      <c r="PHJ42" s="119"/>
      <c r="PHK42" s="119"/>
      <c r="PHL42" s="119"/>
      <c r="PHM42" s="119"/>
      <c r="PHN42" s="119"/>
      <c r="PHO42" s="119"/>
      <c r="PHP42" s="119"/>
      <c r="PHQ42" s="119"/>
      <c r="PHR42" s="119"/>
      <c r="PHS42" s="119"/>
      <c r="PHT42" s="119"/>
      <c r="PHU42" s="119"/>
      <c r="PHV42" s="119"/>
      <c r="PHW42" s="119"/>
      <c r="PHX42" s="119"/>
      <c r="PHY42" s="119"/>
      <c r="PHZ42" s="119"/>
      <c r="PIA42" s="119"/>
      <c r="PIB42" s="119"/>
      <c r="PIC42" s="119"/>
      <c r="PID42" s="119"/>
      <c r="PIE42" s="119"/>
      <c r="PIF42" s="119"/>
      <c r="PIG42" s="119"/>
      <c r="PIH42" s="119"/>
      <c r="PII42" s="119"/>
      <c r="PIJ42" s="119"/>
      <c r="PIK42" s="119"/>
      <c r="PIL42" s="119"/>
      <c r="PIM42" s="119"/>
      <c r="PIN42" s="119"/>
      <c r="PIO42" s="119"/>
      <c r="PIP42" s="119"/>
      <c r="PIQ42" s="119"/>
      <c r="PIR42" s="119"/>
      <c r="PIS42" s="119"/>
      <c r="PIT42" s="119"/>
      <c r="PIU42" s="119"/>
      <c r="PIV42" s="119"/>
      <c r="PIW42" s="119"/>
      <c r="PIX42" s="119"/>
      <c r="PIY42" s="119"/>
      <c r="PIZ42" s="119"/>
      <c r="PJA42" s="119"/>
      <c r="PJB42" s="119"/>
      <c r="PJC42" s="119"/>
      <c r="PJD42" s="119"/>
      <c r="PJE42" s="119"/>
      <c r="PJF42" s="119"/>
      <c r="PJG42" s="119"/>
      <c r="PJH42" s="119"/>
      <c r="PJI42" s="119"/>
      <c r="PJJ42" s="119"/>
      <c r="PJK42" s="119"/>
      <c r="PJL42" s="119"/>
      <c r="PJM42" s="119"/>
      <c r="PJN42" s="119"/>
      <c r="PJO42" s="119"/>
      <c r="PJP42" s="119"/>
      <c r="PJQ42" s="119"/>
      <c r="PJR42" s="119"/>
      <c r="PJS42" s="119"/>
      <c r="PJT42" s="119"/>
      <c r="PJU42" s="119"/>
      <c r="PJV42" s="119"/>
      <c r="PJW42" s="119"/>
      <c r="PJX42" s="119"/>
      <c r="PJY42" s="119"/>
      <c r="PJZ42" s="119"/>
      <c r="PKA42" s="119"/>
      <c r="PKB42" s="119"/>
      <c r="PKC42" s="119"/>
      <c r="PKD42" s="119"/>
      <c r="PKE42" s="119"/>
      <c r="PKF42" s="119"/>
      <c r="PKG42" s="119"/>
      <c r="PKH42" s="119"/>
      <c r="PKI42" s="119"/>
      <c r="PKJ42" s="119"/>
      <c r="PKK42" s="119"/>
      <c r="PKL42" s="119"/>
      <c r="PKM42" s="119"/>
      <c r="PKN42" s="119"/>
      <c r="PKO42" s="119"/>
      <c r="PKP42" s="119"/>
      <c r="PKQ42" s="119"/>
      <c r="PKR42" s="119"/>
      <c r="PKS42" s="119"/>
      <c r="PKT42" s="119"/>
      <c r="PKU42" s="119"/>
      <c r="PKV42" s="119"/>
      <c r="PKW42" s="119"/>
      <c r="PKX42" s="119"/>
      <c r="PKY42" s="119"/>
      <c r="PKZ42" s="119"/>
      <c r="PLA42" s="119"/>
      <c r="PLB42" s="119"/>
      <c r="PLC42" s="119"/>
      <c r="PLD42" s="119"/>
      <c r="PLE42" s="119"/>
      <c r="PLF42" s="119"/>
      <c r="PLG42" s="119"/>
      <c r="PLH42" s="119"/>
      <c r="PLI42" s="119"/>
      <c r="PLJ42" s="119"/>
      <c r="PLK42" s="119"/>
      <c r="PLL42" s="119"/>
      <c r="PLM42" s="119"/>
      <c r="PLN42" s="119"/>
      <c r="PLO42" s="119"/>
      <c r="PLP42" s="119"/>
      <c r="PLQ42" s="119"/>
      <c r="PLR42" s="119"/>
      <c r="PLS42" s="119"/>
      <c r="PLT42" s="119"/>
      <c r="PLU42" s="119"/>
      <c r="PLV42" s="119"/>
      <c r="PLW42" s="119"/>
      <c r="PLX42" s="119"/>
      <c r="PLY42" s="119"/>
      <c r="PLZ42" s="119"/>
      <c r="PMA42" s="119"/>
      <c r="PMB42" s="119"/>
      <c r="PMC42" s="119"/>
      <c r="PMD42" s="119"/>
      <c r="PME42" s="119"/>
      <c r="PMF42" s="119"/>
      <c r="PMG42" s="119"/>
      <c r="PMH42" s="119"/>
      <c r="PMI42" s="119"/>
      <c r="PMJ42" s="119"/>
      <c r="PMK42" s="119"/>
      <c r="PML42" s="119"/>
      <c r="PMM42" s="119"/>
      <c r="PMN42" s="119"/>
      <c r="PMO42" s="119"/>
      <c r="PMP42" s="119"/>
      <c r="PMQ42" s="119"/>
      <c r="PMR42" s="119"/>
      <c r="PMS42" s="119"/>
      <c r="PMT42" s="119"/>
      <c r="PMU42" s="119"/>
      <c r="PMV42" s="119"/>
      <c r="PMW42" s="119"/>
      <c r="PMX42" s="119"/>
      <c r="PMY42" s="119"/>
      <c r="PMZ42" s="119"/>
      <c r="PNA42" s="119"/>
      <c r="PNB42" s="119"/>
      <c r="PNC42" s="119"/>
      <c r="PND42" s="119"/>
      <c r="PNE42" s="119"/>
      <c r="PNF42" s="119"/>
      <c r="PNG42" s="119"/>
      <c r="PNH42" s="119"/>
      <c r="PNI42" s="119"/>
      <c r="PNJ42" s="119"/>
      <c r="PNK42" s="119"/>
      <c r="PNL42" s="119"/>
      <c r="PNM42" s="119"/>
      <c r="PNN42" s="119"/>
      <c r="PNO42" s="119"/>
      <c r="PNP42" s="119"/>
      <c r="PNQ42" s="119"/>
      <c r="PNR42" s="119"/>
      <c r="PNS42" s="119"/>
      <c r="PNT42" s="119"/>
      <c r="PNU42" s="119"/>
      <c r="PNV42" s="119"/>
      <c r="PNW42" s="119"/>
      <c r="PNX42" s="119"/>
      <c r="PNY42" s="119"/>
      <c r="PNZ42" s="119"/>
      <c r="POA42" s="119"/>
      <c r="POB42" s="119"/>
      <c r="POC42" s="119"/>
      <c r="POD42" s="119"/>
      <c r="POE42" s="119"/>
      <c r="POF42" s="119"/>
      <c r="POG42" s="119"/>
      <c r="POH42" s="119"/>
      <c r="POI42" s="119"/>
      <c r="POJ42" s="119"/>
      <c r="POK42" s="119"/>
      <c r="POL42" s="119"/>
      <c r="POM42" s="119"/>
      <c r="PON42" s="119"/>
      <c r="POO42" s="119"/>
      <c r="POP42" s="119"/>
      <c r="POQ42" s="119"/>
      <c r="POR42" s="119"/>
      <c r="POS42" s="119"/>
      <c r="POT42" s="119"/>
      <c r="POU42" s="119"/>
      <c r="POV42" s="119"/>
      <c r="POW42" s="119"/>
      <c r="POX42" s="119"/>
      <c r="POY42" s="119"/>
      <c r="POZ42" s="119"/>
      <c r="PPA42" s="119"/>
      <c r="PPB42" s="119"/>
      <c r="PPC42" s="119"/>
      <c r="PPD42" s="119"/>
      <c r="PPE42" s="119"/>
      <c r="PPF42" s="119"/>
      <c r="PPG42" s="119"/>
      <c r="PPH42" s="119"/>
      <c r="PPI42" s="119"/>
      <c r="PPJ42" s="119"/>
      <c r="PPK42" s="119"/>
      <c r="PPL42" s="119"/>
      <c r="PPM42" s="119"/>
      <c r="PPN42" s="119"/>
      <c r="PPO42" s="119"/>
      <c r="PPP42" s="119"/>
      <c r="PPQ42" s="119"/>
      <c r="PPR42" s="119"/>
      <c r="PPS42" s="119"/>
      <c r="PPT42" s="119"/>
      <c r="PPU42" s="119"/>
      <c r="PPV42" s="119"/>
      <c r="PPW42" s="119"/>
      <c r="PPX42" s="119"/>
      <c r="PPY42" s="119"/>
      <c r="PPZ42" s="119"/>
      <c r="PQA42" s="119"/>
      <c r="PQB42" s="119"/>
      <c r="PQC42" s="119"/>
      <c r="PQD42" s="119"/>
      <c r="PQE42" s="119"/>
      <c r="PQF42" s="119"/>
      <c r="PQG42" s="119"/>
      <c r="PQH42" s="119"/>
      <c r="PQI42" s="119"/>
      <c r="PQJ42" s="119"/>
      <c r="PQK42" s="119"/>
      <c r="PQL42" s="119"/>
      <c r="PQM42" s="119"/>
      <c r="PQN42" s="119"/>
      <c r="PQO42" s="119"/>
      <c r="PQP42" s="119"/>
      <c r="PQQ42" s="119"/>
      <c r="PQR42" s="119"/>
      <c r="PQS42" s="119"/>
      <c r="PQT42" s="119"/>
      <c r="PQU42" s="119"/>
      <c r="PQV42" s="119"/>
      <c r="PQW42" s="119"/>
      <c r="PQX42" s="119"/>
      <c r="PQY42" s="119"/>
      <c r="PQZ42" s="119"/>
      <c r="PRA42" s="119"/>
      <c r="PRB42" s="119"/>
      <c r="PRC42" s="119"/>
      <c r="PRD42" s="119"/>
      <c r="PRE42" s="119"/>
      <c r="PRF42" s="119"/>
      <c r="PRG42" s="119"/>
      <c r="PRH42" s="119"/>
      <c r="PRI42" s="119"/>
      <c r="PRJ42" s="119"/>
      <c r="PRK42" s="119"/>
      <c r="PRL42" s="119"/>
      <c r="PRM42" s="119"/>
      <c r="PRN42" s="119"/>
      <c r="PRO42" s="119"/>
      <c r="PRP42" s="119"/>
      <c r="PRQ42" s="119"/>
      <c r="PRR42" s="119"/>
      <c r="PRS42" s="119"/>
      <c r="PRT42" s="119"/>
      <c r="PRU42" s="119"/>
      <c r="PRV42" s="119"/>
      <c r="PRW42" s="119"/>
      <c r="PRX42" s="119"/>
      <c r="PRY42" s="119"/>
      <c r="PRZ42" s="119"/>
      <c r="PSA42" s="119"/>
      <c r="PSB42" s="119"/>
      <c r="PSC42" s="119"/>
      <c r="PSD42" s="119"/>
      <c r="PSE42" s="119"/>
      <c r="PSF42" s="119"/>
      <c r="PSG42" s="119"/>
      <c r="PSH42" s="119"/>
      <c r="PSI42" s="119"/>
      <c r="PSJ42" s="119"/>
      <c r="PSK42" s="119"/>
      <c r="PSL42" s="119"/>
      <c r="PSM42" s="119"/>
      <c r="PSN42" s="119"/>
      <c r="PSO42" s="119"/>
      <c r="PSP42" s="119"/>
      <c r="PSQ42" s="119"/>
      <c r="PSR42" s="119"/>
      <c r="PSS42" s="119"/>
      <c r="PST42" s="119"/>
      <c r="PSU42" s="119"/>
      <c r="PSV42" s="119"/>
      <c r="PSW42" s="119"/>
      <c r="PSX42" s="119"/>
      <c r="PSY42" s="119"/>
      <c r="PSZ42" s="119"/>
      <c r="PTA42" s="119"/>
      <c r="PTB42" s="119"/>
      <c r="PTC42" s="119"/>
      <c r="PTD42" s="119"/>
      <c r="PTE42" s="119"/>
      <c r="PTF42" s="119"/>
      <c r="PTG42" s="119"/>
      <c r="PTH42" s="119"/>
      <c r="PTI42" s="119"/>
      <c r="PTJ42" s="119"/>
      <c r="PTK42" s="119"/>
      <c r="PTL42" s="119"/>
      <c r="PTM42" s="119"/>
      <c r="PTN42" s="119"/>
      <c r="PTO42" s="119"/>
      <c r="PTP42" s="119"/>
      <c r="PTQ42" s="119"/>
      <c r="PTR42" s="119"/>
      <c r="PTS42" s="119"/>
      <c r="PTT42" s="119"/>
      <c r="PTU42" s="119"/>
      <c r="PTV42" s="119"/>
      <c r="PTW42" s="119"/>
      <c r="PTX42" s="119"/>
      <c r="PTY42" s="119"/>
      <c r="PTZ42" s="119"/>
      <c r="PUA42" s="119"/>
      <c r="PUB42" s="119"/>
      <c r="PUC42" s="119"/>
      <c r="PUD42" s="119"/>
      <c r="PUE42" s="119"/>
      <c r="PUF42" s="119"/>
      <c r="PUG42" s="119"/>
      <c r="PUH42" s="119"/>
      <c r="PUI42" s="119"/>
      <c r="PUJ42" s="119"/>
      <c r="PUK42" s="119"/>
      <c r="PUL42" s="119"/>
      <c r="PUM42" s="119"/>
      <c r="PUN42" s="119"/>
      <c r="PUO42" s="119"/>
      <c r="PUP42" s="119"/>
      <c r="PUQ42" s="119"/>
      <c r="PUR42" s="119"/>
      <c r="PUS42" s="119"/>
      <c r="PUT42" s="119"/>
      <c r="PUU42" s="119"/>
      <c r="PUV42" s="119"/>
      <c r="PUW42" s="119"/>
      <c r="PUX42" s="119"/>
      <c r="PUY42" s="119"/>
      <c r="PUZ42" s="119"/>
      <c r="PVA42" s="119"/>
      <c r="PVB42" s="119"/>
      <c r="PVC42" s="119"/>
      <c r="PVD42" s="119"/>
      <c r="PVE42" s="119"/>
      <c r="PVF42" s="119"/>
      <c r="PVG42" s="119"/>
      <c r="PVH42" s="119"/>
      <c r="PVI42" s="119"/>
      <c r="PVJ42" s="119"/>
      <c r="PVK42" s="119"/>
      <c r="PVL42" s="119"/>
      <c r="PVM42" s="119"/>
      <c r="PVN42" s="119"/>
      <c r="PVO42" s="119"/>
      <c r="PVP42" s="119"/>
      <c r="PVQ42" s="119"/>
      <c r="PVR42" s="119"/>
      <c r="PVS42" s="119"/>
      <c r="PVT42" s="119"/>
      <c r="PVU42" s="119"/>
      <c r="PVV42" s="119"/>
      <c r="PVW42" s="119"/>
      <c r="PVX42" s="119"/>
      <c r="PVY42" s="119"/>
      <c r="PVZ42" s="119"/>
      <c r="PWA42" s="119"/>
      <c r="PWB42" s="119"/>
      <c r="PWC42" s="119"/>
      <c r="PWD42" s="119"/>
      <c r="PWE42" s="119"/>
      <c r="PWF42" s="119"/>
      <c r="PWG42" s="119"/>
      <c r="PWH42" s="119"/>
      <c r="PWI42" s="119"/>
      <c r="PWJ42" s="119"/>
      <c r="PWK42" s="119"/>
      <c r="PWL42" s="119"/>
      <c r="PWM42" s="119"/>
      <c r="PWN42" s="119"/>
      <c r="PWO42" s="119"/>
      <c r="PWP42" s="119"/>
      <c r="PWQ42" s="119"/>
      <c r="PWR42" s="119"/>
      <c r="PWS42" s="119"/>
      <c r="PWT42" s="119"/>
      <c r="PWU42" s="119"/>
      <c r="PWV42" s="119"/>
      <c r="PWW42" s="119"/>
      <c r="PWX42" s="119"/>
      <c r="PWY42" s="119"/>
      <c r="PWZ42" s="119"/>
      <c r="PXA42" s="119"/>
      <c r="PXB42" s="119"/>
      <c r="PXC42" s="119"/>
      <c r="PXD42" s="119"/>
      <c r="PXE42" s="119"/>
      <c r="PXF42" s="119"/>
      <c r="PXG42" s="119"/>
      <c r="PXH42" s="119"/>
      <c r="PXI42" s="119"/>
      <c r="PXJ42" s="119"/>
      <c r="PXK42" s="119"/>
      <c r="PXL42" s="119"/>
      <c r="PXM42" s="119"/>
      <c r="PXN42" s="119"/>
      <c r="PXO42" s="119"/>
      <c r="PXP42" s="119"/>
      <c r="PXQ42" s="119"/>
      <c r="PXR42" s="119"/>
      <c r="PXS42" s="119"/>
      <c r="PXT42" s="119"/>
      <c r="PXU42" s="119"/>
      <c r="PXV42" s="119"/>
      <c r="PXW42" s="119"/>
      <c r="PXX42" s="119"/>
      <c r="PXY42" s="119"/>
      <c r="PXZ42" s="119"/>
      <c r="PYA42" s="119"/>
      <c r="PYB42" s="119"/>
      <c r="PYC42" s="119"/>
      <c r="PYD42" s="119"/>
      <c r="PYE42" s="119"/>
      <c r="PYF42" s="119"/>
      <c r="PYG42" s="119"/>
      <c r="PYH42" s="119"/>
      <c r="PYI42" s="119"/>
      <c r="PYJ42" s="119"/>
      <c r="PYK42" s="119"/>
      <c r="PYL42" s="119"/>
      <c r="PYM42" s="119"/>
      <c r="PYN42" s="119"/>
      <c r="PYO42" s="119"/>
      <c r="PYP42" s="119"/>
      <c r="PYQ42" s="119"/>
      <c r="PYR42" s="119"/>
      <c r="PYS42" s="119"/>
      <c r="PYT42" s="119"/>
      <c r="PYU42" s="119"/>
      <c r="PYV42" s="119"/>
      <c r="PYW42" s="119"/>
      <c r="PYX42" s="119"/>
      <c r="PYY42" s="119"/>
      <c r="PYZ42" s="119"/>
      <c r="PZA42" s="119"/>
      <c r="PZB42" s="119"/>
      <c r="PZC42" s="119"/>
      <c r="PZD42" s="119"/>
      <c r="PZE42" s="119"/>
      <c r="PZF42" s="119"/>
      <c r="PZG42" s="119"/>
      <c r="PZH42" s="119"/>
      <c r="PZI42" s="119"/>
      <c r="PZJ42" s="119"/>
      <c r="PZK42" s="119"/>
      <c r="PZL42" s="119"/>
      <c r="PZM42" s="119"/>
      <c r="PZN42" s="119"/>
      <c r="PZO42" s="119"/>
      <c r="PZP42" s="119"/>
      <c r="PZQ42" s="119"/>
      <c r="PZR42" s="119"/>
      <c r="PZS42" s="119"/>
      <c r="PZT42" s="119"/>
      <c r="PZU42" s="119"/>
      <c r="PZV42" s="119"/>
      <c r="PZW42" s="119"/>
      <c r="PZX42" s="119"/>
      <c r="PZY42" s="119"/>
      <c r="PZZ42" s="119"/>
      <c r="QAA42" s="119"/>
      <c r="QAB42" s="119"/>
      <c r="QAC42" s="119"/>
      <c r="QAD42" s="119"/>
      <c r="QAE42" s="119"/>
      <c r="QAF42" s="119"/>
      <c r="QAG42" s="119"/>
      <c r="QAH42" s="119"/>
      <c r="QAI42" s="119"/>
      <c r="QAJ42" s="119"/>
      <c r="QAK42" s="119"/>
      <c r="QAL42" s="119"/>
      <c r="QAM42" s="119"/>
      <c r="QAN42" s="119"/>
      <c r="QAO42" s="119"/>
      <c r="QAP42" s="119"/>
      <c r="QAQ42" s="119"/>
      <c r="QAR42" s="119"/>
      <c r="QAS42" s="119"/>
      <c r="QAT42" s="119"/>
      <c r="QAU42" s="119"/>
      <c r="QAV42" s="119"/>
      <c r="QAW42" s="119"/>
      <c r="QAX42" s="119"/>
      <c r="QAY42" s="119"/>
      <c r="QAZ42" s="119"/>
      <c r="QBA42" s="119"/>
      <c r="QBB42" s="119"/>
      <c r="QBC42" s="119"/>
      <c r="QBD42" s="119"/>
      <c r="QBE42" s="119"/>
      <c r="QBF42" s="119"/>
      <c r="QBG42" s="119"/>
      <c r="QBH42" s="119"/>
      <c r="QBI42" s="119"/>
      <c r="QBJ42" s="119"/>
      <c r="QBK42" s="119"/>
      <c r="QBL42" s="119"/>
      <c r="QBM42" s="119"/>
      <c r="QBN42" s="119"/>
      <c r="QBO42" s="119"/>
      <c r="QBP42" s="119"/>
      <c r="QBQ42" s="119"/>
      <c r="QBR42" s="119"/>
      <c r="QBS42" s="119"/>
      <c r="QBT42" s="119"/>
      <c r="QBU42" s="119"/>
      <c r="QBV42" s="119"/>
      <c r="QBW42" s="119"/>
      <c r="QBX42" s="119"/>
      <c r="QBY42" s="119"/>
      <c r="QBZ42" s="119"/>
      <c r="QCA42" s="119"/>
      <c r="QCB42" s="119"/>
      <c r="QCC42" s="119"/>
      <c r="QCD42" s="119"/>
      <c r="QCE42" s="119"/>
      <c r="QCF42" s="119"/>
      <c r="QCG42" s="119"/>
      <c r="QCH42" s="119"/>
      <c r="QCI42" s="119"/>
      <c r="QCJ42" s="119"/>
      <c r="QCK42" s="119"/>
      <c r="QCL42" s="119"/>
      <c r="QCM42" s="119"/>
      <c r="QCN42" s="119"/>
      <c r="QCO42" s="119"/>
      <c r="QCP42" s="119"/>
      <c r="QCQ42" s="119"/>
      <c r="QCR42" s="119"/>
      <c r="QCS42" s="119"/>
      <c r="QCT42" s="119"/>
      <c r="QCU42" s="119"/>
      <c r="QCV42" s="119"/>
      <c r="QCW42" s="119"/>
      <c r="QCX42" s="119"/>
      <c r="QCY42" s="119"/>
      <c r="QCZ42" s="119"/>
      <c r="QDA42" s="119"/>
      <c r="QDB42" s="119"/>
      <c r="QDC42" s="119"/>
      <c r="QDD42" s="119"/>
      <c r="QDE42" s="119"/>
      <c r="QDF42" s="119"/>
      <c r="QDG42" s="119"/>
      <c r="QDH42" s="119"/>
      <c r="QDI42" s="119"/>
      <c r="QDJ42" s="119"/>
      <c r="QDK42" s="119"/>
      <c r="QDL42" s="119"/>
      <c r="QDM42" s="119"/>
      <c r="QDN42" s="119"/>
      <c r="QDO42" s="119"/>
      <c r="QDP42" s="119"/>
      <c r="QDQ42" s="119"/>
      <c r="QDR42" s="119"/>
      <c r="QDS42" s="119"/>
      <c r="QDT42" s="119"/>
      <c r="QDU42" s="119"/>
      <c r="QDV42" s="119"/>
      <c r="QDW42" s="119"/>
      <c r="QDX42" s="119"/>
      <c r="QDY42" s="119"/>
      <c r="QDZ42" s="119"/>
      <c r="QEA42" s="119"/>
      <c r="QEB42" s="119"/>
      <c r="QEC42" s="119"/>
      <c r="QED42" s="119"/>
      <c r="QEE42" s="119"/>
      <c r="QEF42" s="119"/>
      <c r="QEG42" s="119"/>
      <c r="QEH42" s="119"/>
      <c r="QEI42" s="119"/>
      <c r="QEJ42" s="119"/>
      <c r="QEK42" s="119"/>
      <c r="QEL42" s="119"/>
      <c r="QEM42" s="119"/>
      <c r="QEN42" s="119"/>
      <c r="QEO42" s="119"/>
      <c r="QEP42" s="119"/>
      <c r="QEQ42" s="119"/>
      <c r="QER42" s="119"/>
      <c r="QES42" s="119"/>
      <c r="QET42" s="119"/>
      <c r="QEU42" s="119"/>
      <c r="QEV42" s="119"/>
      <c r="QEW42" s="119"/>
      <c r="QEX42" s="119"/>
      <c r="QEY42" s="119"/>
      <c r="QEZ42" s="119"/>
      <c r="QFA42" s="119"/>
      <c r="QFB42" s="119"/>
      <c r="QFC42" s="119"/>
      <c r="QFD42" s="119"/>
      <c r="QFE42" s="119"/>
      <c r="QFF42" s="119"/>
      <c r="QFG42" s="119"/>
      <c r="QFH42" s="119"/>
      <c r="QFI42" s="119"/>
      <c r="QFJ42" s="119"/>
      <c r="QFK42" s="119"/>
      <c r="QFL42" s="119"/>
      <c r="QFM42" s="119"/>
      <c r="QFN42" s="119"/>
      <c r="QFO42" s="119"/>
      <c r="QFP42" s="119"/>
      <c r="QFQ42" s="119"/>
      <c r="QFR42" s="119"/>
      <c r="QFS42" s="119"/>
      <c r="QFT42" s="119"/>
      <c r="QFU42" s="119"/>
      <c r="QFV42" s="119"/>
      <c r="QFW42" s="119"/>
      <c r="QFX42" s="119"/>
      <c r="QFY42" s="119"/>
      <c r="QFZ42" s="119"/>
      <c r="QGA42" s="119"/>
      <c r="QGB42" s="119"/>
      <c r="QGC42" s="119"/>
      <c r="QGD42" s="119"/>
      <c r="QGE42" s="119"/>
      <c r="QGF42" s="119"/>
      <c r="QGG42" s="119"/>
      <c r="QGH42" s="119"/>
      <c r="QGI42" s="119"/>
      <c r="QGJ42" s="119"/>
      <c r="QGK42" s="119"/>
      <c r="QGL42" s="119"/>
      <c r="QGM42" s="119"/>
      <c r="QGN42" s="119"/>
      <c r="QGO42" s="119"/>
      <c r="QGP42" s="119"/>
      <c r="QGQ42" s="119"/>
      <c r="QGR42" s="119"/>
      <c r="QGS42" s="119"/>
      <c r="QGT42" s="119"/>
      <c r="QGU42" s="119"/>
      <c r="QGV42" s="119"/>
      <c r="QGW42" s="119"/>
      <c r="QGX42" s="119"/>
      <c r="QGY42" s="119"/>
      <c r="QGZ42" s="119"/>
      <c r="QHA42" s="119"/>
      <c r="QHB42" s="119"/>
      <c r="QHC42" s="119"/>
      <c r="QHD42" s="119"/>
      <c r="QHE42" s="119"/>
      <c r="QHF42" s="119"/>
      <c r="QHG42" s="119"/>
      <c r="QHH42" s="119"/>
      <c r="QHI42" s="119"/>
      <c r="QHJ42" s="119"/>
      <c r="QHK42" s="119"/>
      <c r="QHL42" s="119"/>
      <c r="QHM42" s="119"/>
      <c r="QHN42" s="119"/>
      <c r="QHO42" s="119"/>
      <c r="QHP42" s="119"/>
      <c r="QHQ42" s="119"/>
      <c r="QHR42" s="119"/>
      <c r="QHS42" s="119"/>
      <c r="QHT42" s="119"/>
      <c r="QHU42" s="119"/>
      <c r="QHV42" s="119"/>
      <c r="QHW42" s="119"/>
      <c r="QHX42" s="119"/>
      <c r="QHY42" s="119"/>
      <c r="QHZ42" s="119"/>
      <c r="QIA42" s="119"/>
      <c r="QIB42" s="119"/>
      <c r="QIC42" s="119"/>
      <c r="QID42" s="119"/>
      <c r="QIE42" s="119"/>
      <c r="QIF42" s="119"/>
      <c r="QIG42" s="119"/>
      <c r="QIH42" s="119"/>
      <c r="QII42" s="119"/>
      <c r="QIJ42" s="119"/>
      <c r="QIK42" s="119"/>
      <c r="QIL42" s="119"/>
      <c r="QIM42" s="119"/>
      <c r="QIN42" s="119"/>
      <c r="QIO42" s="119"/>
      <c r="QIP42" s="119"/>
      <c r="QIQ42" s="119"/>
      <c r="QIR42" s="119"/>
      <c r="QIS42" s="119"/>
      <c r="QIT42" s="119"/>
      <c r="QIU42" s="119"/>
      <c r="QIV42" s="119"/>
      <c r="QIW42" s="119"/>
      <c r="QIX42" s="119"/>
      <c r="QIY42" s="119"/>
      <c r="QIZ42" s="119"/>
      <c r="QJA42" s="119"/>
      <c r="QJB42" s="119"/>
      <c r="QJC42" s="119"/>
      <c r="QJD42" s="119"/>
      <c r="QJE42" s="119"/>
      <c r="QJF42" s="119"/>
      <c r="QJG42" s="119"/>
      <c r="QJH42" s="119"/>
      <c r="QJI42" s="119"/>
      <c r="QJJ42" s="119"/>
      <c r="QJK42" s="119"/>
      <c r="QJL42" s="119"/>
      <c r="QJM42" s="119"/>
      <c r="QJN42" s="119"/>
      <c r="QJO42" s="119"/>
      <c r="QJP42" s="119"/>
      <c r="QJQ42" s="119"/>
      <c r="QJR42" s="119"/>
      <c r="QJS42" s="119"/>
      <c r="QJT42" s="119"/>
      <c r="QJU42" s="119"/>
      <c r="QJV42" s="119"/>
      <c r="QJW42" s="119"/>
      <c r="QJX42" s="119"/>
      <c r="QJY42" s="119"/>
      <c r="QJZ42" s="119"/>
      <c r="QKA42" s="119"/>
      <c r="QKB42" s="119"/>
      <c r="QKC42" s="119"/>
      <c r="QKD42" s="119"/>
      <c r="QKE42" s="119"/>
      <c r="QKF42" s="119"/>
      <c r="QKG42" s="119"/>
      <c r="QKH42" s="119"/>
      <c r="QKI42" s="119"/>
      <c r="QKJ42" s="119"/>
      <c r="QKK42" s="119"/>
      <c r="QKL42" s="119"/>
      <c r="QKM42" s="119"/>
      <c r="QKN42" s="119"/>
      <c r="QKO42" s="119"/>
      <c r="QKP42" s="119"/>
      <c r="QKQ42" s="119"/>
      <c r="QKR42" s="119"/>
      <c r="QKS42" s="119"/>
      <c r="QKT42" s="119"/>
      <c r="QKU42" s="119"/>
      <c r="QKV42" s="119"/>
      <c r="QKW42" s="119"/>
      <c r="QKX42" s="119"/>
      <c r="QKY42" s="119"/>
      <c r="QKZ42" s="119"/>
      <c r="QLA42" s="119"/>
      <c r="QLB42" s="119"/>
      <c r="QLC42" s="119"/>
      <c r="QLD42" s="119"/>
      <c r="QLE42" s="119"/>
      <c r="QLF42" s="119"/>
      <c r="QLG42" s="119"/>
      <c r="QLH42" s="119"/>
      <c r="QLI42" s="119"/>
      <c r="QLJ42" s="119"/>
      <c r="QLK42" s="119"/>
      <c r="QLL42" s="119"/>
      <c r="QLM42" s="119"/>
      <c r="QLN42" s="119"/>
      <c r="QLO42" s="119"/>
      <c r="QLP42" s="119"/>
      <c r="QLQ42" s="119"/>
      <c r="QLR42" s="119"/>
      <c r="QLS42" s="119"/>
      <c r="QLT42" s="119"/>
      <c r="QLU42" s="119"/>
      <c r="QLV42" s="119"/>
      <c r="QLW42" s="119"/>
      <c r="QLX42" s="119"/>
      <c r="QLY42" s="119"/>
      <c r="QLZ42" s="119"/>
      <c r="QMA42" s="119"/>
      <c r="QMB42" s="119"/>
      <c r="QMC42" s="119"/>
      <c r="QMD42" s="119"/>
      <c r="QME42" s="119"/>
      <c r="QMF42" s="119"/>
      <c r="QMG42" s="119"/>
      <c r="QMH42" s="119"/>
      <c r="QMI42" s="119"/>
      <c r="QMJ42" s="119"/>
      <c r="QMK42" s="119"/>
      <c r="QML42" s="119"/>
      <c r="QMM42" s="119"/>
      <c r="QMN42" s="119"/>
      <c r="QMO42" s="119"/>
      <c r="QMP42" s="119"/>
      <c r="QMQ42" s="119"/>
      <c r="QMR42" s="119"/>
      <c r="QMS42" s="119"/>
      <c r="QMT42" s="119"/>
      <c r="QMU42" s="119"/>
      <c r="QMV42" s="119"/>
      <c r="QMW42" s="119"/>
      <c r="QMX42" s="119"/>
      <c r="QMY42" s="119"/>
      <c r="QMZ42" s="119"/>
      <c r="QNA42" s="119"/>
      <c r="QNB42" s="119"/>
      <c r="QNC42" s="119"/>
      <c r="QND42" s="119"/>
      <c r="QNE42" s="119"/>
      <c r="QNF42" s="119"/>
      <c r="QNG42" s="119"/>
      <c r="QNH42" s="119"/>
      <c r="QNI42" s="119"/>
      <c r="QNJ42" s="119"/>
      <c r="QNK42" s="119"/>
      <c r="QNL42" s="119"/>
      <c r="QNM42" s="119"/>
      <c r="QNN42" s="119"/>
      <c r="QNO42" s="119"/>
      <c r="QNP42" s="119"/>
      <c r="QNQ42" s="119"/>
      <c r="QNR42" s="119"/>
      <c r="QNS42" s="119"/>
      <c r="QNT42" s="119"/>
      <c r="QNU42" s="119"/>
      <c r="QNV42" s="119"/>
      <c r="QNW42" s="119"/>
      <c r="QNX42" s="119"/>
      <c r="QNY42" s="119"/>
      <c r="QNZ42" s="119"/>
      <c r="QOA42" s="119"/>
      <c r="QOB42" s="119"/>
      <c r="QOC42" s="119"/>
      <c r="QOD42" s="119"/>
      <c r="QOE42" s="119"/>
      <c r="QOF42" s="119"/>
      <c r="QOG42" s="119"/>
      <c r="QOH42" s="119"/>
      <c r="QOI42" s="119"/>
      <c r="QOJ42" s="119"/>
      <c r="QOK42" s="119"/>
      <c r="QOL42" s="119"/>
      <c r="QOM42" s="119"/>
      <c r="QON42" s="119"/>
      <c r="QOO42" s="119"/>
      <c r="QOP42" s="119"/>
      <c r="QOQ42" s="119"/>
      <c r="QOR42" s="119"/>
      <c r="QOS42" s="119"/>
      <c r="QOT42" s="119"/>
      <c r="QOU42" s="119"/>
      <c r="QOV42" s="119"/>
      <c r="QOW42" s="119"/>
      <c r="QOX42" s="119"/>
      <c r="QOY42" s="119"/>
      <c r="QOZ42" s="119"/>
      <c r="QPA42" s="119"/>
      <c r="QPB42" s="119"/>
      <c r="QPC42" s="119"/>
      <c r="QPD42" s="119"/>
      <c r="QPE42" s="119"/>
      <c r="QPF42" s="119"/>
      <c r="QPG42" s="119"/>
      <c r="QPH42" s="119"/>
      <c r="QPI42" s="119"/>
      <c r="QPJ42" s="119"/>
      <c r="QPK42" s="119"/>
      <c r="QPL42" s="119"/>
      <c r="QPM42" s="119"/>
      <c r="QPN42" s="119"/>
      <c r="QPO42" s="119"/>
      <c r="QPP42" s="119"/>
      <c r="QPQ42" s="119"/>
      <c r="QPR42" s="119"/>
      <c r="QPS42" s="119"/>
      <c r="QPT42" s="119"/>
      <c r="QPU42" s="119"/>
      <c r="QPV42" s="119"/>
      <c r="QPW42" s="119"/>
      <c r="QPX42" s="119"/>
      <c r="QPY42" s="119"/>
      <c r="QPZ42" s="119"/>
      <c r="QQA42" s="119"/>
      <c r="QQB42" s="119"/>
      <c r="QQC42" s="119"/>
      <c r="QQD42" s="119"/>
      <c r="QQE42" s="119"/>
      <c r="QQF42" s="119"/>
      <c r="QQG42" s="119"/>
      <c r="QQH42" s="119"/>
      <c r="QQI42" s="119"/>
      <c r="QQJ42" s="119"/>
      <c r="QQK42" s="119"/>
      <c r="QQL42" s="119"/>
      <c r="QQM42" s="119"/>
      <c r="QQN42" s="119"/>
      <c r="QQO42" s="119"/>
      <c r="QQP42" s="119"/>
      <c r="QQQ42" s="119"/>
      <c r="QQR42" s="119"/>
      <c r="QQS42" s="119"/>
      <c r="QQT42" s="119"/>
      <c r="QQU42" s="119"/>
      <c r="QQV42" s="119"/>
      <c r="QQW42" s="119"/>
      <c r="QQX42" s="119"/>
      <c r="QQY42" s="119"/>
      <c r="QQZ42" s="119"/>
      <c r="QRA42" s="119"/>
      <c r="QRB42" s="119"/>
      <c r="QRC42" s="119"/>
      <c r="QRD42" s="119"/>
      <c r="QRE42" s="119"/>
      <c r="QRF42" s="119"/>
      <c r="QRG42" s="119"/>
      <c r="QRH42" s="119"/>
      <c r="QRI42" s="119"/>
      <c r="QRJ42" s="119"/>
      <c r="QRK42" s="119"/>
      <c r="QRL42" s="119"/>
      <c r="QRM42" s="119"/>
      <c r="QRN42" s="119"/>
      <c r="QRO42" s="119"/>
      <c r="QRP42" s="119"/>
      <c r="QRQ42" s="119"/>
      <c r="QRR42" s="119"/>
      <c r="QRS42" s="119"/>
      <c r="QRT42" s="119"/>
      <c r="QRU42" s="119"/>
      <c r="QRV42" s="119"/>
      <c r="QRW42" s="119"/>
      <c r="QRX42" s="119"/>
      <c r="QRY42" s="119"/>
      <c r="QRZ42" s="119"/>
      <c r="QSA42" s="119"/>
      <c r="QSB42" s="119"/>
      <c r="QSC42" s="119"/>
      <c r="QSD42" s="119"/>
      <c r="QSE42" s="119"/>
      <c r="QSF42" s="119"/>
      <c r="QSG42" s="119"/>
      <c r="QSH42" s="119"/>
      <c r="QSI42" s="119"/>
      <c r="QSJ42" s="119"/>
      <c r="QSK42" s="119"/>
      <c r="QSL42" s="119"/>
      <c r="QSM42" s="119"/>
      <c r="QSN42" s="119"/>
      <c r="QSO42" s="119"/>
      <c r="QSP42" s="119"/>
      <c r="QSQ42" s="119"/>
      <c r="QSR42" s="119"/>
      <c r="QSS42" s="119"/>
      <c r="QST42" s="119"/>
      <c r="QSU42" s="119"/>
      <c r="QSV42" s="119"/>
      <c r="QSW42" s="119"/>
      <c r="QSX42" s="119"/>
      <c r="QSY42" s="119"/>
      <c r="QSZ42" s="119"/>
      <c r="QTA42" s="119"/>
      <c r="QTB42" s="119"/>
      <c r="QTC42" s="119"/>
      <c r="QTD42" s="119"/>
      <c r="QTE42" s="119"/>
      <c r="QTF42" s="119"/>
      <c r="QTG42" s="119"/>
      <c r="QTH42" s="119"/>
      <c r="QTI42" s="119"/>
      <c r="QTJ42" s="119"/>
      <c r="QTK42" s="119"/>
      <c r="QTL42" s="119"/>
      <c r="QTM42" s="119"/>
      <c r="QTN42" s="119"/>
      <c r="QTO42" s="119"/>
      <c r="QTP42" s="119"/>
      <c r="QTQ42" s="119"/>
      <c r="QTR42" s="119"/>
      <c r="QTS42" s="119"/>
      <c r="QTT42" s="119"/>
      <c r="QTU42" s="119"/>
      <c r="QTV42" s="119"/>
      <c r="QTW42" s="119"/>
      <c r="QTX42" s="119"/>
      <c r="QTY42" s="119"/>
      <c r="QTZ42" s="119"/>
      <c r="QUA42" s="119"/>
      <c r="QUB42" s="119"/>
      <c r="QUC42" s="119"/>
      <c r="QUD42" s="119"/>
      <c r="QUE42" s="119"/>
      <c r="QUF42" s="119"/>
      <c r="QUG42" s="119"/>
      <c r="QUH42" s="119"/>
      <c r="QUI42" s="119"/>
      <c r="QUJ42" s="119"/>
      <c r="QUK42" s="119"/>
      <c r="QUL42" s="119"/>
      <c r="QUM42" s="119"/>
      <c r="QUN42" s="119"/>
      <c r="QUO42" s="119"/>
      <c r="QUP42" s="119"/>
      <c r="QUQ42" s="119"/>
      <c r="QUR42" s="119"/>
      <c r="QUS42" s="119"/>
      <c r="QUT42" s="119"/>
      <c r="QUU42" s="119"/>
      <c r="QUV42" s="119"/>
      <c r="QUW42" s="119"/>
      <c r="QUX42" s="119"/>
      <c r="QUY42" s="119"/>
      <c r="QUZ42" s="119"/>
      <c r="QVA42" s="119"/>
      <c r="QVB42" s="119"/>
      <c r="QVC42" s="119"/>
      <c r="QVD42" s="119"/>
      <c r="QVE42" s="119"/>
      <c r="QVF42" s="119"/>
      <c r="QVG42" s="119"/>
      <c r="QVH42" s="119"/>
      <c r="QVI42" s="119"/>
      <c r="QVJ42" s="119"/>
      <c r="QVK42" s="119"/>
      <c r="QVL42" s="119"/>
      <c r="QVM42" s="119"/>
      <c r="QVN42" s="119"/>
      <c r="QVO42" s="119"/>
      <c r="QVP42" s="119"/>
      <c r="QVQ42" s="119"/>
      <c r="QVR42" s="119"/>
      <c r="QVS42" s="119"/>
      <c r="QVT42" s="119"/>
      <c r="QVU42" s="119"/>
      <c r="QVV42" s="119"/>
      <c r="QVW42" s="119"/>
      <c r="QVX42" s="119"/>
      <c r="QVY42" s="119"/>
      <c r="QVZ42" s="119"/>
      <c r="QWA42" s="119"/>
      <c r="QWB42" s="119"/>
      <c r="QWC42" s="119"/>
      <c r="QWD42" s="119"/>
      <c r="QWE42" s="119"/>
      <c r="QWF42" s="119"/>
      <c r="QWG42" s="119"/>
      <c r="QWH42" s="119"/>
      <c r="QWI42" s="119"/>
      <c r="QWJ42" s="119"/>
      <c r="QWK42" s="119"/>
      <c r="QWL42" s="119"/>
      <c r="QWM42" s="119"/>
      <c r="QWN42" s="119"/>
      <c r="QWO42" s="119"/>
      <c r="QWP42" s="119"/>
      <c r="QWQ42" s="119"/>
      <c r="QWR42" s="119"/>
      <c r="QWS42" s="119"/>
      <c r="QWT42" s="119"/>
      <c r="QWU42" s="119"/>
      <c r="QWV42" s="119"/>
      <c r="QWW42" s="119"/>
      <c r="QWX42" s="119"/>
      <c r="QWY42" s="119"/>
      <c r="QWZ42" s="119"/>
      <c r="QXA42" s="119"/>
      <c r="QXB42" s="119"/>
      <c r="QXC42" s="119"/>
      <c r="QXD42" s="119"/>
      <c r="QXE42" s="119"/>
      <c r="QXF42" s="119"/>
      <c r="QXG42" s="119"/>
      <c r="QXH42" s="119"/>
      <c r="QXI42" s="119"/>
      <c r="QXJ42" s="119"/>
      <c r="QXK42" s="119"/>
      <c r="QXL42" s="119"/>
      <c r="QXM42" s="119"/>
      <c r="QXN42" s="119"/>
      <c r="QXO42" s="119"/>
      <c r="QXP42" s="119"/>
      <c r="QXQ42" s="119"/>
      <c r="QXR42" s="119"/>
      <c r="QXS42" s="119"/>
      <c r="QXT42" s="119"/>
      <c r="QXU42" s="119"/>
      <c r="QXV42" s="119"/>
      <c r="QXW42" s="119"/>
      <c r="QXX42" s="119"/>
      <c r="QXY42" s="119"/>
      <c r="QXZ42" s="119"/>
      <c r="QYA42" s="119"/>
      <c r="QYB42" s="119"/>
      <c r="QYC42" s="119"/>
      <c r="QYD42" s="119"/>
      <c r="QYE42" s="119"/>
      <c r="QYF42" s="119"/>
      <c r="QYG42" s="119"/>
      <c r="QYH42" s="119"/>
      <c r="QYI42" s="119"/>
      <c r="QYJ42" s="119"/>
      <c r="QYK42" s="119"/>
      <c r="QYL42" s="119"/>
      <c r="QYM42" s="119"/>
      <c r="QYN42" s="119"/>
      <c r="QYO42" s="119"/>
      <c r="QYP42" s="119"/>
      <c r="QYQ42" s="119"/>
      <c r="QYR42" s="119"/>
      <c r="QYS42" s="119"/>
      <c r="QYT42" s="119"/>
      <c r="QYU42" s="119"/>
      <c r="QYV42" s="119"/>
      <c r="QYW42" s="119"/>
      <c r="QYX42" s="119"/>
      <c r="QYY42" s="119"/>
      <c r="QYZ42" s="119"/>
      <c r="QZA42" s="119"/>
      <c r="QZB42" s="119"/>
      <c r="QZC42" s="119"/>
      <c r="QZD42" s="119"/>
      <c r="QZE42" s="119"/>
      <c r="QZF42" s="119"/>
      <c r="QZG42" s="119"/>
      <c r="QZH42" s="119"/>
      <c r="QZI42" s="119"/>
      <c r="QZJ42" s="119"/>
      <c r="QZK42" s="119"/>
      <c r="QZL42" s="119"/>
      <c r="QZM42" s="119"/>
      <c r="QZN42" s="119"/>
      <c r="QZO42" s="119"/>
      <c r="QZP42" s="119"/>
      <c r="QZQ42" s="119"/>
      <c r="QZR42" s="119"/>
      <c r="QZS42" s="119"/>
      <c r="QZT42" s="119"/>
      <c r="QZU42" s="119"/>
      <c r="QZV42" s="119"/>
      <c r="QZW42" s="119"/>
      <c r="QZX42" s="119"/>
      <c r="QZY42" s="119"/>
      <c r="QZZ42" s="119"/>
      <c r="RAA42" s="119"/>
      <c r="RAB42" s="119"/>
      <c r="RAC42" s="119"/>
      <c r="RAD42" s="119"/>
      <c r="RAE42" s="119"/>
      <c r="RAF42" s="119"/>
      <c r="RAG42" s="119"/>
      <c r="RAH42" s="119"/>
      <c r="RAI42" s="119"/>
      <c r="RAJ42" s="119"/>
      <c r="RAK42" s="119"/>
      <c r="RAL42" s="119"/>
      <c r="RAM42" s="119"/>
      <c r="RAN42" s="119"/>
      <c r="RAO42" s="119"/>
      <c r="RAP42" s="119"/>
      <c r="RAQ42" s="119"/>
      <c r="RAR42" s="119"/>
      <c r="RAS42" s="119"/>
      <c r="RAT42" s="119"/>
      <c r="RAU42" s="119"/>
      <c r="RAV42" s="119"/>
      <c r="RAW42" s="119"/>
      <c r="RAX42" s="119"/>
      <c r="RAY42" s="119"/>
      <c r="RAZ42" s="119"/>
      <c r="RBA42" s="119"/>
      <c r="RBB42" s="119"/>
      <c r="RBC42" s="119"/>
      <c r="RBD42" s="119"/>
      <c r="RBE42" s="119"/>
      <c r="RBF42" s="119"/>
      <c r="RBG42" s="119"/>
      <c r="RBH42" s="119"/>
      <c r="RBI42" s="119"/>
      <c r="RBJ42" s="119"/>
      <c r="RBK42" s="119"/>
      <c r="RBL42" s="119"/>
      <c r="RBM42" s="119"/>
      <c r="RBN42" s="119"/>
      <c r="RBO42" s="119"/>
      <c r="RBP42" s="119"/>
      <c r="RBQ42" s="119"/>
      <c r="RBR42" s="119"/>
      <c r="RBS42" s="119"/>
      <c r="RBT42" s="119"/>
      <c r="RBU42" s="119"/>
      <c r="RBV42" s="119"/>
      <c r="RBW42" s="119"/>
      <c r="RBX42" s="119"/>
      <c r="RBY42" s="119"/>
      <c r="RBZ42" s="119"/>
      <c r="RCA42" s="119"/>
      <c r="RCB42" s="119"/>
      <c r="RCC42" s="119"/>
      <c r="RCD42" s="119"/>
      <c r="RCE42" s="119"/>
      <c r="RCF42" s="119"/>
      <c r="RCG42" s="119"/>
      <c r="RCH42" s="119"/>
      <c r="RCI42" s="119"/>
      <c r="RCJ42" s="119"/>
      <c r="RCK42" s="119"/>
      <c r="RCL42" s="119"/>
      <c r="RCM42" s="119"/>
      <c r="RCN42" s="119"/>
      <c r="RCO42" s="119"/>
      <c r="RCP42" s="119"/>
      <c r="RCQ42" s="119"/>
      <c r="RCR42" s="119"/>
      <c r="RCS42" s="119"/>
      <c r="RCT42" s="119"/>
      <c r="RCU42" s="119"/>
      <c r="RCV42" s="119"/>
      <c r="RCW42" s="119"/>
      <c r="RCX42" s="119"/>
      <c r="RCY42" s="119"/>
      <c r="RCZ42" s="119"/>
      <c r="RDA42" s="119"/>
      <c r="RDB42" s="119"/>
      <c r="RDC42" s="119"/>
      <c r="RDD42" s="119"/>
      <c r="RDE42" s="119"/>
      <c r="RDF42" s="119"/>
      <c r="RDG42" s="119"/>
      <c r="RDH42" s="119"/>
      <c r="RDI42" s="119"/>
      <c r="RDJ42" s="119"/>
      <c r="RDK42" s="119"/>
      <c r="RDL42" s="119"/>
      <c r="RDM42" s="119"/>
      <c r="RDN42" s="119"/>
      <c r="RDO42" s="119"/>
      <c r="RDP42" s="119"/>
      <c r="RDQ42" s="119"/>
      <c r="RDR42" s="119"/>
      <c r="RDS42" s="119"/>
      <c r="RDT42" s="119"/>
      <c r="RDU42" s="119"/>
      <c r="RDV42" s="119"/>
      <c r="RDW42" s="119"/>
      <c r="RDX42" s="119"/>
      <c r="RDY42" s="119"/>
      <c r="RDZ42" s="119"/>
      <c r="REA42" s="119"/>
      <c r="REB42" s="119"/>
      <c r="REC42" s="119"/>
      <c r="RED42" s="119"/>
      <c r="REE42" s="119"/>
      <c r="REF42" s="119"/>
      <c r="REG42" s="119"/>
      <c r="REH42" s="119"/>
      <c r="REI42" s="119"/>
      <c r="REJ42" s="119"/>
      <c r="REK42" s="119"/>
      <c r="REL42" s="119"/>
      <c r="REM42" s="119"/>
      <c r="REN42" s="119"/>
      <c r="REO42" s="119"/>
      <c r="REP42" s="119"/>
      <c r="REQ42" s="119"/>
      <c r="RER42" s="119"/>
      <c r="RES42" s="119"/>
      <c r="RET42" s="119"/>
      <c r="REU42" s="119"/>
      <c r="REV42" s="119"/>
      <c r="REW42" s="119"/>
      <c r="REX42" s="119"/>
      <c r="REY42" s="119"/>
      <c r="REZ42" s="119"/>
      <c r="RFA42" s="119"/>
      <c r="RFB42" s="119"/>
      <c r="RFC42" s="119"/>
      <c r="RFD42" s="119"/>
      <c r="RFE42" s="119"/>
      <c r="RFF42" s="119"/>
      <c r="RFG42" s="119"/>
      <c r="RFH42" s="119"/>
      <c r="RFI42" s="119"/>
      <c r="RFJ42" s="119"/>
      <c r="RFK42" s="119"/>
      <c r="RFL42" s="119"/>
      <c r="RFM42" s="119"/>
      <c r="RFN42" s="119"/>
      <c r="RFO42" s="119"/>
      <c r="RFP42" s="119"/>
      <c r="RFQ42" s="119"/>
      <c r="RFR42" s="119"/>
      <c r="RFS42" s="119"/>
      <c r="RFT42" s="119"/>
      <c r="RFU42" s="119"/>
      <c r="RFV42" s="119"/>
      <c r="RFW42" s="119"/>
      <c r="RFX42" s="119"/>
      <c r="RFY42" s="119"/>
      <c r="RFZ42" s="119"/>
      <c r="RGA42" s="119"/>
      <c r="RGB42" s="119"/>
      <c r="RGC42" s="119"/>
      <c r="RGD42" s="119"/>
      <c r="RGE42" s="119"/>
      <c r="RGF42" s="119"/>
      <c r="RGG42" s="119"/>
      <c r="RGH42" s="119"/>
      <c r="RGI42" s="119"/>
      <c r="RGJ42" s="119"/>
      <c r="RGK42" s="119"/>
      <c r="RGL42" s="119"/>
      <c r="RGM42" s="119"/>
      <c r="RGN42" s="119"/>
      <c r="RGO42" s="119"/>
      <c r="RGP42" s="119"/>
      <c r="RGQ42" s="119"/>
      <c r="RGR42" s="119"/>
      <c r="RGS42" s="119"/>
      <c r="RGT42" s="119"/>
      <c r="RGU42" s="119"/>
      <c r="RGV42" s="119"/>
      <c r="RGW42" s="119"/>
      <c r="RGX42" s="119"/>
      <c r="RGY42" s="119"/>
      <c r="RGZ42" s="119"/>
      <c r="RHA42" s="119"/>
      <c r="RHB42" s="119"/>
      <c r="RHC42" s="119"/>
      <c r="RHD42" s="119"/>
      <c r="RHE42" s="119"/>
      <c r="RHF42" s="119"/>
      <c r="RHG42" s="119"/>
      <c r="RHH42" s="119"/>
      <c r="RHI42" s="119"/>
      <c r="RHJ42" s="119"/>
      <c r="RHK42" s="119"/>
      <c r="RHL42" s="119"/>
      <c r="RHM42" s="119"/>
      <c r="RHN42" s="119"/>
      <c r="RHO42" s="119"/>
      <c r="RHP42" s="119"/>
      <c r="RHQ42" s="119"/>
      <c r="RHR42" s="119"/>
      <c r="RHS42" s="119"/>
      <c r="RHT42" s="119"/>
      <c r="RHU42" s="119"/>
      <c r="RHV42" s="119"/>
      <c r="RHW42" s="119"/>
      <c r="RHX42" s="119"/>
      <c r="RHY42" s="119"/>
      <c r="RHZ42" s="119"/>
      <c r="RIA42" s="119"/>
      <c r="RIB42" s="119"/>
      <c r="RIC42" s="119"/>
      <c r="RID42" s="119"/>
      <c r="RIE42" s="119"/>
      <c r="RIF42" s="119"/>
      <c r="RIG42" s="119"/>
      <c r="RIH42" s="119"/>
      <c r="RII42" s="119"/>
      <c r="RIJ42" s="119"/>
      <c r="RIK42" s="119"/>
      <c r="RIL42" s="119"/>
      <c r="RIM42" s="119"/>
      <c r="RIN42" s="119"/>
      <c r="RIO42" s="119"/>
      <c r="RIP42" s="119"/>
      <c r="RIQ42" s="119"/>
      <c r="RIR42" s="119"/>
      <c r="RIS42" s="119"/>
      <c r="RIT42" s="119"/>
      <c r="RIU42" s="119"/>
      <c r="RIV42" s="119"/>
      <c r="RIW42" s="119"/>
      <c r="RIX42" s="119"/>
      <c r="RIY42" s="119"/>
      <c r="RIZ42" s="119"/>
      <c r="RJA42" s="119"/>
      <c r="RJB42" s="119"/>
      <c r="RJC42" s="119"/>
      <c r="RJD42" s="119"/>
      <c r="RJE42" s="119"/>
      <c r="RJF42" s="119"/>
      <c r="RJG42" s="119"/>
      <c r="RJH42" s="119"/>
      <c r="RJI42" s="119"/>
      <c r="RJJ42" s="119"/>
      <c r="RJK42" s="119"/>
      <c r="RJL42" s="119"/>
      <c r="RJM42" s="119"/>
      <c r="RJN42" s="119"/>
      <c r="RJO42" s="119"/>
      <c r="RJP42" s="119"/>
      <c r="RJQ42" s="119"/>
      <c r="RJR42" s="119"/>
      <c r="RJS42" s="119"/>
      <c r="RJT42" s="119"/>
      <c r="RJU42" s="119"/>
      <c r="RJV42" s="119"/>
      <c r="RJW42" s="119"/>
      <c r="RJX42" s="119"/>
      <c r="RJY42" s="119"/>
      <c r="RJZ42" s="119"/>
      <c r="RKA42" s="119"/>
      <c r="RKB42" s="119"/>
      <c r="RKC42" s="119"/>
      <c r="RKD42" s="119"/>
      <c r="RKE42" s="119"/>
      <c r="RKF42" s="119"/>
      <c r="RKG42" s="119"/>
      <c r="RKH42" s="119"/>
      <c r="RKI42" s="119"/>
      <c r="RKJ42" s="119"/>
      <c r="RKK42" s="119"/>
      <c r="RKL42" s="119"/>
      <c r="RKM42" s="119"/>
      <c r="RKN42" s="119"/>
      <c r="RKO42" s="119"/>
      <c r="RKP42" s="119"/>
      <c r="RKQ42" s="119"/>
      <c r="RKR42" s="119"/>
      <c r="RKS42" s="119"/>
      <c r="RKT42" s="119"/>
      <c r="RKU42" s="119"/>
      <c r="RKV42" s="119"/>
      <c r="RKW42" s="119"/>
      <c r="RKX42" s="119"/>
      <c r="RKY42" s="119"/>
      <c r="RKZ42" s="119"/>
      <c r="RLA42" s="119"/>
      <c r="RLB42" s="119"/>
      <c r="RLC42" s="119"/>
      <c r="RLD42" s="119"/>
      <c r="RLE42" s="119"/>
      <c r="RLF42" s="119"/>
      <c r="RLG42" s="119"/>
      <c r="RLH42" s="119"/>
      <c r="RLI42" s="119"/>
      <c r="RLJ42" s="119"/>
      <c r="RLK42" s="119"/>
      <c r="RLL42" s="119"/>
      <c r="RLM42" s="119"/>
      <c r="RLN42" s="119"/>
      <c r="RLO42" s="119"/>
      <c r="RLP42" s="119"/>
      <c r="RLQ42" s="119"/>
      <c r="RLR42" s="119"/>
      <c r="RLS42" s="119"/>
      <c r="RLT42" s="119"/>
      <c r="RLU42" s="119"/>
      <c r="RLV42" s="119"/>
      <c r="RLW42" s="119"/>
      <c r="RLX42" s="119"/>
      <c r="RLY42" s="119"/>
      <c r="RLZ42" s="119"/>
      <c r="RMA42" s="119"/>
      <c r="RMB42" s="119"/>
      <c r="RMC42" s="119"/>
      <c r="RMD42" s="119"/>
      <c r="RME42" s="119"/>
      <c r="RMF42" s="119"/>
      <c r="RMG42" s="119"/>
      <c r="RMH42" s="119"/>
      <c r="RMI42" s="119"/>
      <c r="RMJ42" s="119"/>
      <c r="RMK42" s="119"/>
      <c r="RML42" s="119"/>
      <c r="RMM42" s="119"/>
      <c r="RMN42" s="119"/>
      <c r="RMO42" s="119"/>
      <c r="RMP42" s="119"/>
      <c r="RMQ42" s="119"/>
      <c r="RMR42" s="119"/>
      <c r="RMS42" s="119"/>
      <c r="RMT42" s="119"/>
      <c r="RMU42" s="119"/>
      <c r="RMV42" s="119"/>
      <c r="RMW42" s="119"/>
      <c r="RMX42" s="119"/>
      <c r="RMY42" s="119"/>
      <c r="RMZ42" s="119"/>
      <c r="RNA42" s="119"/>
      <c r="RNB42" s="119"/>
      <c r="RNC42" s="119"/>
      <c r="RND42" s="119"/>
      <c r="RNE42" s="119"/>
      <c r="RNF42" s="119"/>
      <c r="RNG42" s="119"/>
      <c r="RNH42" s="119"/>
      <c r="RNI42" s="119"/>
      <c r="RNJ42" s="119"/>
      <c r="RNK42" s="119"/>
      <c r="RNL42" s="119"/>
      <c r="RNM42" s="119"/>
      <c r="RNN42" s="119"/>
      <c r="RNO42" s="119"/>
      <c r="RNP42" s="119"/>
      <c r="RNQ42" s="119"/>
      <c r="RNR42" s="119"/>
      <c r="RNS42" s="119"/>
      <c r="RNT42" s="119"/>
      <c r="RNU42" s="119"/>
      <c r="RNV42" s="119"/>
      <c r="RNW42" s="119"/>
      <c r="RNX42" s="119"/>
      <c r="RNY42" s="119"/>
      <c r="RNZ42" s="119"/>
      <c r="ROA42" s="119"/>
      <c r="ROB42" s="119"/>
      <c r="ROC42" s="119"/>
      <c r="ROD42" s="119"/>
      <c r="ROE42" s="119"/>
      <c r="ROF42" s="119"/>
      <c r="ROG42" s="119"/>
      <c r="ROH42" s="119"/>
      <c r="ROI42" s="119"/>
      <c r="ROJ42" s="119"/>
      <c r="ROK42" s="119"/>
      <c r="ROL42" s="119"/>
      <c r="ROM42" s="119"/>
      <c r="RON42" s="119"/>
      <c r="ROO42" s="119"/>
      <c r="ROP42" s="119"/>
      <c r="ROQ42" s="119"/>
      <c r="ROR42" s="119"/>
      <c r="ROS42" s="119"/>
      <c r="ROT42" s="119"/>
      <c r="ROU42" s="119"/>
      <c r="ROV42" s="119"/>
      <c r="ROW42" s="119"/>
      <c r="ROX42" s="119"/>
      <c r="ROY42" s="119"/>
      <c r="ROZ42" s="119"/>
      <c r="RPA42" s="119"/>
      <c r="RPB42" s="119"/>
      <c r="RPC42" s="119"/>
      <c r="RPD42" s="119"/>
      <c r="RPE42" s="119"/>
      <c r="RPF42" s="119"/>
      <c r="RPG42" s="119"/>
      <c r="RPH42" s="119"/>
      <c r="RPI42" s="119"/>
      <c r="RPJ42" s="119"/>
      <c r="RPK42" s="119"/>
      <c r="RPL42" s="119"/>
      <c r="RPM42" s="119"/>
      <c r="RPN42" s="119"/>
      <c r="RPO42" s="119"/>
      <c r="RPP42" s="119"/>
      <c r="RPQ42" s="119"/>
      <c r="RPR42" s="119"/>
      <c r="RPS42" s="119"/>
      <c r="RPT42" s="119"/>
      <c r="RPU42" s="119"/>
      <c r="RPV42" s="119"/>
      <c r="RPW42" s="119"/>
      <c r="RPX42" s="119"/>
      <c r="RPY42" s="119"/>
      <c r="RPZ42" s="119"/>
      <c r="RQA42" s="119"/>
      <c r="RQB42" s="119"/>
      <c r="RQC42" s="119"/>
      <c r="RQD42" s="119"/>
      <c r="RQE42" s="119"/>
      <c r="RQF42" s="119"/>
      <c r="RQG42" s="119"/>
      <c r="RQH42" s="119"/>
      <c r="RQI42" s="119"/>
      <c r="RQJ42" s="119"/>
      <c r="RQK42" s="119"/>
      <c r="RQL42" s="119"/>
      <c r="RQM42" s="119"/>
      <c r="RQN42" s="119"/>
      <c r="RQO42" s="119"/>
      <c r="RQP42" s="119"/>
      <c r="RQQ42" s="119"/>
      <c r="RQR42" s="119"/>
      <c r="RQS42" s="119"/>
      <c r="RQT42" s="119"/>
      <c r="RQU42" s="119"/>
      <c r="RQV42" s="119"/>
      <c r="RQW42" s="119"/>
      <c r="RQX42" s="119"/>
      <c r="RQY42" s="119"/>
      <c r="RQZ42" s="119"/>
      <c r="RRA42" s="119"/>
      <c r="RRB42" s="119"/>
      <c r="RRC42" s="119"/>
      <c r="RRD42" s="119"/>
      <c r="RRE42" s="119"/>
      <c r="RRF42" s="119"/>
      <c r="RRG42" s="119"/>
      <c r="RRH42" s="119"/>
      <c r="RRI42" s="119"/>
      <c r="RRJ42" s="119"/>
      <c r="RRK42" s="119"/>
      <c r="RRL42" s="119"/>
      <c r="RRM42" s="119"/>
      <c r="RRN42" s="119"/>
      <c r="RRO42" s="119"/>
      <c r="RRP42" s="119"/>
      <c r="RRQ42" s="119"/>
      <c r="RRR42" s="119"/>
      <c r="RRS42" s="119"/>
      <c r="RRT42" s="119"/>
      <c r="RRU42" s="119"/>
      <c r="RRV42" s="119"/>
      <c r="RRW42" s="119"/>
      <c r="RRX42" s="119"/>
      <c r="RRY42" s="119"/>
      <c r="RRZ42" s="119"/>
      <c r="RSA42" s="119"/>
      <c r="RSB42" s="119"/>
      <c r="RSC42" s="119"/>
      <c r="RSD42" s="119"/>
      <c r="RSE42" s="119"/>
      <c r="RSF42" s="119"/>
      <c r="RSG42" s="119"/>
      <c r="RSH42" s="119"/>
      <c r="RSI42" s="119"/>
      <c r="RSJ42" s="119"/>
      <c r="RSK42" s="119"/>
      <c r="RSL42" s="119"/>
      <c r="RSM42" s="119"/>
      <c r="RSN42" s="119"/>
      <c r="RSO42" s="119"/>
      <c r="RSP42" s="119"/>
      <c r="RSQ42" s="119"/>
      <c r="RSR42" s="119"/>
      <c r="RSS42" s="119"/>
      <c r="RST42" s="119"/>
      <c r="RSU42" s="119"/>
      <c r="RSV42" s="119"/>
      <c r="RSW42" s="119"/>
      <c r="RSX42" s="119"/>
      <c r="RSY42" s="119"/>
      <c r="RSZ42" s="119"/>
      <c r="RTA42" s="119"/>
      <c r="RTB42" s="119"/>
      <c r="RTC42" s="119"/>
      <c r="RTD42" s="119"/>
      <c r="RTE42" s="119"/>
      <c r="RTF42" s="119"/>
      <c r="RTG42" s="119"/>
      <c r="RTH42" s="119"/>
      <c r="RTI42" s="119"/>
      <c r="RTJ42" s="119"/>
      <c r="RTK42" s="119"/>
      <c r="RTL42" s="119"/>
      <c r="RTM42" s="119"/>
      <c r="RTN42" s="119"/>
      <c r="RTO42" s="119"/>
      <c r="RTP42" s="119"/>
      <c r="RTQ42" s="119"/>
      <c r="RTR42" s="119"/>
      <c r="RTS42" s="119"/>
      <c r="RTT42" s="119"/>
      <c r="RTU42" s="119"/>
      <c r="RTV42" s="119"/>
      <c r="RTW42" s="119"/>
      <c r="RTX42" s="119"/>
      <c r="RTY42" s="119"/>
      <c r="RTZ42" s="119"/>
      <c r="RUA42" s="119"/>
      <c r="RUB42" s="119"/>
      <c r="RUC42" s="119"/>
      <c r="RUD42" s="119"/>
      <c r="RUE42" s="119"/>
      <c r="RUF42" s="119"/>
      <c r="RUG42" s="119"/>
      <c r="RUH42" s="119"/>
      <c r="RUI42" s="119"/>
      <c r="RUJ42" s="119"/>
      <c r="RUK42" s="119"/>
      <c r="RUL42" s="119"/>
      <c r="RUM42" s="119"/>
      <c r="RUN42" s="119"/>
      <c r="RUO42" s="119"/>
      <c r="RUP42" s="119"/>
      <c r="RUQ42" s="119"/>
      <c r="RUR42" s="119"/>
      <c r="RUS42" s="119"/>
      <c r="RUT42" s="119"/>
      <c r="RUU42" s="119"/>
      <c r="RUV42" s="119"/>
      <c r="RUW42" s="119"/>
      <c r="RUX42" s="119"/>
      <c r="RUY42" s="119"/>
      <c r="RUZ42" s="119"/>
      <c r="RVA42" s="119"/>
      <c r="RVB42" s="119"/>
      <c r="RVC42" s="119"/>
      <c r="RVD42" s="119"/>
      <c r="RVE42" s="119"/>
      <c r="RVF42" s="119"/>
      <c r="RVG42" s="119"/>
      <c r="RVH42" s="119"/>
      <c r="RVI42" s="119"/>
      <c r="RVJ42" s="119"/>
      <c r="RVK42" s="119"/>
      <c r="RVL42" s="119"/>
      <c r="RVM42" s="119"/>
      <c r="RVN42" s="119"/>
      <c r="RVO42" s="119"/>
      <c r="RVP42" s="119"/>
      <c r="RVQ42" s="119"/>
      <c r="RVR42" s="119"/>
      <c r="RVS42" s="119"/>
      <c r="RVT42" s="119"/>
      <c r="RVU42" s="119"/>
      <c r="RVV42" s="119"/>
      <c r="RVW42" s="119"/>
      <c r="RVX42" s="119"/>
      <c r="RVY42" s="119"/>
      <c r="RVZ42" s="119"/>
      <c r="RWA42" s="119"/>
      <c r="RWB42" s="119"/>
      <c r="RWC42" s="119"/>
      <c r="RWD42" s="119"/>
      <c r="RWE42" s="119"/>
      <c r="RWF42" s="119"/>
      <c r="RWG42" s="119"/>
      <c r="RWH42" s="119"/>
      <c r="RWI42" s="119"/>
      <c r="RWJ42" s="119"/>
      <c r="RWK42" s="119"/>
      <c r="RWL42" s="119"/>
      <c r="RWM42" s="119"/>
      <c r="RWN42" s="119"/>
      <c r="RWO42" s="119"/>
      <c r="RWP42" s="119"/>
      <c r="RWQ42" s="119"/>
      <c r="RWR42" s="119"/>
      <c r="RWS42" s="119"/>
      <c r="RWT42" s="119"/>
      <c r="RWU42" s="119"/>
      <c r="RWV42" s="119"/>
      <c r="RWW42" s="119"/>
      <c r="RWX42" s="119"/>
      <c r="RWY42" s="119"/>
      <c r="RWZ42" s="119"/>
      <c r="RXA42" s="119"/>
      <c r="RXB42" s="119"/>
      <c r="RXC42" s="119"/>
      <c r="RXD42" s="119"/>
      <c r="RXE42" s="119"/>
      <c r="RXF42" s="119"/>
      <c r="RXG42" s="119"/>
      <c r="RXH42" s="119"/>
      <c r="RXI42" s="119"/>
      <c r="RXJ42" s="119"/>
      <c r="RXK42" s="119"/>
      <c r="RXL42" s="119"/>
      <c r="RXM42" s="119"/>
      <c r="RXN42" s="119"/>
      <c r="RXO42" s="119"/>
      <c r="RXP42" s="119"/>
      <c r="RXQ42" s="119"/>
      <c r="RXR42" s="119"/>
      <c r="RXS42" s="119"/>
      <c r="RXT42" s="119"/>
      <c r="RXU42" s="119"/>
      <c r="RXV42" s="119"/>
      <c r="RXW42" s="119"/>
      <c r="RXX42" s="119"/>
      <c r="RXY42" s="119"/>
      <c r="RXZ42" s="119"/>
      <c r="RYA42" s="119"/>
      <c r="RYB42" s="119"/>
      <c r="RYC42" s="119"/>
      <c r="RYD42" s="119"/>
      <c r="RYE42" s="119"/>
      <c r="RYF42" s="119"/>
      <c r="RYG42" s="119"/>
      <c r="RYH42" s="119"/>
      <c r="RYI42" s="119"/>
      <c r="RYJ42" s="119"/>
      <c r="RYK42" s="119"/>
      <c r="RYL42" s="119"/>
      <c r="RYM42" s="119"/>
      <c r="RYN42" s="119"/>
      <c r="RYO42" s="119"/>
      <c r="RYP42" s="119"/>
      <c r="RYQ42" s="119"/>
      <c r="RYR42" s="119"/>
      <c r="RYS42" s="119"/>
      <c r="RYT42" s="119"/>
      <c r="RYU42" s="119"/>
      <c r="RYV42" s="119"/>
      <c r="RYW42" s="119"/>
      <c r="RYX42" s="119"/>
      <c r="RYY42" s="119"/>
      <c r="RYZ42" s="119"/>
      <c r="RZA42" s="119"/>
      <c r="RZB42" s="119"/>
      <c r="RZC42" s="119"/>
      <c r="RZD42" s="119"/>
      <c r="RZE42" s="119"/>
      <c r="RZF42" s="119"/>
      <c r="RZG42" s="119"/>
      <c r="RZH42" s="119"/>
      <c r="RZI42" s="119"/>
      <c r="RZJ42" s="119"/>
      <c r="RZK42" s="119"/>
      <c r="RZL42" s="119"/>
      <c r="RZM42" s="119"/>
      <c r="RZN42" s="119"/>
      <c r="RZO42" s="119"/>
      <c r="RZP42" s="119"/>
      <c r="RZQ42" s="119"/>
      <c r="RZR42" s="119"/>
      <c r="RZS42" s="119"/>
      <c r="RZT42" s="119"/>
      <c r="RZU42" s="119"/>
      <c r="RZV42" s="119"/>
      <c r="RZW42" s="119"/>
      <c r="RZX42" s="119"/>
      <c r="RZY42" s="119"/>
      <c r="RZZ42" s="119"/>
      <c r="SAA42" s="119"/>
      <c r="SAB42" s="119"/>
      <c r="SAC42" s="119"/>
      <c r="SAD42" s="119"/>
      <c r="SAE42" s="119"/>
      <c r="SAF42" s="119"/>
      <c r="SAG42" s="119"/>
      <c r="SAH42" s="119"/>
      <c r="SAI42" s="119"/>
      <c r="SAJ42" s="119"/>
      <c r="SAK42" s="119"/>
      <c r="SAL42" s="119"/>
      <c r="SAM42" s="119"/>
      <c r="SAN42" s="119"/>
      <c r="SAO42" s="119"/>
      <c r="SAP42" s="119"/>
      <c r="SAQ42" s="119"/>
      <c r="SAR42" s="119"/>
      <c r="SAS42" s="119"/>
      <c r="SAT42" s="119"/>
      <c r="SAU42" s="119"/>
      <c r="SAV42" s="119"/>
      <c r="SAW42" s="119"/>
      <c r="SAX42" s="119"/>
      <c r="SAY42" s="119"/>
      <c r="SAZ42" s="119"/>
      <c r="SBA42" s="119"/>
      <c r="SBB42" s="119"/>
      <c r="SBC42" s="119"/>
      <c r="SBD42" s="119"/>
      <c r="SBE42" s="119"/>
      <c r="SBF42" s="119"/>
      <c r="SBG42" s="119"/>
      <c r="SBH42" s="119"/>
      <c r="SBI42" s="119"/>
      <c r="SBJ42" s="119"/>
      <c r="SBK42" s="119"/>
      <c r="SBL42" s="119"/>
      <c r="SBM42" s="119"/>
      <c r="SBN42" s="119"/>
      <c r="SBO42" s="119"/>
      <c r="SBP42" s="119"/>
      <c r="SBQ42" s="119"/>
      <c r="SBR42" s="119"/>
      <c r="SBS42" s="119"/>
      <c r="SBT42" s="119"/>
      <c r="SBU42" s="119"/>
      <c r="SBV42" s="119"/>
      <c r="SBW42" s="119"/>
      <c r="SBX42" s="119"/>
      <c r="SBY42" s="119"/>
      <c r="SBZ42" s="119"/>
      <c r="SCA42" s="119"/>
      <c r="SCB42" s="119"/>
      <c r="SCC42" s="119"/>
      <c r="SCD42" s="119"/>
      <c r="SCE42" s="119"/>
      <c r="SCF42" s="119"/>
      <c r="SCG42" s="119"/>
      <c r="SCH42" s="119"/>
      <c r="SCI42" s="119"/>
      <c r="SCJ42" s="119"/>
      <c r="SCK42" s="119"/>
      <c r="SCL42" s="119"/>
      <c r="SCM42" s="119"/>
      <c r="SCN42" s="119"/>
      <c r="SCO42" s="119"/>
      <c r="SCP42" s="119"/>
      <c r="SCQ42" s="119"/>
      <c r="SCR42" s="119"/>
      <c r="SCS42" s="119"/>
      <c r="SCT42" s="119"/>
      <c r="SCU42" s="119"/>
      <c r="SCV42" s="119"/>
      <c r="SCW42" s="119"/>
      <c r="SCX42" s="119"/>
      <c r="SCY42" s="119"/>
      <c r="SCZ42" s="119"/>
      <c r="SDA42" s="119"/>
      <c r="SDB42" s="119"/>
      <c r="SDC42" s="119"/>
      <c r="SDD42" s="119"/>
      <c r="SDE42" s="119"/>
      <c r="SDF42" s="119"/>
      <c r="SDG42" s="119"/>
      <c r="SDH42" s="119"/>
      <c r="SDI42" s="119"/>
      <c r="SDJ42" s="119"/>
      <c r="SDK42" s="119"/>
      <c r="SDL42" s="119"/>
      <c r="SDM42" s="119"/>
      <c r="SDN42" s="119"/>
      <c r="SDO42" s="119"/>
      <c r="SDP42" s="119"/>
      <c r="SDQ42" s="119"/>
      <c r="SDR42" s="119"/>
      <c r="SDS42" s="119"/>
      <c r="SDT42" s="119"/>
      <c r="SDU42" s="119"/>
      <c r="SDV42" s="119"/>
      <c r="SDW42" s="119"/>
      <c r="SDX42" s="119"/>
      <c r="SDY42" s="119"/>
      <c r="SDZ42" s="119"/>
      <c r="SEA42" s="119"/>
      <c r="SEB42" s="119"/>
      <c r="SEC42" s="119"/>
      <c r="SED42" s="119"/>
      <c r="SEE42" s="119"/>
      <c r="SEF42" s="119"/>
      <c r="SEG42" s="119"/>
      <c r="SEH42" s="119"/>
      <c r="SEI42" s="119"/>
      <c r="SEJ42" s="119"/>
      <c r="SEK42" s="119"/>
      <c r="SEL42" s="119"/>
      <c r="SEM42" s="119"/>
      <c r="SEN42" s="119"/>
      <c r="SEO42" s="119"/>
      <c r="SEP42" s="119"/>
      <c r="SEQ42" s="119"/>
      <c r="SER42" s="119"/>
      <c r="SES42" s="119"/>
      <c r="SET42" s="119"/>
      <c r="SEU42" s="119"/>
      <c r="SEV42" s="119"/>
      <c r="SEW42" s="119"/>
      <c r="SEX42" s="119"/>
      <c r="SEY42" s="119"/>
      <c r="SEZ42" s="119"/>
      <c r="SFA42" s="119"/>
      <c r="SFB42" s="119"/>
      <c r="SFC42" s="119"/>
      <c r="SFD42" s="119"/>
      <c r="SFE42" s="119"/>
      <c r="SFF42" s="119"/>
      <c r="SFG42" s="119"/>
      <c r="SFH42" s="119"/>
      <c r="SFI42" s="119"/>
      <c r="SFJ42" s="119"/>
      <c r="SFK42" s="119"/>
      <c r="SFL42" s="119"/>
      <c r="SFM42" s="119"/>
      <c r="SFN42" s="119"/>
      <c r="SFO42" s="119"/>
      <c r="SFP42" s="119"/>
      <c r="SFQ42" s="119"/>
      <c r="SFR42" s="119"/>
      <c r="SFS42" s="119"/>
      <c r="SFT42" s="119"/>
      <c r="SFU42" s="119"/>
      <c r="SFV42" s="119"/>
      <c r="SFW42" s="119"/>
      <c r="SFX42" s="119"/>
      <c r="SFY42" s="119"/>
      <c r="SFZ42" s="119"/>
      <c r="SGA42" s="119"/>
      <c r="SGB42" s="119"/>
      <c r="SGC42" s="119"/>
      <c r="SGD42" s="119"/>
      <c r="SGE42" s="119"/>
      <c r="SGF42" s="119"/>
      <c r="SGG42" s="119"/>
      <c r="SGH42" s="119"/>
      <c r="SGI42" s="119"/>
      <c r="SGJ42" s="119"/>
      <c r="SGK42" s="119"/>
      <c r="SGL42" s="119"/>
      <c r="SGM42" s="119"/>
      <c r="SGN42" s="119"/>
      <c r="SGO42" s="119"/>
      <c r="SGP42" s="119"/>
      <c r="SGQ42" s="119"/>
      <c r="SGR42" s="119"/>
      <c r="SGS42" s="119"/>
      <c r="SGT42" s="119"/>
      <c r="SGU42" s="119"/>
      <c r="SGV42" s="119"/>
      <c r="SGW42" s="119"/>
      <c r="SGX42" s="119"/>
      <c r="SGY42" s="119"/>
      <c r="SGZ42" s="119"/>
      <c r="SHA42" s="119"/>
      <c r="SHB42" s="119"/>
      <c r="SHC42" s="119"/>
      <c r="SHD42" s="119"/>
      <c r="SHE42" s="119"/>
      <c r="SHF42" s="119"/>
      <c r="SHG42" s="119"/>
      <c r="SHH42" s="119"/>
      <c r="SHI42" s="119"/>
      <c r="SHJ42" s="119"/>
      <c r="SHK42" s="119"/>
      <c r="SHL42" s="119"/>
      <c r="SHM42" s="119"/>
      <c r="SHN42" s="119"/>
      <c r="SHO42" s="119"/>
      <c r="SHP42" s="119"/>
      <c r="SHQ42" s="119"/>
      <c r="SHR42" s="119"/>
      <c r="SHS42" s="119"/>
      <c r="SHT42" s="119"/>
      <c r="SHU42" s="119"/>
      <c r="SHV42" s="119"/>
      <c r="SHW42" s="119"/>
      <c r="SHX42" s="119"/>
      <c r="SHY42" s="119"/>
      <c r="SHZ42" s="119"/>
      <c r="SIA42" s="119"/>
      <c r="SIB42" s="119"/>
      <c r="SIC42" s="119"/>
      <c r="SID42" s="119"/>
      <c r="SIE42" s="119"/>
      <c r="SIF42" s="119"/>
      <c r="SIG42" s="119"/>
      <c r="SIH42" s="119"/>
      <c r="SII42" s="119"/>
      <c r="SIJ42" s="119"/>
      <c r="SIK42" s="119"/>
      <c r="SIL42" s="119"/>
      <c r="SIM42" s="119"/>
      <c r="SIN42" s="119"/>
      <c r="SIO42" s="119"/>
      <c r="SIP42" s="119"/>
      <c r="SIQ42" s="119"/>
      <c r="SIR42" s="119"/>
      <c r="SIS42" s="119"/>
      <c r="SIT42" s="119"/>
      <c r="SIU42" s="119"/>
      <c r="SIV42" s="119"/>
      <c r="SIW42" s="119"/>
      <c r="SIX42" s="119"/>
      <c r="SIY42" s="119"/>
      <c r="SIZ42" s="119"/>
      <c r="SJA42" s="119"/>
      <c r="SJB42" s="119"/>
      <c r="SJC42" s="119"/>
      <c r="SJD42" s="119"/>
      <c r="SJE42" s="119"/>
      <c r="SJF42" s="119"/>
      <c r="SJG42" s="119"/>
      <c r="SJH42" s="119"/>
      <c r="SJI42" s="119"/>
      <c r="SJJ42" s="119"/>
      <c r="SJK42" s="119"/>
      <c r="SJL42" s="119"/>
      <c r="SJM42" s="119"/>
      <c r="SJN42" s="119"/>
      <c r="SJO42" s="119"/>
      <c r="SJP42" s="119"/>
      <c r="SJQ42" s="119"/>
      <c r="SJR42" s="119"/>
      <c r="SJS42" s="119"/>
      <c r="SJT42" s="119"/>
      <c r="SJU42" s="119"/>
      <c r="SJV42" s="119"/>
      <c r="SJW42" s="119"/>
      <c r="SJX42" s="119"/>
      <c r="SJY42" s="119"/>
      <c r="SJZ42" s="119"/>
      <c r="SKA42" s="119"/>
      <c r="SKB42" s="119"/>
      <c r="SKC42" s="119"/>
      <c r="SKD42" s="119"/>
      <c r="SKE42" s="119"/>
      <c r="SKF42" s="119"/>
      <c r="SKG42" s="119"/>
      <c r="SKH42" s="119"/>
      <c r="SKI42" s="119"/>
      <c r="SKJ42" s="119"/>
      <c r="SKK42" s="119"/>
      <c r="SKL42" s="119"/>
      <c r="SKM42" s="119"/>
      <c r="SKN42" s="119"/>
      <c r="SKO42" s="119"/>
      <c r="SKP42" s="119"/>
      <c r="SKQ42" s="119"/>
      <c r="SKR42" s="119"/>
      <c r="SKS42" s="119"/>
      <c r="SKT42" s="119"/>
      <c r="SKU42" s="119"/>
      <c r="SKV42" s="119"/>
      <c r="SKW42" s="119"/>
      <c r="SKX42" s="119"/>
      <c r="SKY42" s="119"/>
      <c r="SKZ42" s="119"/>
      <c r="SLA42" s="119"/>
      <c r="SLB42" s="119"/>
      <c r="SLC42" s="119"/>
      <c r="SLD42" s="119"/>
      <c r="SLE42" s="119"/>
      <c r="SLF42" s="119"/>
      <c r="SLG42" s="119"/>
      <c r="SLH42" s="119"/>
      <c r="SLI42" s="119"/>
      <c r="SLJ42" s="119"/>
      <c r="SLK42" s="119"/>
      <c r="SLL42" s="119"/>
      <c r="SLM42" s="119"/>
      <c r="SLN42" s="119"/>
      <c r="SLO42" s="119"/>
      <c r="SLP42" s="119"/>
      <c r="SLQ42" s="119"/>
      <c r="SLR42" s="119"/>
      <c r="SLS42" s="119"/>
      <c r="SLT42" s="119"/>
      <c r="SLU42" s="119"/>
      <c r="SLV42" s="119"/>
      <c r="SLW42" s="119"/>
      <c r="SLX42" s="119"/>
      <c r="SLY42" s="119"/>
      <c r="SLZ42" s="119"/>
      <c r="SMA42" s="119"/>
      <c r="SMB42" s="119"/>
      <c r="SMC42" s="119"/>
      <c r="SMD42" s="119"/>
      <c r="SME42" s="119"/>
      <c r="SMF42" s="119"/>
      <c r="SMG42" s="119"/>
      <c r="SMH42" s="119"/>
      <c r="SMI42" s="119"/>
      <c r="SMJ42" s="119"/>
      <c r="SMK42" s="119"/>
      <c r="SML42" s="119"/>
      <c r="SMM42" s="119"/>
      <c r="SMN42" s="119"/>
      <c r="SMO42" s="119"/>
      <c r="SMP42" s="119"/>
      <c r="SMQ42" s="119"/>
      <c r="SMR42" s="119"/>
      <c r="SMS42" s="119"/>
      <c r="SMT42" s="119"/>
      <c r="SMU42" s="119"/>
      <c r="SMV42" s="119"/>
      <c r="SMW42" s="119"/>
      <c r="SMX42" s="119"/>
      <c r="SMY42" s="119"/>
      <c r="SMZ42" s="119"/>
      <c r="SNA42" s="119"/>
      <c r="SNB42" s="119"/>
      <c r="SNC42" s="119"/>
      <c r="SND42" s="119"/>
      <c r="SNE42" s="119"/>
      <c r="SNF42" s="119"/>
      <c r="SNG42" s="119"/>
      <c r="SNH42" s="119"/>
      <c r="SNI42" s="119"/>
      <c r="SNJ42" s="119"/>
      <c r="SNK42" s="119"/>
      <c r="SNL42" s="119"/>
      <c r="SNM42" s="119"/>
      <c r="SNN42" s="119"/>
      <c r="SNO42" s="119"/>
      <c r="SNP42" s="119"/>
      <c r="SNQ42" s="119"/>
      <c r="SNR42" s="119"/>
      <c r="SNS42" s="119"/>
      <c r="SNT42" s="119"/>
      <c r="SNU42" s="119"/>
      <c r="SNV42" s="119"/>
      <c r="SNW42" s="119"/>
      <c r="SNX42" s="119"/>
      <c r="SNY42" s="119"/>
      <c r="SNZ42" s="119"/>
      <c r="SOA42" s="119"/>
      <c r="SOB42" s="119"/>
      <c r="SOC42" s="119"/>
      <c r="SOD42" s="119"/>
      <c r="SOE42" s="119"/>
      <c r="SOF42" s="119"/>
      <c r="SOG42" s="119"/>
      <c r="SOH42" s="119"/>
      <c r="SOI42" s="119"/>
      <c r="SOJ42" s="119"/>
      <c r="SOK42" s="119"/>
      <c r="SOL42" s="119"/>
      <c r="SOM42" s="119"/>
      <c r="SON42" s="119"/>
      <c r="SOO42" s="119"/>
      <c r="SOP42" s="119"/>
      <c r="SOQ42" s="119"/>
      <c r="SOR42" s="119"/>
      <c r="SOS42" s="119"/>
      <c r="SOT42" s="119"/>
      <c r="SOU42" s="119"/>
      <c r="SOV42" s="119"/>
      <c r="SOW42" s="119"/>
      <c r="SOX42" s="119"/>
      <c r="SOY42" s="119"/>
      <c r="SOZ42" s="119"/>
      <c r="SPA42" s="119"/>
      <c r="SPB42" s="119"/>
      <c r="SPC42" s="119"/>
      <c r="SPD42" s="119"/>
      <c r="SPE42" s="119"/>
      <c r="SPF42" s="119"/>
      <c r="SPG42" s="119"/>
      <c r="SPH42" s="119"/>
      <c r="SPI42" s="119"/>
      <c r="SPJ42" s="119"/>
      <c r="SPK42" s="119"/>
      <c r="SPL42" s="119"/>
      <c r="SPM42" s="119"/>
      <c r="SPN42" s="119"/>
      <c r="SPO42" s="119"/>
      <c r="SPP42" s="119"/>
      <c r="SPQ42" s="119"/>
      <c r="SPR42" s="119"/>
      <c r="SPS42" s="119"/>
      <c r="SPT42" s="119"/>
      <c r="SPU42" s="119"/>
      <c r="SPV42" s="119"/>
      <c r="SPW42" s="119"/>
      <c r="SPX42" s="119"/>
      <c r="SPY42" s="119"/>
      <c r="SPZ42" s="119"/>
      <c r="SQA42" s="119"/>
      <c r="SQB42" s="119"/>
      <c r="SQC42" s="119"/>
      <c r="SQD42" s="119"/>
      <c r="SQE42" s="119"/>
      <c r="SQF42" s="119"/>
      <c r="SQG42" s="119"/>
      <c r="SQH42" s="119"/>
      <c r="SQI42" s="119"/>
      <c r="SQJ42" s="119"/>
      <c r="SQK42" s="119"/>
      <c r="SQL42" s="119"/>
      <c r="SQM42" s="119"/>
      <c r="SQN42" s="119"/>
      <c r="SQO42" s="119"/>
      <c r="SQP42" s="119"/>
      <c r="SQQ42" s="119"/>
      <c r="SQR42" s="119"/>
      <c r="SQS42" s="119"/>
      <c r="SQT42" s="119"/>
      <c r="SQU42" s="119"/>
      <c r="SQV42" s="119"/>
      <c r="SQW42" s="119"/>
      <c r="SQX42" s="119"/>
      <c r="SQY42" s="119"/>
      <c r="SQZ42" s="119"/>
      <c r="SRA42" s="119"/>
      <c r="SRB42" s="119"/>
      <c r="SRC42" s="119"/>
      <c r="SRD42" s="119"/>
      <c r="SRE42" s="119"/>
      <c r="SRF42" s="119"/>
      <c r="SRG42" s="119"/>
      <c r="SRH42" s="119"/>
      <c r="SRI42" s="119"/>
      <c r="SRJ42" s="119"/>
      <c r="SRK42" s="119"/>
      <c r="SRL42" s="119"/>
      <c r="SRM42" s="119"/>
      <c r="SRN42" s="119"/>
      <c r="SRO42" s="119"/>
      <c r="SRP42" s="119"/>
      <c r="SRQ42" s="119"/>
      <c r="SRR42" s="119"/>
      <c r="SRS42" s="119"/>
      <c r="SRT42" s="119"/>
      <c r="SRU42" s="119"/>
      <c r="SRV42" s="119"/>
      <c r="SRW42" s="119"/>
      <c r="SRX42" s="119"/>
      <c r="SRY42" s="119"/>
      <c r="SRZ42" s="119"/>
      <c r="SSA42" s="119"/>
      <c r="SSB42" s="119"/>
      <c r="SSC42" s="119"/>
      <c r="SSD42" s="119"/>
      <c r="SSE42" s="119"/>
      <c r="SSF42" s="119"/>
      <c r="SSG42" s="119"/>
      <c r="SSH42" s="119"/>
      <c r="SSI42" s="119"/>
      <c r="SSJ42" s="119"/>
      <c r="SSK42" s="119"/>
      <c r="SSL42" s="119"/>
      <c r="SSM42" s="119"/>
      <c r="SSN42" s="119"/>
      <c r="SSO42" s="119"/>
      <c r="SSP42" s="119"/>
      <c r="SSQ42" s="119"/>
      <c r="SSR42" s="119"/>
      <c r="SSS42" s="119"/>
      <c r="SST42" s="119"/>
      <c r="SSU42" s="119"/>
      <c r="SSV42" s="119"/>
      <c r="SSW42" s="119"/>
      <c r="SSX42" s="119"/>
      <c r="SSY42" s="119"/>
      <c r="SSZ42" s="119"/>
      <c r="STA42" s="119"/>
      <c r="STB42" s="119"/>
      <c r="STC42" s="119"/>
      <c r="STD42" s="119"/>
      <c r="STE42" s="119"/>
      <c r="STF42" s="119"/>
      <c r="STG42" s="119"/>
      <c r="STH42" s="119"/>
      <c r="STI42" s="119"/>
      <c r="STJ42" s="119"/>
      <c r="STK42" s="119"/>
      <c r="STL42" s="119"/>
      <c r="STM42" s="119"/>
      <c r="STN42" s="119"/>
      <c r="STO42" s="119"/>
      <c r="STP42" s="119"/>
      <c r="STQ42" s="119"/>
      <c r="STR42" s="119"/>
      <c r="STS42" s="119"/>
      <c r="STT42" s="119"/>
      <c r="STU42" s="119"/>
      <c r="STV42" s="119"/>
      <c r="STW42" s="119"/>
      <c r="STX42" s="119"/>
      <c r="STY42" s="119"/>
      <c r="STZ42" s="119"/>
      <c r="SUA42" s="119"/>
      <c r="SUB42" s="119"/>
      <c r="SUC42" s="119"/>
      <c r="SUD42" s="119"/>
      <c r="SUE42" s="119"/>
      <c r="SUF42" s="119"/>
      <c r="SUG42" s="119"/>
      <c r="SUH42" s="119"/>
      <c r="SUI42" s="119"/>
      <c r="SUJ42" s="119"/>
      <c r="SUK42" s="119"/>
      <c r="SUL42" s="119"/>
      <c r="SUM42" s="119"/>
      <c r="SUN42" s="119"/>
      <c r="SUO42" s="119"/>
      <c r="SUP42" s="119"/>
      <c r="SUQ42" s="119"/>
      <c r="SUR42" s="119"/>
      <c r="SUS42" s="119"/>
      <c r="SUT42" s="119"/>
      <c r="SUU42" s="119"/>
      <c r="SUV42" s="119"/>
      <c r="SUW42" s="119"/>
      <c r="SUX42" s="119"/>
      <c r="SUY42" s="119"/>
      <c r="SUZ42" s="119"/>
      <c r="SVA42" s="119"/>
      <c r="SVB42" s="119"/>
      <c r="SVC42" s="119"/>
      <c r="SVD42" s="119"/>
      <c r="SVE42" s="119"/>
      <c r="SVF42" s="119"/>
      <c r="SVG42" s="119"/>
      <c r="SVH42" s="119"/>
      <c r="SVI42" s="119"/>
      <c r="SVJ42" s="119"/>
      <c r="SVK42" s="119"/>
      <c r="SVL42" s="119"/>
      <c r="SVM42" s="119"/>
      <c r="SVN42" s="119"/>
      <c r="SVO42" s="119"/>
      <c r="SVP42" s="119"/>
      <c r="SVQ42" s="119"/>
      <c r="SVR42" s="119"/>
      <c r="SVS42" s="119"/>
      <c r="SVT42" s="119"/>
      <c r="SVU42" s="119"/>
      <c r="SVV42" s="119"/>
      <c r="SVW42" s="119"/>
      <c r="SVX42" s="119"/>
      <c r="SVY42" s="119"/>
      <c r="SVZ42" s="119"/>
      <c r="SWA42" s="119"/>
      <c r="SWB42" s="119"/>
      <c r="SWC42" s="119"/>
      <c r="SWD42" s="119"/>
      <c r="SWE42" s="119"/>
      <c r="SWF42" s="119"/>
      <c r="SWG42" s="119"/>
      <c r="SWH42" s="119"/>
      <c r="SWI42" s="119"/>
      <c r="SWJ42" s="119"/>
      <c r="SWK42" s="119"/>
      <c r="SWL42" s="119"/>
      <c r="SWM42" s="119"/>
      <c r="SWN42" s="119"/>
      <c r="SWO42" s="119"/>
      <c r="SWP42" s="119"/>
      <c r="SWQ42" s="119"/>
      <c r="SWR42" s="119"/>
      <c r="SWS42" s="119"/>
      <c r="SWT42" s="119"/>
      <c r="SWU42" s="119"/>
      <c r="SWV42" s="119"/>
      <c r="SWW42" s="119"/>
      <c r="SWX42" s="119"/>
      <c r="SWY42" s="119"/>
      <c r="SWZ42" s="119"/>
      <c r="SXA42" s="119"/>
      <c r="SXB42" s="119"/>
      <c r="SXC42" s="119"/>
      <c r="SXD42" s="119"/>
      <c r="SXE42" s="119"/>
      <c r="SXF42" s="119"/>
      <c r="SXG42" s="119"/>
      <c r="SXH42" s="119"/>
      <c r="SXI42" s="119"/>
      <c r="SXJ42" s="119"/>
      <c r="SXK42" s="119"/>
      <c r="SXL42" s="119"/>
      <c r="SXM42" s="119"/>
      <c r="SXN42" s="119"/>
      <c r="SXO42" s="119"/>
      <c r="SXP42" s="119"/>
      <c r="SXQ42" s="119"/>
      <c r="SXR42" s="119"/>
      <c r="SXS42" s="119"/>
      <c r="SXT42" s="119"/>
      <c r="SXU42" s="119"/>
      <c r="SXV42" s="119"/>
      <c r="SXW42" s="119"/>
      <c r="SXX42" s="119"/>
      <c r="SXY42" s="119"/>
      <c r="SXZ42" s="119"/>
      <c r="SYA42" s="119"/>
      <c r="SYB42" s="119"/>
      <c r="SYC42" s="119"/>
      <c r="SYD42" s="119"/>
      <c r="SYE42" s="119"/>
      <c r="SYF42" s="119"/>
      <c r="SYG42" s="119"/>
      <c r="SYH42" s="119"/>
      <c r="SYI42" s="119"/>
      <c r="SYJ42" s="119"/>
      <c r="SYK42" s="119"/>
      <c r="SYL42" s="119"/>
      <c r="SYM42" s="119"/>
      <c r="SYN42" s="119"/>
      <c r="SYO42" s="119"/>
      <c r="SYP42" s="119"/>
      <c r="SYQ42" s="119"/>
      <c r="SYR42" s="119"/>
      <c r="SYS42" s="119"/>
      <c r="SYT42" s="119"/>
      <c r="SYU42" s="119"/>
      <c r="SYV42" s="119"/>
      <c r="SYW42" s="119"/>
      <c r="SYX42" s="119"/>
      <c r="SYY42" s="119"/>
      <c r="SYZ42" s="119"/>
      <c r="SZA42" s="119"/>
      <c r="SZB42" s="119"/>
      <c r="SZC42" s="119"/>
      <c r="SZD42" s="119"/>
      <c r="SZE42" s="119"/>
      <c r="SZF42" s="119"/>
      <c r="SZG42" s="119"/>
      <c r="SZH42" s="119"/>
      <c r="SZI42" s="119"/>
      <c r="SZJ42" s="119"/>
      <c r="SZK42" s="119"/>
      <c r="SZL42" s="119"/>
      <c r="SZM42" s="119"/>
      <c r="SZN42" s="119"/>
      <c r="SZO42" s="119"/>
      <c r="SZP42" s="119"/>
      <c r="SZQ42" s="119"/>
      <c r="SZR42" s="119"/>
      <c r="SZS42" s="119"/>
      <c r="SZT42" s="119"/>
      <c r="SZU42" s="119"/>
      <c r="SZV42" s="119"/>
      <c r="SZW42" s="119"/>
      <c r="SZX42" s="119"/>
      <c r="SZY42" s="119"/>
      <c r="SZZ42" s="119"/>
      <c r="TAA42" s="119"/>
      <c r="TAB42" s="119"/>
      <c r="TAC42" s="119"/>
      <c r="TAD42" s="119"/>
      <c r="TAE42" s="119"/>
      <c r="TAF42" s="119"/>
      <c r="TAG42" s="119"/>
      <c r="TAH42" s="119"/>
      <c r="TAI42" s="119"/>
      <c r="TAJ42" s="119"/>
      <c r="TAK42" s="119"/>
      <c r="TAL42" s="119"/>
      <c r="TAM42" s="119"/>
      <c r="TAN42" s="119"/>
      <c r="TAO42" s="119"/>
      <c r="TAP42" s="119"/>
      <c r="TAQ42" s="119"/>
      <c r="TAR42" s="119"/>
      <c r="TAS42" s="119"/>
      <c r="TAT42" s="119"/>
      <c r="TAU42" s="119"/>
      <c r="TAV42" s="119"/>
      <c r="TAW42" s="119"/>
      <c r="TAX42" s="119"/>
      <c r="TAY42" s="119"/>
      <c r="TAZ42" s="119"/>
      <c r="TBA42" s="119"/>
      <c r="TBB42" s="119"/>
      <c r="TBC42" s="119"/>
      <c r="TBD42" s="119"/>
      <c r="TBE42" s="119"/>
      <c r="TBF42" s="119"/>
      <c r="TBG42" s="119"/>
      <c r="TBH42" s="119"/>
      <c r="TBI42" s="119"/>
      <c r="TBJ42" s="119"/>
      <c r="TBK42" s="119"/>
      <c r="TBL42" s="119"/>
      <c r="TBM42" s="119"/>
      <c r="TBN42" s="119"/>
      <c r="TBO42" s="119"/>
      <c r="TBP42" s="119"/>
      <c r="TBQ42" s="119"/>
      <c r="TBR42" s="119"/>
      <c r="TBS42" s="119"/>
      <c r="TBT42" s="119"/>
      <c r="TBU42" s="119"/>
      <c r="TBV42" s="119"/>
      <c r="TBW42" s="119"/>
      <c r="TBX42" s="119"/>
      <c r="TBY42" s="119"/>
      <c r="TBZ42" s="119"/>
      <c r="TCA42" s="119"/>
      <c r="TCB42" s="119"/>
      <c r="TCC42" s="119"/>
      <c r="TCD42" s="119"/>
      <c r="TCE42" s="119"/>
      <c r="TCF42" s="119"/>
      <c r="TCG42" s="119"/>
      <c r="TCH42" s="119"/>
      <c r="TCI42" s="119"/>
      <c r="TCJ42" s="119"/>
      <c r="TCK42" s="119"/>
      <c r="TCL42" s="119"/>
      <c r="TCM42" s="119"/>
      <c r="TCN42" s="119"/>
      <c r="TCO42" s="119"/>
      <c r="TCP42" s="119"/>
      <c r="TCQ42" s="119"/>
      <c r="TCR42" s="119"/>
      <c r="TCS42" s="119"/>
      <c r="TCT42" s="119"/>
      <c r="TCU42" s="119"/>
      <c r="TCV42" s="119"/>
      <c r="TCW42" s="119"/>
      <c r="TCX42" s="119"/>
      <c r="TCY42" s="119"/>
      <c r="TCZ42" s="119"/>
      <c r="TDA42" s="119"/>
      <c r="TDB42" s="119"/>
      <c r="TDC42" s="119"/>
      <c r="TDD42" s="119"/>
      <c r="TDE42" s="119"/>
      <c r="TDF42" s="119"/>
      <c r="TDG42" s="119"/>
      <c r="TDH42" s="119"/>
      <c r="TDI42" s="119"/>
      <c r="TDJ42" s="119"/>
      <c r="TDK42" s="119"/>
      <c r="TDL42" s="119"/>
      <c r="TDM42" s="119"/>
      <c r="TDN42" s="119"/>
      <c r="TDO42" s="119"/>
      <c r="TDP42" s="119"/>
      <c r="TDQ42" s="119"/>
      <c r="TDR42" s="119"/>
      <c r="TDS42" s="119"/>
      <c r="TDT42" s="119"/>
      <c r="TDU42" s="119"/>
      <c r="TDV42" s="119"/>
      <c r="TDW42" s="119"/>
      <c r="TDX42" s="119"/>
      <c r="TDY42" s="119"/>
      <c r="TDZ42" s="119"/>
      <c r="TEA42" s="119"/>
      <c r="TEB42" s="119"/>
      <c r="TEC42" s="119"/>
      <c r="TED42" s="119"/>
      <c r="TEE42" s="119"/>
      <c r="TEF42" s="119"/>
      <c r="TEG42" s="119"/>
      <c r="TEH42" s="119"/>
      <c r="TEI42" s="119"/>
      <c r="TEJ42" s="119"/>
      <c r="TEK42" s="119"/>
      <c r="TEL42" s="119"/>
      <c r="TEM42" s="119"/>
      <c r="TEN42" s="119"/>
      <c r="TEO42" s="119"/>
      <c r="TEP42" s="119"/>
      <c r="TEQ42" s="119"/>
      <c r="TER42" s="119"/>
      <c r="TES42" s="119"/>
      <c r="TET42" s="119"/>
      <c r="TEU42" s="119"/>
      <c r="TEV42" s="119"/>
      <c r="TEW42" s="119"/>
      <c r="TEX42" s="119"/>
      <c r="TEY42" s="119"/>
      <c r="TEZ42" s="119"/>
      <c r="TFA42" s="119"/>
      <c r="TFB42" s="119"/>
      <c r="TFC42" s="119"/>
      <c r="TFD42" s="119"/>
      <c r="TFE42" s="119"/>
      <c r="TFF42" s="119"/>
      <c r="TFG42" s="119"/>
      <c r="TFH42" s="119"/>
      <c r="TFI42" s="119"/>
      <c r="TFJ42" s="119"/>
      <c r="TFK42" s="119"/>
      <c r="TFL42" s="119"/>
      <c r="TFM42" s="119"/>
      <c r="TFN42" s="119"/>
      <c r="TFO42" s="119"/>
      <c r="TFP42" s="119"/>
      <c r="TFQ42" s="119"/>
      <c r="TFR42" s="119"/>
      <c r="TFS42" s="119"/>
      <c r="TFT42" s="119"/>
      <c r="TFU42" s="119"/>
      <c r="TFV42" s="119"/>
      <c r="TFW42" s="119"/>
      <c r="TFX42" s="119"/>
      <c r="TFY42" s="119"/>
      <c r="TFZ42" s="119"/>
      <c r="TGA42" s="119"/>
      <c r="TGB42" s="119"/>
      <c r="TGC42" s="119"/>
      <c r="TGD42" s="119"/>
      <c r="TGE42" s="119"/>
      <c r="TGF42" s="119"/>
      <c r="TGG42" s="119"/>
      <c r="TGH42" s="119"/>
      <c r="TGI42" s="119"/>
      <c r="TGJ42" s="119"/>
      <c r="TGK42" s="119"/>
      <c r="TGL42" s="119"/>
      <c r="TGM42" s="119"/>
      <c r="TGN42" s="119"/>
      <c r="TGO42" s="119"/>
      <c r="TGP42" s="119"/>
      <c r="TGQ42" s="119"/>
      <c r="TGR42" s="119"/>
      <c r="TGS42" s="119"/>
      <c r="TGT42" s="119"/>
      <c r="TGU42" s="119"/>
      <c r="TGV42" s="119"/>
      <c r="TGW42" s="119"/>
      <c r="TGX42" s="119"/>
      <c r="TGY42" s="119"/>
      <c r="TGZ42" s="119"/>
      <c r="THA42" s="119"/>
      <c r="THB42" s="119"/>
      <c r="THC42" s="119"/>
      <c r="THD42" s="119"/>
      <c r="THE42" s="119"/>
      <c r="THF42" s="119"/>
      <c r="THG42" s="119"/>
      <c r="THH42" s="119"/>
      <c r="THI42" s="119"/>
      <c r="THJ42" s="119"/>
      <c r="THK42" s="119"/>
      <c r="THL42" s="119"/>
      <c r="THM42" s="119"/>
      <c r="THN42" s="119"/>
      <c r="THO42" s="119"/>
      <c r="THP42" s="119"/>
      <c r="THQ42" s="119"/>
      <c r="THR42" s="119"/>
      <c r="THS42" s="119"/>
      <c r="THT42" s="119"/>
      <c r="THU42" s="119"/>
      <c r="THV42" s="119"/>
      <c r="THW42" s="119"/>
      <c r="THX42" s="119"/>
      <c r="THY42" s="119"/>
      <c r="THZ42" s="119"/>
      <c r="TIA42" s="119"/>
      <c r="TIB42" s="119"/>
      <c r="TIC42" s="119"/>
      <c r="TID42" s="119"/>
      <c r="TIE42" s="119"/>
      <c r="TIF42" s="119"/>
      <c r="TIG42" s="119"/>
      <c r="TIH42" s="119"/>
      <c r="TII42" s="119"/>
      <c r="TIJ42" s="119"/>
      <c r="TIK42" s="119"/>
      <c r="TIL42" s="119"/>
      <c r="TIM42" s="119"/>
      <c r="TIN42" s="119"/>
      <c r="TIO42" s="119"/>
      <c r="TIP42" s="119"/>
      <c r="TIQ42" s="119"/>
      <c r="TIR42" s="119"/>
      <c r="TIS42" s="119"/>
      <c r="TIT42" s="119"/>
      <c r="TIU42" s="119"/>
      <c r="TIV42" s="119"/>
      <c r="TIW42" s="119"/>
      <c r="TIX42" s="119"/>
      <c r="TIY42" s="119"/>
      <c r="TIZ42" s="119"/>
      <c r="TJA42" s="119"/>
      <c r="TJB42" s="119"/>
      <c r="TJC42" s="119"/>
      <c r="TJD42" s="119"/>
      <c r="TJE42" s="119"/>
      <c r="TJF42" s="119"/>
      <c r="TJG42" s="119"/>
      <c r="TJH42" s="119"/>
      <c r="TJI42" s="119"/>
      <c r="TJJ42" s="119"/>
      <c r="TJK42" s="119"/>
      <c r="TJL42" s="119"/>
      <c r="TJM42" s="119"/>
      <c r="TJN42" s="119"/>
      <c r="TJO42" s="119"/>
      <c r="TJP42" s="119"/>
      <c r="TJQ42" s="119"/>
      <c r="TJR42" s="119"/>
      <c r="TJS42" s="119"/>
      <c r="TJT42" s="119"/>
      <c r="TJU42" s="119"/>
      <c r="TJV42" s="119"/>
      <c r="TJW42" s="119"/>
      <c r="TJX42" s="119"/>
      <c r="TJY42" s="119"/>
      <c r="TJZ42" s="119"/>
      <c r="TKA42" s="119"/>
      <c r="TKB42" s="119"/>
      <c r="TKC42" s="119"/>
      <c r="TKD42" s="119"/>
      <c r="TKE42" s="119"/>
      <c r="TKF42" s="119"/>
      <c r="TKG42" s="119"/>
      <c r="TKH42" s="119"/>
      <c r="TKI42" s="119"/>
      <c r="TKJ42" s="119"/>
      <c r="TKK42" s="119"/>
      <c r="TKL42" s="119"/>
      <c r="TKM42" s="119"/>
      <c r="TKN42" s="119"/>
      <c r="TKO42" s="119"/>
      <c r="TKP42" s="119"/>
      <c r="TKQ42" s="119"/>
      <c r="TKR42" s="119"/>
      <c r="TKS42" s="119"/>
      <c r="TKT42" s="119"/>
      <c r="TKU42" s="119"/>
      <c r="TKV42" s="119"/>
      <c r="TKW42" s="119"/>
      <c r="TKX42" s="119"/>
      <c r="TKY42" s="119"/>
      <c r="TKZ42" s="119"/>
      <c r="TLA42" s="119"/>
      <c r="TLB42" s="119"/>
      <c r="TLC42" s="119"/>
      <c r="TLD42" s="119"/>
      <c r="TLE42" s="119"/>
      <c r="TLF42" s="119"/>
      <c r="TLG42" s="119"/>
      <c r="TLH42" s="119"/>
      <c r="TLI42" s="119"/>
      <c r="TLJ42" s="119"/>
      <c r="TLK42" s="119"/>
      <c r="TLL42" s="119"/>
      <c r="TLM42" s="119"/>
      <c r="TLN42" s="119"/>
      <c r="TLO42" s="119"/>
      <c r="TLP42" s="119"/>
      <c r="TLQ42" s="119"/>
      <c r="TLR42" s="119"/>
      <c r="TLS42" s="119"/>
      <c r="TLT42" s="119"/>
      <c r="TLU42" s="119"/>
      <c r="TLV42" s="119"/>
      <c r="TLW42" s="119"/>
      <c r="TLX42" s="119"/>
      <c r="TLY42" s="119"/>
      <c r="TLZ42" s="119"/>
      <c r="TMA42" s="119"/>
      <c r="TMB42" s="119"/>
      <c r="TMC42" s="119"/>
      <c r="TMD42" s="119"/>
      <c r="TME42" s="119"/>
      <c r="TMF42" s="119"/>
      <c r="TMG42" s="119"/>
      <c r="TMH42" s="119"/>
      <c r="TMI42" s="119"/>
      <c r="TMJ42" s="119"/>
      <c r="TMK42" s="119"/>
      <c r="TML42" s="119"/>
      <c r="TMM42" s="119"/>
      <c r="TMN42" s="119"/>
      <c r="TMO42" s="119"/>
      <c r="TMP42" s="119"/>
      <c r="TMQ42" s="119"/>
      <c r="TMR42" s="119"/>
      <c r="TMS42" s="119"/>
      <c r="TMT42" s="119"/>
      <c r="TMU42" s="119"/>
      <c r="TMV42" s="119"/>
      <c r="TMW42" s="119"/>
      <c r="TMX42" s="119"/>
      <c r="TMY42" s="119"/>
      <c r="TMZ42" s="119"/>
      <c r="TNA42" s="119"/>
      <c r="TNB42" s="119"/>
      <c r="TNC42" s="119"/>
      <c r="TND42" s="119"/>
      <c r="TNE42" s="119"/>
      <c r="TNF42" s="119"/>
      <c r="TNG42" s="119"/>
      <c r="TNH42" s="119"/>
      <c r="TNI42" s="119"/>
      <c r="TNJ42" s="119"/>
      <c r="TNK42" s="119"/>
      <c r="TNL42" s="119"/>
      <c r="TNM42" s="119"/>
      <c r="TNN42" s="119"/>
      <c r="TNO42" s="119"/>
      <c r="TNP42" s="119"/>
      <c r="TNQ42" s="119"/>
      <c r="TNR42" s="119"/>
      <c r="TNS42" s="119"/>
      <c r="TNT42" s="119"/>
      <c r="TNU42" s="119"/>
      <c r="TNV42" s="119"/>
      <c r="TNW42" s="119"/>
      <c r="TNX42" s="119"/>
      <c r="TNY42" s="119"/>
      <c r="TNZ42" s="119"/>
      <c r="TOA42" s="119"/>
      <c r="TOB42" s="119"/>
      <c r="TOC42" s="119"/>
      <c r="TOD42" s="119"/>
      <c r="TOE42" s="119"/>
      <c r="TOF42" s="119"/>
      <c r="TOG42" s="119"/>
      <c r="TOH42" s="119"/>
      <c r="TOI42" s="119"/>
      <c r="TOJ42" s="119"/>
      <c r="TOK42" s="119"/>
      <c r="TOL42" s="119"/>
      <c r="TOM42" s="119"/>
      <c r="TON42" s="119"/>
      <c r="TOO42" s="119"/>
      <c r="TOP42" s="119"/>
      <c r="TOQ42" s="119"/>
      <c r="TOR42" s="119"/>
      <c r="TOS42" s="119"/>
      <c r="TOT42" s="119"/>
      <c r="TOU42" s="119"/>
      <c r="TOV42" s="119"/>
      <c r="TOW42" s="119"/>
      <c r="TOX42" s="119"/>
      <c r="TOY42" s="119"/>
      <c r="TOZ42" s="119"/>
      <c r="TPA42" s="119"/>
      <c r="TPB42" s="119"/>
      <c r="TPC42" s="119"/>
      <c r="TPD42" s="119"/>
      <c r="TPE42" s="119"/>
      <c r="TPF42" s="119"/>
      <c r="TPG42" s="119"/>
      <c r="TPH42" s="119"/>
      <c r="TPI42" s="119"/>
      <c r="TPJ42" s="119"/>
      <c r="TPK42" s="119"/>
      <c r="TPL42" s="119"/>
      <c r="TPM42" s="119"/>
      <c r="TPN42" s="119"/>
      <c r="TPO42" s="119"/>
      <c r="TPP42" s="119"/>
      <c r="TPQ42" s="119"/>
      <c r="TPR42" s="119"/>
      <c r="TPS42" s="119"/>
      <c r="TPT42" s="119"/>
      <c r="TPU42" s="119"/>
      <c r="TPV42" s="119"/>
      <c r="TPW42" s="119"/>
      <c r="TPX42" s="119"/>
      <c r="TPY42" s="119"/>
      <c r="TPZ42" s="119"/>
      <c r="TQA42" s="119"/>
      <c r="TQB42" s="119"/>
      <c r="TQC42" s="119"/>
      <c r="TQD42" s="119"/>
      <c r="TQE42" s="119"/>
      <c r="TQF42" s="119"/>
      <c r="TQG42" s="119"/>
      <c r="TQH42" s="119"/>
      <c r="TQI42" s="119"/>
      <c r="TQJ42" s="119"/>
      <c r="TQK42" s="119"/>
      <c r="TQL42" s="119"/>
      <c r="TQM42" s="119"/>
      <c r="TQN42" s="119"/>
      <c r="TQO42" s="119"/>
      <c r="TQP42" s="119"/>
      <c r="TQQ42" s="119"/>
      <c r="TQR42" s="119"/>
      <c r="TQS42" s="119"/>
      <c r="TQT42" s="119"/>
      <c r="TQU42" s="119"/>
      <c r="TQV42" s="119"/>
      <c r="TQW42" s="119"/>
      <c r="TQX42" s="119"/>
      <c r="TQY42" s="119"/>
      <c r="TQZ42" s="119"/>
      <c r="TRA42" s="119"/>
      <c r="TRB42" s="119"/>
      <c r="TRC42" s="119"/>
      <c r="TRD42" s="119"/>
      <c r="TRE42" s="119"/>
      <c r="TRF42" s="119"/>
      <c r="TRG42" s="119"/>
      <c r="TRH42" s="119"/>
      <c r="TRI42" s="119"/>
      <c r="TRJ42" s="119"/>
      <c r="TRK42" s="119"/>
      <c r="TRL42" s="119"/>
      <c r="TRM42" s="119"/>
      <c r="TRN42" s="119"/>
      <c r="TRO42" s="119"/>
      <c r="TRP42" s="119"/>
      <c r="TRQ42" s="119"/>
      <c r="TRR42" s="119"/>
      <c r="TRS42" s="119"/>
      <c r="TRT42" s="119"/>
      <c r="TRU42" s="119"/>
      <c r="TRV42" s="119"/>
      <c r="TRW42" s="119"/>
      <c r="TRX42" s="119"/>
      <c r="TRY42" s="119"/>
      <c r="TRZ42" s="119"/>
      <c r="TSA42" s="119"/>
      <c r="TSB42" s="119"/>
      <c r="TSC42" s="119"/>
      <c r="TSD42" s="119"/>
      <c r="TSE42" s="119"/>
      <c r="TSF42" s="119"/>
      <c r="TSG42" s="119"/>
      <c r="TSH42" s="119"/>
      <c r="TSI42" s="119"/>
      <c r="TSJ42" s="119"/>
      <c r="TSK42" s="119"/>
      <c r="TSL42" s="119"/>
      <c r="TSM42" s="119"/>
      <c r="TSN42" s="119"/>
      <c r="TSO42" s="119"/>
      <c r="TSP42" s="119"/>
      <c r="TSQ42" s="119"/>
      <c r="TSR42" s="119"/>
      <c r="TSS42" s="119"/>
      <c r="TST42" s="119"/>
      <c r="TSU42" s="119"/>
      <c r="TSV42" s="119"/>
      <c r="TSW42" s="119"/>
      <c r="TSX42" s="119"/>
      <c r="TSY42" s="119"/>
      <c r="TSZ42" s="119"/>
      <c r="TTA42" s="119"/>
      <c r="TTB42" s="119"/>
      <c r="TTC42" s="119"/>
      <c r="TTD42" s="119"/>
      <c r="TTE42" s="119"/>
      <c r="TTF42" s="119"/>
      <c r="TTG42" s="119"/>
      <c r="TTH42" s="119"/>
      <c r="TTI42" s="119"/>
      <c r="TTJ42" s="119"/>
      <c r="TTK42" s="119"/>
      <c r="TTL42" s="119"/>
      <c r="TTM42" s="119"/>
      <c r="TTN42" s="119"/>
      <c r="TTO42" s="119"/>
      <c r="TTP42" s="119"/>
      <c r="TTQ42" s="119"/>
      <c r="TTR42" s="119"/>
      <c r="TTS42" s="119"/>
      <c r="TTT42" s="119"/>
      <c r="TTU42" s="119"/>
      <c r="TTV42" s="119"/>
      <c r="TTW42" s="119"/>
      <c r="TTX42" s="119"/>
      <c r="TTY42" s="119"/>
      <c r="TTZ42" s="119"/>
      <c r="TUA42" s="119"/>
      <c r="TUB42" s="119"/>
      <c r="TUC42" s="119"/>
      <c r="TUD42" s="119"/>
      <c r="TUE42" s="119"/>
      <c r="TUF42" s="119"/>
      <c r="TUG42" s="119"/>
      <c r="TUH42" s="119"/>
      <c r="TUI42" s="119"/>
      <c r="TUJ42" s="119"/>
      <c r="TUK42" s="119"/>
      <c r="TUL42" s="119"/>
      <c r="TUM42" s="119"/>
      <c r="TUN42" s="119"/>
      <c r="TUO42" s="119"/>
      <c r="TUP42" s="119"/>
      <c r="TUQ42" s="119"/>
      <c r="TUR42" s="119"/>
      <c r="TUS42" s="119"/>
      <c r="TUT42" s="119"/>
      <c r="TUU42" s="119"/>
      <c r="TUV42" s="119"/>
      <c r="TUW42" s="119"/>
      <c r="TUX42" s="119"/>
      <c r="TUY42" s="119"/>
      <c r="TUZ42" s="119"/>
      <c r="TVA42" s="119"/>
      <c r="TVB42" s="119"/>
      <c r="TVC42" s="119"/>
      <c r="TVD42" s="119"/>
      <c r="TVE42" s="119"/>
      <c r="TVF42" s="119"/>
      <c r="TVG42" s="119"/>
      <c r="TVH42" s="119"/>
      <c r="TVI42" s="119"/>
      <c r="TVJ42" s="119"/>
      <c r="TVK42" s="119"/>
      <c r="TVL42" s="119"/>
      <c r="TVM42" s="119"/>
      <c r="TVN42" s="119"/>
      <c r="TVO42" s="119"/>
      <c r="TVP42" s="119"/>
      <c r="TVQ42" s="119"/>
      <c r="TVR42" s="119"/>
      <c r="TVS42" s="119"/>
      <c r="TVT42" s="119"/>
      <c r="TVU42" s="119"/>
      <c r="TVV42" s="119"/>
      <c r="TVW42" s="119"/>
      <c r="TVX42" s="119"/>
      <c r="TVY42" s="119"/>
      <c r="TVZ42" s="119"/>
      <c r="TWA42" s="119"/>
      <c r="TWB42" s="119"/>
      <c r="TWC42" s="119"/>
      <c r="TWD42" s="119"/>
      <c r="TWE42" s="119"/>
      <c r="TWF42" s="119"/>
      <c r="TWG42" s="119"/>
      <c r="TWH42" s="119"/>
      <c r="TWI42" s="119"/>
      <c r="TWJ42" s="119"/>
      <c r="TWK42" s="119"/>
      <c r="TWL42" s="119"/>
      <c r="TWM42" s="119"/>
      <c r="TWN42" s="119"/>
      <c r="TWO42" s="119"/>
      <c r="TWP42" s="119"/>
      <c r="TWQ42" s="119"/>
      <c r="TWR42" s="119"/>
      <c r="TWS42" s="119"/>
      <c r="TWT42" s="119"/>
      <c r="TWU42" s="119"/>
      <c r="TWV42" s="119"/>
      <c r="TWW42" s="119"/>
      <c r="TWX42" s="119"/>
      <c r="TWY42" s="119"/>
      <c r="TWZ42" s="119"/>
      <c r="TXA42" s="119"/>
      <c r="TXB42" s="119"/>
      <c r="TXC42" s="119"/>
      <c r="TXD42" s="119"/>
      <c r="TXE42" s="119"/>
      <c r="TXF42" s="119"/>
      <c r="TXG42" s="119"/>
      <c r="TXH42" s="119"/>
      <c r="TXI42" s="119"/>
      <c r="TXJ42" s="119"/>
      <c r="TXK42" s="119"/>
      <c r="TXL42" s="119"/>
      <c r="TXM42" s="119"/>
      <c r="TXN42" s="119"/>
      <c r="TXO42" s="119"/>
      <c r="TXP42" s="119"/>
      <c r="TXQ42" s="119"/>
      <c r="TXR42" s="119"/>
      <c r="TXS42" s="119"/>
      <c r="TXT42" s="119"/>
      <c r="TXU42" s="119"/>
      <c r="TXV42" s="119"/>
      <c r="TXW42" s="119"/>
      <c r="TXX42" s="119"/>
      <c r="TXY42" s="119"/>
      <c r="TXZ42" s="119"/>
      <c r="TYA42" s="119"/>
      <c r="TYB42" s="119"/>
      <c r="TYC42" s="119"/>
      <c r="TYD42" s="119"/>
      <c r="TYE42" s="119"/>
      <c r="TYF42" s="119"/>
      <c r="TYG42" s="119"/>
      <c r="TYH42" s="119"/>
      <c r="TYI42" s="119"/>
      <c r="TYJ42" s="119"/>
      <c r="TYK42" s="119"/>
      <c r="TYL42" s="119"/>
      <c r="TYM42" s="119"/>
      <c r="TYN42" s="119"/>
      <c r="TYO42" s="119"/>
      <c r="TYP42" s="119"/>
      <c r="TYQ42" s="119"/>
      <c r="TYR42" s="119"/>
      <c r="TYS42" s="119"/>
      <c r="TYT42" s="119"/>
      <c r="TYU42" s="119"/>
      <c r="TYV42" s="119"/>
      <c r="TYW42" s="119"/>
      <c r="TYX42" s="119"/>
      <c r="TYY42" s="119"/>
      <c r="TYZ42" s="119"/>
      <c r="TZA42" s="119"/>
      <c r="TZB42" s="119"/>
      <c r="TZC42" s="119"/>
      <c r="TZD42" s="119"/>
      <c r="TZE42" s="119"/>
      <c r="TZF42" s="119"/>
      <c r="TZG42" s="119"/>
      <c r="TZH42" s="119"/>
      <c r="TZI42" s="119"/>
      <c r="TZJ42" s="119"/>
      <c r="TZK42" s="119"/>
      <c r="TZL42" s="119"/>
      <c r="TZM42" s="119"/>
      <c r="TZN42" s="119"/>
      <c r="TZO42" s="119"/>
      <c r="TZP42" s="119"/>
      <c r="TZQ42" s="119"/>
      <c r="TZR42" s="119"/>
      <c r="TZS42" s="119"/>
      <c r="TZT42" s="119"/>
      <c r="TZU42" s="119"/>
      <c r="TZV42" s="119"/>
      <c r="TZW42" s="119"/>
      <c r="TZX42" s="119"/>
      <c r="TZY42" s="119"/>
      <c r="TZZ42" s="119"/>
      <c r="UAA42" s="119"/>
      <c r="UAB42" s="119"/>
      <c r="UAC42" s="119"/>
      <c r="UAD42" s="119"/>
      <c r="UAE42" s="119"/>
      <c r="UAF42" s="119"/>
      <c r="UAG42" s="119"/>
      <c r="UAH42" s="119"/>
      <c r="UAI42" s="119"/>
      <c r="UAJ42" s="119"/>
      <c r="UAK42" s="119"/>
      <c r="UAL42" s="119"/>
      <c r="UAM42" s="119"/>
      <c r="UAN42" s="119"/>
      <c r="UAO42" s="119"/>
      <c r="UAP42" s="119"/>
      <c r="UAQ42" s="119"/>
      <c r="UAR42" s="119"/>
      <c r="UAS42" s="119"/>
      <c r="UAT42" s="119"/>
      <c r="UAU42" s="119"/>
      <c r="UAV42" s="119"/>
      <c r="UAW42" s="119"/>
      <c r="UAX42" s="119"/>
      <c r="UAY42" s="119"/>
      <c r="UAZ42" s="119"/>
      <c r="UBA42" s="119"/>
      <c r="UBB42" s="119"/>
      <c r="UBC42" s="119"/>
      <c r="UBD42" s="119"/>
      <c r="UBE42" s="119"/>
      <c r="UBF42" s="119"/>
      <c r="UBG42" s="119"/>
      <c r="UBH42" s="119"/>
      <c r="UBI42" s="119"/>
      <c r="UBJ42" s="119"/>
      <c r="UBK42" s="119"/>
      <c r="UBL42" s="119"/>
      <c r="UBM42" s="119"/>
      <c r="UBN42" s="119"/>
      <c r="UBO42" s="119"/>
      <c r="UBP42" s="119"/>
      <c r="UBQ42" s="119"/>
      <c r="UBR42" s="119"/>
      <c r="UBS42" s="119"/>
      <c r="UBT42" s="119"/>
      <c r="UBU42" s="119"/>
      <c r="UBV42" s="119"/>
      <c r="UBW42" s="119"/>
      <c r="UBX42" s="119"/>
      <c r="UBY42" s="119"/>
      <c r="UBZ42" s="119"/>
      <c r="UCA42" s="119"/>
      <c r="UCB42" s="119"/>
      <c r="UCC42" s="119"/>
      <c r="UCD42" s="119"/>
      <c r="UCE42" s="119"/>
      <c r="UCF42" s="119"/>
      <c r="UCG42" s="119"/>
      <c r="UCH42" s="119"/>
      <c r="UCI42" s="119"/>
      <c r="UCJ42" s="119"/>
      <c r="UCK42" s="119"/>
      <c r="UCL42" s="119"/>
      <c r="UCM42" s="119"/>
      <c r="UCN42" s="119"/>
      <c r="UCO42" s="119"/>
      <c r="UCP42" s="119"/>
      <c r="UCQ42" s="119"/>
      <c r="UCR42" s="119"/>
      <c r="UCS42" s="119"/>
      <c r="UCT42" s="119"/>
      <c r="UCU42" s="119"/>
      <c r="UCV42" s="119"/>
      <c r="UCW42" s="119"/>
      <c r="UCX42" s="119"/>
      <c r="UCY42" s="119"/>
      <c r="UCZ42" s="119"/>
      <c r="UDA42" s="119"/>
      <c r="UDB42" s="119"/>
      <c r="UDC42" s="119"/>
      <c r="UDD42" s="119"/>
      <c r="UDE42" s="119"/>
      <c r="UDF42" s="119"/>
      <c r="UDG42" s="119"/>
      <c r="UDH42" s="119"/>
      <c r="UDI42" s="119"/>
      <c r="UDJ42" s="119"/>
      <c r="UDK42" s="119"/>
      <c r="UDL42" s="119"/>
      <c r="UDM42" s="119"/>
      <c r="UDN42" s="119"/>
      <c r="UDO42" s="119"/>
      <c r="UDP42" s="119"/>
      <c r="UDQ42" s="119"/>
      <c r="UDR42" s="119"/>
      <c r="UDS42" s="119"/>
      <c r="UDT42" s="119"/>
      <c r="UDU42" s="119"/>
      <c r="UDV42" s="119"/>
      <c r="UDW42" s="119"/>
      <c r="UDX42" s="119"/>
      <c r="UDY42" s="119"/>
      <c r="UDZ42" s="119"/>
      <c r="UEA42" s="119"/>
      <c r="UEB42" s="119"/>
      <c r="UEC42" s="119"/>
      <c r="UED42" s="119"/>
      <c r="UEE42" s="119"/>
      <c r="UEF42" s="119"/>
      <c r="UEG42" s="119"/>
      <c r="UEH42" s="119"/>
      <c r="UEI42" s="119"/>
      <c r="UEJ42" s="119"/>
      <c r="UEK42" s="119"/>
      <c r="UEL42" s="119"/>
      <c r="UEM42" s="119"/>
      <c r="UEN42" s="119"/>
      <c r="UEO42" s="119"/>
      <c r="UEP42" s="119"/>
      <c r="UEQ42" s="119"/>
      <c r="UER42" s="119"/>
      <c r="UES42" s="119"/>
      <c r="UET42" s="119"/>
      <c r="UEU42" s="119"/>
      <c r="UEV42" s="119"/>
      <c r="UEW42" s="119"/>
      <c r="UEX42" s="119"/>
      <c r="UEY42" s="119"/>
      <c r="UEZ42" s="119"/>
      <c r="UFA42" s="119"/>
      <c r="UFB42" s="119"/>
      <c r="UFC42" s="119"/>
      <c r="UFD42" s="119"/>
      <c r="UFE42" s="119"/>
      <c r="UFF42" s="119"/>
      <c r="UFG42" s="119"/>
      <c r="UFH42" s="119"/>
      <c r="UFI42" s="119"/>
      <c r="UFJ42" s="119"/>
      <c r="UFK42" s="119"/>
      <c r="UFL42" s="119"/>
      <c r="UFM42" s="119"/>
      <c r="UFN42" s="119"/>
      <c r="UFO42" s="119"/>
      <c r="UFP42" s="119"/>
      <c r="UFQ42" s="119"/>
      <c r="UFR42" s="119"/>
      <c r="UFS42" s="119"/>
      <c r="UFT42" s="119"/>
      <c r="UFU42" s="119"/>
      <c r="UFV42" s="119"/>
      <c r="UFW42" s="119"/>
      <c r="UFX42" s="119"/>
      <c r="UFY42" s="119"/>
      <c r="UFZ42" s="119"/>
      <c r="UGA42" s="119"/>
      <c r="UGB42" s="119"/>
      <c r="UGC42" s="119"/>
      <c r="UGD42" s="119"/>
      <c r="UGE42" s="119"/>
      <c r="UGF42" s="119"/>
      <c r="UGG42" s="119"/>
      <c r="UGH42" s="119"/>
      <c r="UGI42" s="119"/>
      <c r="UGJ42" s="119"/>
      <c r="UGK42" s="119"/>
      <c r="UGL42" s="119"/>
      <c r="UGM42" s="119"/>
      <c r="UGN42" s="119"/>
      <c r="UGO42" s="119"/>
      <c r="UGP42" s="119"/>
      <c r="UGQ42" s="119"/>
      <c r="UGR42" s="119"/>
      <c r="UGS42" s="119"/>
      <c r="UGT42" s="119"/>
      <c r="UGU42" s="119"/>
      <c r="UGV42" s="119"/>
      <c r="UGW42" s="119"/>
      <c r="UGX42" s="119"/>
      <c r="UGY42" s="119"/>
      <c r="UGZ42" s="119"/>
      <c r="UHA42" s="119"/>
      <c r="UHB42" s="119"/>
      <c r="UHC42" s="119"/>
      <c r="UHD42" s="119"/>
      <c r="UHE42" s="119"/>
      <c r="UHF42" s="119"/>
      <c r="UHG42" s="119"/>
      <c r="UHH42" s="119"/>
      <c r="UHI42" s="119"/>
      <c r="UHJ42" s="119"/>
      <c r="UHK42" s="119"/>
      <c r="UHL42" s="119"/>
      <c r="UHM42" s="119"/>
      <c r="UHN42" s="119"/>
      <c r="UHO42" s="119"/>
      <c r="UHP42" s="119"/>
      <c r="UHQ42" s="119"/>
      <c r="UHR42" s="119"/>
      <c r="UHS42" s="119"/>
      <c r="UHT42" s="119"/>
      <c r="UHU42" s="119"/>
      <c r="UHV42" s="119"/>
      <c r="UHW42" s="119"/>
      <c r="UHX42" s="119"/>
      <c r="UHY42" s="119"/>
      <c r="UHZ42" s="119"/>
      <c r="UIA42" s="119"/>
      <c r="UIB42" s="119"/>
      <c r="UIC42" s="119"/>
      <c r="UID42" s="119"/>
      <c r="UIE42" s="119"/>
      <c r="UIF42" s="119"/>
      <c r="UIG42" s="119"/>
      <c r="UIH42" s="119"/>
      <c r="UII42" s="119"/>
      <c r="UIJ42" s="119"/>
      <c r="UIK42" s="119"/>
      <c r="UIL42" s="119"/>
      <c r="UIM42" s="119"/>
      <c r="UIN42" s="119"/>
      <c r="UIO42" s="119"/>
      <c r="UIP42" s="119"/>
      <c r="UIQ42" s="119"/>
      <c r="UIR42" s="119"/>
      <c r="UIS42" s="119"/>
      <c r="UIT42" s="119"/>
      <c r="UIU42" s="119"/>
      <c r="UIV42" s="119"/>
      <c r="UIW42" s="119"/>
      <c r="UIX42" s="119"/>
      <c r="UIY42" s="119"/>
      <c r="UIZ42" s="119"/>
      <c r="UJA42" s="119"/>
      <c r="UJB42" s="119"/>
      <c r="UJC42" s="119"/>
      <c r="UJD42" s="119"/>
      <c r="UJE42" s="119"/>
      <c r="UJF42" s="119"/>
      <c r="UJG42" s="119"/>
      <c r="UJH42" s="119"/>
      <c r="UJI42" s="119"/>
      <c r="UJJ42" s="119"/>
      <c r="UJK42" s="119"/>
      <c r="UJL42" s="119"/>
      <c r="UJM42" s="119"/>
      <c r="UJN42" s="119"/>
      <c r="UJO42" s="119"/>
      <c r="UJP42" s="119"/>
      <c r="UJQ42" s="119"/>
      <c r="UJR42" s="119"/>
      <c r="UJS42" s="119"/>
      <c r="UJT42" s="119"/>
      <c r="UJU42" s="119"/>
      <c r="UJV42" s="119"/>
      <c r="UJW42" s="119"/>
      <c r="UJX42" s="119"/>
      <c r="UJY42" s="119"/>
      <c r="UJZ42" s="119"/>
      <c r="UKA42" s="119"/>
      <c r="UKB42" s="119"/>
      <c r="UKC42" s="119"/>
      <c r="UKD42" s="119"/>
      <c r="UKE42" s="119"/>
      <c r="UKF42" s="119"/>
      <c r="UKG42" s="119"/>
      <c r="UKH42" s="119"/>
      <c r="UKI42" s="119"/>
      <c r="UKJ42" s="119"/>
      <c r="UKK42" s="119"/>
      <c r="UKL42" s="119"/>
      <c r="UKM42" s="119"/>
      <c r="UKN42" s="119"/>
      <c r="UKO42" s="119"/>
      <c r="UKP42" s="119"/>
      <c r="UKQ42" s="119"/>
      <c r="UKR42" s="119"/>
      <c r="UKS42" s="119"/>
      <c r="UKT42" s="119"/>
      <c r="UKU42" s="119"/>
      <c r="UKV42" s="119"/>
      <c r="UKW42" s="119"/>
      <c r="UKX42" s="119"/>
      <c r="UKY42" s="119"/>
      <c r="UKZ42" s="119"/>
      <c r="ULA42" s="119"/>
      <c r="ULB42" s="119"/>
      <c r="ULC42" s="119"/>
      <c r="ULD42" s="119"/>
      <c r="ULE42" s="119"/>
      <c r="ULF42" s="119"/>
      <c r="ULG42" s="119"/>
      <c r="ULH42" s="119"/>
      <c r="ULI42" s="119"/>
      <c r="ULJ42" s="119"/>
      <c r="ULK42" s="119"/>
      <c r="ULL42" s="119"/>
      <c r="ULM42" s="119"/>
      <c r="ULN42" s="119"/>
      <c r="ULO42" s="119"/>
      <c r="ULP42" s="119"/>
      <c r="ULQ42" s="119"/>
      <c r="ULR42" s="119"/>
      <c r="ULS42" s="119"/>
      <c r="ULT42" s="119"/>
      <c r="ULU42" s="119"/>
      <c r="ULV42" s="119"/>
      <c r="ULW42" s="119"/>
      <c r="ULX42" s="119"/>
      <c r="ULY42" s="119"/>
      <c r="ULZ42" s="119"/>
      <c r="UMA42" s="119"/>
      <c r="UMB42" s="119"/>
      <c r="UMC42" s="119"/>
      <c r="UMD42" s="119"/>
      <c r="UME42" s="119"/>
      <c r="UMF42" s="119"/>
      <c r="UMG42" s="119"/>
      <c r="UMH42" s="119"/>
      <c r="UMI42" s="119"/>
      <c r="UMJ42" s="119"/>
      <c r="UMK42" s="119"/>
      <c r="UML42" s="119"/>
      <c r="UMM42" s="119"/>
      <c r="UMN42" s="119"/>
      <c r="UMO42" s="119"/>
      <c r="UMP42" s="119"/>
      <c r="UMQ42" s="119"/>
      <c r="UMR42" s="119"/>
      <c r="UMS42" s="119"/>
      <c r="UMT42" s="119"/>
      <c r="UMU42" s="119"/>
      <c r="UMV42" s="119"/>
      <c r="UMW42" s="119"/>
      <c r="UMX42" s="119"/>
      <c r="UMY42" s="119"/>
      <c r="UMZ42" s="119"/>
      <c r="UNA42" s="119"/>
      <c r="UNB42" s="119"/>
      <c r="UNC42" s="119"/>
      <c r="UND42" s="119"/>
      <c r="UNE42" s="119"/>
      <c r="UNF42" s="119"/>
      <c r="UNG42" s="119"/>
      <c r="UNH42" s="119"/>
      <c r="UNI42" s="119"/>
      <c r="UNJ42" s="119"/>
      <c r="UNK42" s="119"/>
      <c r="UNL42" s="119"/>
      <c r="UNM42" s="119"/>
      <c r="UNN42" s="119"/>
      <c r="UNO42" s="119"/>
      <c r="UNP42" s="119"/>
      <c r="UNQ42" s="119"/>
      <c r="UNR42" s="119"/>
      <c r="UNS42" s="119"/>
      <c r="UNT42" s="119"/>
      <c r="UNU42" s="119"/>
      <c r="UNV42" s="119"/>
      <c r="UNW42" s="119"/>
      <c r="UNX42" s="119"/>
      <c r="UNY42" s="119"/>
      <c r="UNZ42" s="119"/>
      <c r="UOA42" s="119"/>
      <c r="UOB42" s="119"/>
      <c r="UOC42" s="119"/>
      <c r="UOD42" s="119"/>
      <c r="UOE42" s="119"/>
      <c r="UOF42" s="119"/>
      <c r="UOG42" s="119"/>
      <c r="UOH42" s="119"/>
      <c r="UOI42" s="119"/>
      <c r="UOJ42" s="119"/>
      <c r="UOK42" s="119"/>
      <c r="UOL42" s="119"/>
      <c r="UOM42" s="119"/>
      <c r="UON42" s="119"/>
      <c r="UOO42" s="119"/>
      <c r="UOP42" s="119"/>
      <c r="UOQ42" s="119"/>
      <c r="UOR42" s="119"/>
      <c r="UOS42" s="119"/>
      <c r="UOT42" s="119"/>
      <c r="UOU42" s="119"/>
      <c r="UOV42" s="119"/>
      <c r="UOW42" s="119"/>
      <c r="UOX42" s="119"/>
      <c r="UOY42" s="119"/>
      <c r="UOZ42" s="119"/>
      <c r="UPA42" s="119"/>
      <c r="UPB42" s="119"/>
      <c r="UPC42" s="119"/>
      <c r="UPD42" s="119"/>
      <c r="UPE42" s="119"/>
      <c r="UPF42" s="119"/>
      <c r="UPG42" s="119"/>
      <c r="UPH42" s="119"/>
      <c r="UPI42" s="119"/>
      <c r="UPJ42" s="119"/>
      <c r="UPK42" s="119"/>
      <c r="UPL42" s="119"/>
      <c r="UPM42" s="119"/>
      <c r="UPN42" s="119"/>
      <c r="UPO42" s="119"/>
      <c r="UPP42" s="119"/>
      <c r="UPQ42" s="119"/>
      <c r="UPR42" s="119"/>
      <c r="UPS42" s="119"/>
      <c r="UPT42" s="119"/>
      <c r="UPU42" s="119"/>
      <c r="UPV42" s="119"/>
      <c r="UPW42" s="119"/>
      <c r="UPX42" s="119"/>
      <c r="UPY42" s="119"/>
      <c r="UPZ42" s="119"/>
      <c r="UQA42" s="119"/>
      <c r="UQB42" s="119"/>
      <c r="UQC42" s="119"/>
      <c r="UQD42" s="119"/>
      <c r="UQE42" s="119"/>
      <c r="UQF42" s="119"/>
      <c r="UQG42" s="119"/>
      <c r="UQH42" s="119"/>
      <c r="UQI42" s="119"/>
      <c r="UQJ42" s="119"/>
      <c r="UQK42" s="119"/>
      <c r="UQL42" s="119"/>
      <c r="UQM42" s="119"/>
      <c r="UQN42" s="119"/>
      <c r="UQO42" s="119"/>
      <c r="UQP42" s="119"/>
      <c r="UQQ42" s="119"/>
      <c r="UQR42" s="119"/>
      <c r="UQS42" s="119"/>
      <c r="UQT42" s="119"/>
      <c r="UQU42" s="119"/>
      <c r="UQV42" s="119"/>
      <c r="UQW42" s="119"/>
      <c r="UQX42" s="119"/>
      <c r="UQY42" s="119"/>
      <c r="UQZ42" s="119"/>
      <c r="URA42" s="119"/>
      <c r="URB42" s="119"/>
      <c r="URC42" s="119"/>
      <c r="URD42" s="119"/>
      <c r="URE42" s="119"/>
      <c r="URF42" s="119"/>
      <c r="URG42" s="119"/>
      <c r="URH42" s="119"/>
      <c r="URI42" s="119"/>
      <c r="URJ42" s="119"/>
      <c r="URK42" s="119"/>
      <c r="URL42" s="119"/>
      <c r="URM42" s="119"/>
      <c r="URN42" s="119"/>
      <c r="URO42" s="119"/>
      <c r="URP42" s="119"/>
      <c r="URQ42" s="119"/>
      <c r="URR42" s="119"/>
      <c r="URS42" s="119"/>
      <c r="URT42" s="119"/>
      <c r="URU42" s="119"/>
      <c r="URV42" s="119"/>
      <c r="URW42" s="119"/>
      <c r="URX42" s="119"/>
      <c r="URY42" s="119"/>
      <c r="URZ42" s="119"/>
      <c r="USA42" s="119"/>
      <c r="USB42" s="119"/>
      <c r="USC42" s="119"/>
      <c r="USD42" s="119"/>
      <c r="USE42" s="119"/>
      <c r="USF42" s="119"/>
      <c r="USG42" s="119"/>
      <c r="USH42" s="119"/>
      <c r="USI42" s="119"/>
      <c r="USJ42" s="119"/>
      <c r="USK42" s="119"/>
      <c r="USL42" s="119"/>
      <c r="USM42" s="119"/>
      <c r="USN42" s="119"/>
      <c r="USO42" s="119"/>
      <c r="USP42" s="119"/>
      <c r="USQ42" s="119"/>
      <c r="USR42" s="119"/>
      <c r="USS42" s="119"/>
      <c r="UST42" s="119"/>
      <c r="USU42" s="119"/>
      <c r="USV42" s="119"/>
      <c r="USW42" s="119"/>
      <c r="USX42" s="119"/>
      <c r="USY42" s="119"/>
      <c r="USZ42" s="119"/>
      <c r="UTA42" s="119"/>
      <c r="UTB42" s="119"/>
      <c r="UTC42" s="119"/>
      <c r="UTD42" s="119"/>
      <c r="UTE42" s="119"/>
      <c r="UTF42" s="119"/>
      <c r="UTG42" s="119"/>
      <c r="UTH42" s="119"/>
      <c r="UTI42" s="119"/>
      <c r="UTJ42" s="119"/>
      <c r="UTK42" s="119"/>
      <c r="UTL42" s="119"/>
      <c r="UTM42" s="119"/>
      <c r="UTN42" s="119"/>
      <c r="UTO42" s="119"/>
      <c r="UTP42" s="119"/>
      <c r="UTQ42" s="119"/>
      <c r="UTR42" s="119"/>
      <c r="UTS42" s="119"/>
      <c r="UTT42" s="119"/>
      <c r="UTU42" s="119"/>
      <c r="UTV42" s="119"/>
      <c r="UTW42" s="119"/>
      <c r="UTX42" s="119"/>
      <c r="UTY42" s="119"/>
      <c r="UTZ42" s="119"/>
      <c r="UUA42" s="119"/>
      <c r="UUB42" s="119"/>
      <c r="UUC42" s="119"/>
      <c r="UUD42" s="119"/>
      <c r="UUE42" s="119"/>
      <c r="UUF42" s="119"/>
      <c r="UUG42" s="119"/>
      <c r="UUH42" s="119"/>
      <c r="UUI42" s="119"/>
      <c r="UUJ42" s="119"/>
      <c r="UUK42" s="119"/>
      <c r="UUL42" s="119"/>
      <c r="UUM42" s="119"/>
      <c r="UUN42" s="119"/>
      <c r="UUO42" s="119"/>
      <c r="UUP42" s="119"/>
      <c r="UUQ42" s="119"/>
      <c r="UUR42" s="119"/>
      <c r="UUS42" s="119"/>
      <c r="UUT42" s="119"/>
      <c r="UUU42" s="119"/>
      <c r="UUV42" s="119"/>
      <c r="UUW42" s="119"/>
      <c r="UUX42" s="119"/>
      <c r="UUY42" s="119"/>
      <c r="UUZ42" s="119"/>
      <c r="UVA42" s="119"/>
      <c r="UVB42" s="119"/>
      <c r="UVC42" s="119"/>
      <c r="UVD42" s="119"/>
      <c r="UVE42" s="119"/>
      <c r="UVF42" s="119"/>
      <c r="UVG42" s="119"/>
      <c r="UVH42" s="119"/>
      <c r="UVI42" s="119"/>
      <c r="UVJ42" s="119"/>
      <c r="UVK42" s="119"/>
      <c r="UVL42" s="119"/>
      <c r="UVM42" s="119"/>
      <c r="UVN42" s="119"/>
      <c r="UVO42" s="119"/>
      <c r="UVP42" s="119"/>
      <c r="UVQ42" s="119"/>
      <c r="UVR42" s="119"/>
      <c r="UVS42" s="119"/>
      <c r="UVT42" s="119"/>
      <c r="UVU42" s="119"/>
      <c r="UVV42" s="119"/>
      <c r="UVW42" s="119"/>
      <c r="UVX42" s="119"/>
      <c r="UVY42" s="119"/>
      <c r="UVZ42" s="119"/>
      <c r="UWA42" s="119"/>
      <c r="UWB42" s="119"/>
      <c r="UWC42" s="119"/>
      <c r="UWD42" s="119"/>
      <c r="UWE42" s="119"/>
      <c r="UWF42" s="119"/>
      <c r="UWG42" s="119"/>
      <c r="UWH42" s="119"/>
      <c r="UWI42" s="119"/>
      <c r="UWJ42" s="119"/>
      <c r="UWK42" s="119"/>
      <c r="UWL42" s="119"/>
      <c r="UWM42" s="119"/>
      <c r="UWN42" s="119"/>
      <c r="UWO42" s="119"/>
      <c r="UWP42" s="119"/>
      <c r="UWQ42" s="119"/>
      <c r="UWR42" s="119"/>
      <c r="UWS42" s="119"/>
      <c r="UWT42" s="119"/>
      <c r="UWU42" s="119"/>
      <c r="UWV42" s="119"/>
      <c r="UWW42" s="119"/>
      <c r="UWX42" s="119"/>
      <c r="UWY42" s="119"/>
      <c r="UWZ42" s="119"/>
      <c r="UXA42" s="119"/>
      <c r="UXB42" s="119"/>
      <c r="UXC42" s="119"/>
      <c r="UXD42" s="119"/>
      <c r="UXE42" s="119"/>
      <c r="UXF42" s="119"/>
      <c r="UXG42" s="119"/>
      <c r="UXH42" s="119"/>
      <c r="UXI42" s="119"/>
      <c r="UXJ42" s="119"/>
      <c r="UXK42" s="119"/>
      <c r="UXL42" s="119"/>
      <c r="UXM42" s="119"/>
      <c r="UXN42" s="119"/>
      <c r="UXO42" s="119"/>
      <c r="UXP42" s="119"/>
      <c r="UXQ42" s="119"/>
      <c r="UXR42" s="119"/>
      <c r="UXS42" s="119"/>
      <c r="UXT42" s="119"/>
      <c r="UXU42" s="119"/>
      <c r="UXV42" s="119"/>
      <c r="UXW42" s="119"/>
      <c r="UXX42" s="119"/>
      <c r="UXY42" s="119"/>
      <c r="UXZ42" s="119"/>
      <c r="UYA42" s="119"/>
      <c r="UYB42" s="119"/>
      <c r="UYC42" s="119"/>
      <c r="UYD42" s="119"/>
      <c r="UYE42" s="119"/>
      <c r="UYF42" s="119"/>
      <c r="UYG42" s="119"/>
      <c r="UYH42" s="119"/>
      <c r="UYI42" s="119"/>
      <c r="UYJ42" s="119"/>
      <c r="UYK42" s="119"/>
      <c r="UYL42" s="119"/>
      <c r="UYM42" s="119"/>
      <c r="UYN42" s="119"/>
      <c r="UYO42" s="119"/>
      <c r="UYP42" s="119"/>
      <c r="UYQ42" s="119"/>
      <c r="UYR42" s="119"/>
      <c r="UYS42" s="119"/>
      <c r="UYT42" s="119"/>
      <c r="UYU42" s="119"/>
      <c r="UYV42" s="119"/>
      <c r="UYW42" s="119"/>
      <c r="UYX42" s="119"/>
      <c r="UYY42" s="119"/>
      <c r="UYZ42" s="119"/>
      <c r="UZA42" s="119"/>
      <c r="UZB42" s="119"/>
      <c r="UZC42" s="119"/>
      <c r="UZD42" s="119"/>
      <c r="UZE42" s="119"/>
      <c r="UZF42" s="119"/>
      <c r="UZG42" s="119"/>
      <c r="UZH42" s="119"/>
      <c r="UZI42" s="119"/>
      <c r="UZJ42" s="119"/>
      <c r="UZK42" s="119"/>
      <c r="UZL42" s="119"/>
      <c r="UZM42" s="119"/>
      <c r="UZN42" s="119"/>
      <c r="UZO42" s="119"/>
      <c r="UZP42" s="119"/>
      <c r="UZQ42" s="119"/>
      <c r="UZR42" s="119"/>
      <c r="UZS42" s="119"/>
      <c r="UZT42" s="119"/>
      <c r="UZU42" s="119"/>
      <c r="UZV42" s="119"/>
      <c r="UZW42" s="119"/>
      <c r="UZX42" s="119"/>
      <c r="UZY42" s="119"/>
      <c r="UZZ42" s="119"/>
      <c r="VAA42" s="119"/>
      <c r="VAB42" s="119"/>
      <c r="VAC42" s="119"/>
      <c r="VAD42" s="119"/>
      <c r="VAE42" s="119"/>
      <c r="VAF42" s="119"/>
      <c r="VAG42" s="119"/>
      <c r="VAH42" s="119"/>
      <c r="VAI42" s="119"/>
      <c r="VAJ42" s="119"/>
      <c r="VAK42" s="119"/>
      <c r="VAL42" s="119"/>
      <c r="VAM42" s="119"/>
      <c r="VAN42" s="119"/>
      <c r="VAO42" s="119"/>
      <c r="VAP42" s="119"/>
      <c r="VAQ42" s="119"/>
      <c r="VAR42" s="119"/>
      <c r="VAS42" s="119"/>
      <c r="VAT42" s="119"/>
      <c r="VAU42" s="119"/>
      <c r="VAV42" s="119"/>
      <c r="VAW42" s="119"/>
      <c r="VAX42" s="119"/>
      <c r="VAY42" s="119"/>
      <c r="VAZ42" s="119"/>
      <c r="VBA42" s="119"/>
      <c r="VBB42" s="119"/>
      <c r="VBC42" s="119"/>
      <c r="VBD42" s="119"/>
      <c r="VBE42" s="119"/>
      <c r="VBF42" s="119"/>
      <c r="VBG42" s="119"/>
      <c r="VBH42" s="119"/>
      <c r="VBI42" s="119"/>
      <c r="VBJ42" s="119"/>
      <c r="VBK42" s="119"/>
      <c r="VBL42" s="119"/>
      <c r="VBM42" s="119"/>
      <c r="VBN42" s="119"/>
      <c r="VBO42" s="119"/>
      <c r="VBP42" s="119"/>
      <c r="VBQ42" s="119"/>
      <c r="VBR42" s="119"/>
      <c r="VBS42" s="119"/>
      <c r="VBT42" s="119"/>
      <c r="VBU42" s="119"/>
      <c r="VBV42" s="119"/>
      <c r="VBW42" s="119"/>
      <c r="VBX42" s="119"/>
      <c r="VBY42" s="119"/>
      <c r="VBZ42" s="119"/>
      <c r="VCA42" s="119"/>
      <c r="VCB42" s="119"/>
      <c r="VCC42" s="119"/>
      <c r="VCD42" s="119"/>
      <c r="VCE42" s="119"/>
      <c r="VCF42" s="119"/>
      <c r="VCG42" s="119"/>
      <c r="VCH42" s="119"/>
      <c r="VCI42" s="119"/>
      <c r="VCJ42" s="119"/>
      <c r="VCK42" s="119"/>
      <c r="VCL42" s="119"/>
      <c r="VCM42" s="119"/>
      <c r="VCN42" s="119"/>
      <c r="VCO42" s="119"/>
      <c r="VCP42" s="119"/>
      <c r="VCQ42" s="119"/>
      <c r="VCR42" s="119"/>
      <c r="VCS42" s="119"/>
      <c r="VCT42" s="119"/>
      <c r="VCU42" s="119"/>
      <c r="VCV42" s="119"/>
      <c r="VCW42" s="119"/>
      <c r="VCX42" s="119"/>
      <c r="VCY42" s="119"/>
      <c r="VCZ42" s="119"/>
      <c r="VDA42" s="119"/>
      <c r="VDB42" s="119"/>
      <c r="VDC42" s="119"/>
      <c r="VDD42" s="119"/>
      <c r="VDE42" s="119"/>
      <c r="VDF42" s="119"/>
      <c r="VDG42" s="119"/>
      <c r="VDH42" s="119"/>
      <c r="VDI42" s="119"/>
      <c r="VDJ42" s="119"/>
      <c r="VDK42" s="119"/>
      <c r="VDL42" s="119"/>
      <c r="VDM42" s="119"/>
      <c r="VDN42" s="119"/>
      <c r="VDO42" s="119"/>
      <c r="VDP42" s="119"/>
      <c r="VDQ42" s="119"/>
      <c r="VDR42" s="119"/>
      <c r="VDS42" s="119"/>
      <c r="VDT42" s="119"/>
      <c r="VDU42" s="119"/>
      <c r="VDV42" s="119"/>
      <c r="VDW42" s="119"/>
      <c r="VDX42" s="119"/>
      <c r="VDY42" s="119"/>
      <c r="VDZ42" s="119"/>
      <c r="VEA42" s="119"/>
      <c r="VEB42" s="119"/>
      <c r="VEC42" s="119"/>
      <c r="VED42" s="119"/>
      <c r="VEE42" s="119"/>
      <c r="VEF42" s="119"/>
      <c r="VEG42" s="119"/>
      <c r="VEH42" s="119"/>
      <c r="VEI42" s="119"/>
      <c r="VEJ42" s="119"/>
      <c r="VEK42" s="119"/>
      <c r="VEL42" s="119"/>
      <c r="VEM42" s="119"/>
      <c r="VEN42" s="119"/>
      <c r="VEO42" s="119"/>
      <c r="VEP42" s="119"/>
      <c r="VEQ42" s="119"/>
      <c r="VER42" s="119"/>
      <c r="VES42" s="119"/>
      <c r="VET42" s="119"/>
      <c r="VEU42" s="119"/>
      <c r="VEV42" s="119"/>
      <c r="VEW42" s="119"/>
      <c r="VEX42" s="119"/>
      <c r="VEY42" s="119"/>
      <c r="VEZ42" s="119"/>
      <c r="VFA42" s="119"/>
      <c r="VFB42" s="119"/>
      <c r="VFC42" s="119"/>
      <c r="VFD42" s="119"/>
      <c r="VFE42" s="119"/>
      <c r="VFF42" s="119"/>
      <c r="VFG42" s="119"/>
      <c r="VFH42" s="119"/>
      <c r="VFI42" s="119"/>
      <c r="VFJ42" s="119"/>
      <c r="VFK42" s="119"/>
      <c r="VFL42" s="119"/>
      <c r="VFM42" s="119"/>
      <c r="VFN42" s="119"/>
      <c r="VFO42" s="119"/>
      <c r="VFP42" s="119"/>
      <c r="VFQ42" s="119"/>
      <c r="VFR42" s="119"/>
      <c r="VFS42" s="119"/>
      <c r="VFT42" s="119"/>
      <c r="VFU42" s="119"/>
      <c r="VFV42" s="119"/>
      <c r="VFW42" s="119"/>
      <c r="VFX42" s="119"/>
      <c r="VFY42" s="119"/>
      <c r="VFZ42" s="119"/>
      <c r="VGA42" s="119"/>
      <c r="VGB42" s="119"/>
      <c r="VGC42" s="119"/>
      <c r="VGD42" s="119"/>
      <c r="VGE42" s="119"/>
      <c r="VGF42" s="119"/>
      <c r="VGG42" s="119"/>
      <c r="VGH42" s="119"/>
      <c r="VGI42" s="119"/>
      <c r="VGJ42" s="119"/>
      <c r="VGK42" s="119"/>
      <c r="VGL42" s="119"/>
      <c r="VGM42" s="119"/>
      <c r="VGN42" s="119"/>
      <c r="VGO42" s="119"/>
      <c r="VGP42" s="119"/>
      <c r="VGQ42" s="119"/>
      <c r="VGR42" s="119"/>
      <c r="VGS42" s="119"/>
      <c r="VGT42" s="119"/>
      <c r="VGU42" s="119"/>
      <c r="VGV42" s="119"/>
      <c r="VGW42" s="119"/>
      <c r="VGX42" s="119"/>
      <c r="VGY42" s="119"/>
      <c r="VGZ42" s="119"/>
      <c r="VHA42" s="119"/>
      <c r="VHB42" s="119"/>
      <c r="VHC42" s="119"/>
      <c r="VHD42" s="119"/>
      <c r="VHE42" s="119"/>
      <c r="VHF42" s="119"/>
      <c r="VHG42" s="119"/>
      <c r="VHH42" s="119"/>
      <c r="VHI42" s="119"/>
      <c r="VHJ42" s="119"/>
      <c r="VHK42" s="119"/>
      <c r="VHL42" s="119"/>
      <c r="VHM42" s="119"/>
      <c r="VHN42" s="119"/>
      <c r="VHO42" s="119"/>
      <c r="VHP42" s="119"/>
      <c r="VHQ42" s="119"/>
      <c r="VHR42" s="119"/>
      <c r="VHS42" s="119"/>
      <c r="VHT42" s="119"/>
      <c r="VHU42" s="119"/>
      <c r="VHV42" s="119"/>
      <c r="VHW42" s="119"/>
      <c r="VHX42" s="119"/>
      <c r="VHY42" s="119"/>
      <c r="VHZ42" s="119"/>
      <c r="VIA42" s="119"/>
      <c r="VIB42" s="119"/>
      <c r="VIC42" s="119"/>
      <c r="VID42" s="119"/>
      <c r="VIE42" s="119"/>
      <c r="VIF42" s="119"/>
      <c r="VIG42" s="119"/>
      <c r="VIH42" s="119"/>
      <c r="VII42" s="119"/>
      <c r="VIJ42" s="119"/>
      <c r="VIK42" s="119"/>
      <c r="VIL42" s="119"/>
      <c r="VIM42" s="119"/>
      <c r="VIN42" s="119"/>
      <c r="VIO42" s="119"/>
      <c r="VIP42" s="119"/>
      <c r="VIQ42" s="119"/>
      <c r="VIR42" s="119"/>
      <c r="VIS42" s="119"/>
      <c r="VIT42" s="119"/>
      <c r="VIU42" s="119"/>
      <c r="VIV42" s="119"/>
      <c r="VIW42" s="119"/>
      <c r="VIX42" s="119"/>
      <c r="VIY42" s="119"/>
      <c r="VIZ42" s="119"/>
      <c r="VJA42" s="119"/>
      <c r="VJB42" s="119"/>
      <c r="VJC42" s="119"/>
      <c r="VJD42" s="119"/>
      <c r="VJE42" s="119"/>
      <c r="VJF42" s="119"/>
      <c r="VJG42" s="119"/>
      <c r="VJH42" s="119"/>
      <c r="VJI42" s="119"/>
      <c r="VJJ42" s="119"/>
      <c r="VJK42" s="119"/>
      <c r="VJL42" s="119"/>
      <c r="VJM42" s="119"/>
      <c r="VJN42" s="119"/>
      <c r="VJO42" s="119"/>
      <c r="VJP42" s="119"/>
      <c r="VJQ42" s="119"/>
      <c r="VJR42" s="119"/>
      <c r="VJS42" s="119"/>
      <c r="VJT42" s="119"/>
      <c r="VJU42" s="119"/>
      <c r="VJV42" s="119"/>
      <c r="VJW42" s="119"/>
      <c r="VJX42" s="119"/>
      <c r="VJY42" s="119"/>
      <c r="VJZ42" s="119"/>
      <c r="VKA42" s="119"/>
      <c r="VKB42" s="119"/>
      <c r="VKC42" s="119"/>
      <c r="VKD42" s="119"/>
      <c r="VKE42" s="119"/>
      <c r="VKF42" s="119"/>
      <c r="VKG42" s="119"/>
      <c r="VKH42" s="119"/>
      <c r="VKI42" s="119"/>
      <c r="VKJ42" s="119"/>
      <c r="VKK42" s="119"/>
      <c r="VKL42" s="119"/>
      <c r="VKM42" s="119"/>
      <c r="VKN42" s="119"/>
      <c r="VKO42" s="119"/>
      <c r="VKP42" s="119"/>
      <c r="VKQ42" s="119"/>
      <c r="VKR42" s="119"/>
      <c r="VKS42" s="119"/>
      <c r="VKT42" s="119"/>
      <c r="VKU42" s="119"/>
      <c r="VKV42" s="119"/>
      <c r="VKW42" s="119"/>
      <c r="VKX42" s="119"/>
      <c r="VKY42" s="119"/>
      <c r="VKZ42" s="119"/>
      <c r="VLA42" s="119"/>
      <c r="VLB42" s="119"/>
      <c r="VLC42" s="119"/>
      <c r="VLD42" s="119"/>
      <c r="VLE42" s="119"/>
      <c r="VLF42" s="119"/>
      <c r="VLG42" s="119"/>
      <c r="VLH42" s="119"/>
      <c r="VLI42" s="119"/>
      <c r="VLJ42" s="119"/>
      <c r="VLK42" s="119"/>
      <c r="VLL42" s="119"/>
      <c r="VLM42" s="119"/>
      <c r="VLN42" s="119"/>
      <c r="VLO42" s="119"/>
      <c r="VLP42" s="119"/>
      <c r="VLQ42" s="119"/>
      <c r="VLR42" s="119"/>
      <c r="VLS42" s="119"/>
      <c r="VLT42" s="119"/>
      <c r="VLU42" s="119"/>
      <c r="VLV42" s="119"/>
      <c r="VLW42" s="119"/>
      <c r="VLX42" s="119"/>
      <c r="VLY42" s="119"/>
      <c r="VLZ42" s="119"/>
      <c r="VMA42" s="119"/>
      <c r="VMB42" s="119"/>
      <c r="VMC42" s="119"/>
      <c r="VMD42" s="119"/>
      <c r="VME42" s="119"/>
      <c r="VMF42" s="119"/>
      <c r="VMG42" s="119"/>
      <c r="VMH42" s="119"/>
      <c r="VMI42" s="119"/>
      <c r="VMJ42" s="119"/>
      <c r="VMK42" s="119"/>
      <c r="VML42" s="119"/>
      <c r="VMM42" s="119"/>
      <c r="VMN42" s="119"/>
      <c r="VMO42" s="119"/>
      <c r="VMP42" s="119"/>
      <c r="VMQ42" s="119"/>
      <c r="VMR42" s="119"/>
      <c r="VMS42" s="119"/>
      <c r="VMT42" s="119"/>
      <c r="VMU42" s="119"/>
      <c r="VMV42" s="119"/>
      <c r="VMW42" s="119"/>
      <c r="VMX42" s="119"/>
      <c r="VMY42" s="119"/>
      <c r="VMZ42" s="119"/>
      <c r="VNA42" s="119"/>
      <c r="VNB42" s="119"/>
      <c r="VNC42" s="119"/>
      <c r="VND42" s="119"/>
      <c r="VNE42" s="119"/>
      <c r="VNF42" s="119"/>
      <c r="VNG42" s="119"/>
      <c r="VNH42" s="119"/>
      <c r="VNI42" s="119"/>
      <c r="VNJ42" s="119"/>
      <c r="VNK42" s="119"/>
      <c r="VNL42" s="119"/>
      <c r="VNM42" s="119"/>
      <c r="VNN42" s="119"/>
      <c r="VNO42" s="119"/>
      <c r="VNP42" s="119"/>
      <c r="VNQ42" s="119"/>
      <c r="VNR42" s="119"/>
      <c r="VNS42" s="119"/>
      <c r="VNT42" s="119"/>
      <c r="VNU42" s="119"/>
      <c r="VNV42" s="119"/>
      <c r="VNW42" s="119"/>
      <c r="VNX42" s="119"/>
      <c r="VNY42" s="119"/>
      <c r="VNZ42" s="119"/>
      <c r="VOA42" s="119"/>
      <c r="VOB42" s="119"/>
      <c r="VOC42" s="119"/>
      <c r="VOD42" s="119"/>
      <c r="VOE42" s="119"/>
      <c r="VOF42" s="119"/>
      <c r="VOG42" s="119"/>
      <c r="VOH42" s="119"/>
      <c r="VOI42" s="119"/>
      <c r="VOJ42" s="119"/>
      <c r="VOK42" s="119"/>
      <c r="VOL42" s="119"/>
      <c r="VOM42" s="119"/>
      <c r="VON42" s="119"/>
      <c r="VOO42" s="119"/>
      <c r="VOP42" s="119"/>
      <c r="VOQ42" s="119"/>
      <c r="VOR42" s="119"/>
      <c r="VOS42" s="119"/>
      <c r="VOT42" s="119"/>
      <c r="VOU42" s="119"/>
      <c r="VOV42" s="119"/>
      <c r="VOW42" s="119"/>
      <c r="VOX42" s="119"/>
      <c r="VOY42" s="119"/>
      <c r="VOZ42" s="119"/>
      <c r="VPA42" s="119"/>
      <c r="VPB42" s="119"/>
      <c r="VPC42" s="119"/>
      <c r="VPD42" s="119"/>
      <c r="VPE42" s="119"/>
      <c r="VPF42" s="119"/>
      <c r="VPG42" s="119"/>
      <c r="VPH42" s="119"/>
      <c r="VPI42" s="119"/>
      <c r="VPJ42" s="119"/>
      <c r="VPK42" s="119"/>
      <c r="VPL42" s="119"/>
      <c r="VPM42" s="119"/>
      <c r="VPN42" s="119"/>
      <c r="VPO42" s="119"/>
      <c r="VPP42" s="119"/>
      <c r="VPQ42" s="119"/>
      <c r="VPR42" s="119"/>
      <c r="VPS42" s="119"/>
      <c r="VPT42" s="119"/>
      <c r="VPU42" s="119"/>
      <c r="VPV42" s="119"/>
      <c r="VPW42" s="119"/>
      <c r="VPX42" s="119"/>
      <c r="VPY42" s="119"/>
      <c r="VPZ42" s="119"/>
      <c r="VQA42" s="119"/>
      <c r="VQB42" s="119"/>
      <c r="VQC42" s="119"/>
      <c r="VQD42" s="119"/>
      <c r="VQE42" s="119"/>
      <c r="VQF42" s="119"/>
      <c r="VQG42" s="119"/>
      <c r="VQH42" s="119"/>
      <c r="VQI42" s="119"/>
      <c r="VQJ42" s="119"/>
      <c r="VQK42" s="119"/>
      <c r="VQL42" s="119"/>
      <c r="VQM42" s="119"/>
      <c r="VQN42" s="119"/>
      <c r="VQO42" s="119"/>
      <c r="VQP42" s="119"/>
      <c r="VQQ42" s="119"/>
      <c r="VQR42" s="119"/>
      <c r="VQS42" s="119"/>
      <c r="VQT42" s="119"/>
      <c r="VQU42" s="119"/>
      <c r="VQV42" s="119"/>
      <c r="VQW42" s="119"/>
      <c r="VQX42" s="119"/>
      <c r="VQY42" s="119"/>
      <c r="VQZ42" s="119"/>
      <c r="VRA42" s="119"/>
      <c r="VRB42" s="119"/>
      <c r="VRC42" s="119"/>
      <c r="VRD42" s="119"/>
      <c r="VRE42" s="119"/>
      <c r="VRF42" s="119"/>
      <c r="VRG42" s="119"/>
      <c r="VRH42" s="119"/>
      <c r="VRI42" s="119"/>
      <c r="VRJ42" s="119"/>
      <c r="VRK42" s="119"/>
      <c r="VRL42" s="119"/>
      <c r="VRM42" s="119"/>
      <c r="VRN42" s="119"/>
      <c r="VRO42" s="119"/>
      <c r="VRP42" s="119"/>
      <c r="VRQ42" s="119"/>
      <c r="VRR42" s="119"/>
      <c r="VRS42" s="119"/>
      <c r="VRT42" s="119"/>
      <c r="VRU42" s="119"/>
      <c r="VRV42" s="119"/>
      <c r="VRW42" s="119"/>
      <c r="VRX42" s="119"/>
      <c r="VRY42" s="119"/>
      <c r="VRZ42" s="119"/>
      <c r="VSA42" s="119"/>
      <c r="VSB42" s="119"/>
      <c r="VSC42" s="119"/>
      <c r="VSD42" s="119"/>
      <c r="VSE42" s="119"/>
      <c r="VSF42" s="119"/>
      <c r="VSG42" s="119"/>
      <c r="VSH42" s="119"/>
      <c r="VSI42" s="119"/>
      <c r="VSJ42" s="119"/>
      <c r="VSK42" s="119"/>
      <c r="VSL42" s="119"/>
      <c r="VSM42" s="119"/>
      <c r="VSN42" s="119"/>
      <c r="VSO42" s="119"/>
      <c r="VSP42" s="119"/>
      <c r="VSQ42" s="119"/>
      <c r="VSR42" s="119"/>
      <c r="VSS42" s="119"/>
      <c r="VST42" s="119"/>
      <c r="VSU42" s="119"/>
      <c r="VSV42" s="119"/>
      <c r="VSW42" s="119"/>
      <c r="VSX42" s="119"/>
      <c r="VSY42" s="119"/>
      <c r="VSZ42" s="119"/>
      <c r="VTA42" s="119"/>
      <c r="VTB42" s="119"/>
      <c r="VTC42" s="119"/>
      <c r="VTD42" s="119"/>
      <c r="VTE42" s="119"/>
      <c r="VTF42" s="119"/>
      <c r="VTG42" s="119"/>
      <c r="VTH42" s="119"/>
      <c r="VTI42" s="119"/>
      <c r="VTJ42" s="119"/>
      <c r="VTK42" s="119"/>
      <c r="VTL42" s="119"/>
      <c r="VTM42" s="119"/>
      <c r="VTN42" s="119"/>
      <c r="VTO42" s="119"/>
      <c r="VTP42" s="119"/>
      <c r="VTQ42" s="119"/>
      <c r="VTR42" s="119"/>
      <c r="VTS42" s="119"/>
      <c r="VTT42" s="119"/>
      <c r="VTU42" s="119"/>
      <c r="VTV42" s="119"/>
      <c r="VTW42" s="119"/>
      <c r="VTX42" s="119"/>
      <c r="VTY42" s="119"/>
      <c r="VTZ42" s="119"/>
      <c r="VUA42" s="119"/>
      <c r="VUB42" s="119"/>
      <c r="VUC42" s="119"/>
      <c r="VUD42" s="119"/>
      <c r="VUE42" s="119"/>
      <c r="VUF42" s="119"/>
      <c r="VUG42" s="119"/>
      <c r="VUH42" s="119"/>
      <c r="VUI42" s="119"/>
      <c r="VUJ42" s="119"/>
      <c r="VUK42" s="119"/>
      <c r="VUL42" s="119"/>
      <c r="VUM42" s="119"/>
      <c r="VUN42" s="119"/>
      <c r="VUO42" s="119"/>
      <c r="VUP42" s="119"/>
      <c r="VUQ42" s="119"/>
      <c r="VUR42" s="119"/>
      <c r="VUS42" s="119"/>
      <c r="VUT42" s="119"/>
      <c r="VUU42" s="119"/>
      <c r="VUV42" s="119"/>
      <c r="VUW42" s="119"/>
      <c r="VUX42" s="119"/>
      <c r="VUY42" s="119"/>
      <c r="VUZ42" s="119"/>
      <c r="VVA42" s="119"/>
      <c r="VVB42" s="119"/>
      <c r="VVC42" s="119"/>
      <c r="VVD42" s="119"/>
      <c r="VVE42" s="119"/>
      <c r="VVF42" s="119"/>
      <c r="VVG42" s="119"/>
      <c r="VVH42" s="119"/>
      <c r="VVI42" s="119"/>
      <c r="VVJ42" s="119"/>
      <c r="VVK42" s="119"/>
      <c r="VVL42" s="119"/>
      <c r="VVM42" s="119"/>
      <c r="VVN42" s="119"/>
      <c r="VVO42" s="119"/>
      <c r="VVP42" s="119"/>
      <c r="VVQ42" s="119"/>
      <c r="VVR42" s="119"/>
      <c r="VVS42" s="119"/>
      <c r="VVT42" s="119"/>
      <c r="VVU42" s="119"/>
      <c r="VVV42" s="119"/>
      <c r="VVW42" s="119"/>
      <c r="VVX42" s="119"/>
      <c r="VVY42" s="119"/>
      <c r="VVZ42" s="119"/>
      <c r="VWA42" s="119"/>
      <c r="VWB42" s="119"/>
      <c r="VWC42" s="119"/>
      <c r="VWD42" s="119"/>
      <c r="VWE42" s="119"/>
      <c r="VWF42" s="119"/>
      <c r="VWG42" s="119"/>
      <c r="VWH42" s="119"/>
      <c r="VWI42" s="119"/>
      <c r="VWJ42" s="119"/>
      <c r="VWK42" s="119"/>
      <c r="VWL42" s="119"/>
      <c r="VWM42" s="119"/>
      <c r="VWN42" s="119"/>
      <c r="VWO42" s="119"/>
      <c r="VWP42" s="119"/>
      <c r="VWQ42" s="119"/>
      <c r="VWR42" s="119"/>
      <c r="VWS42" s="119"/>
      <c r="VWT42" s="119"/>
      <c r="VWU42" s="119"/>
      <c r="VWV42" s="119"/>
      <c r="VWW42" s="119"/>
      <c r="VWX42" s="119"/>
      <c r="VWY42" s="119"/>
      <c r="VWZ42" s="119"/>
      <c r="VXA42" s="119"/>
      <c r="VXB42" s="119"/>
      <c r="VXC42" s="119"/>
      <c r="VXD42" s="119"/>
      <c r="VXE42" s="119"/>
      <c r="VXF42" s="119"/>
      <c r="VXG42" s="119"/>
      <c r="VXH42" s="119"/>
      <c r="VXI42" s="119"/>
      <c r="VXJ42" s="119"/>
      <c r="VXK42" s="119"/>
      <c r="VXL42" s="119"/>
      <c r="VXM42" s="119"/>
      <c r="VXN42" s="119"/>
      <c r="VXO42" s="119"/>
      <c r="VXP42" s="119"/>
      <c r="VXQ42" s="119"/>
      <c r="VXR42" s="119"/>
      <c r="VXS42" s="119"/>
      <c r="VXT42" s="119"/>
      <c r="VXU42" s="119"/>
      <c r="VXV42" s="119"/>
      <c r="VXW42" s="119"/>
      <c r="VXX42" s="119"/>
      <c r="VXY42" s="119"/>
      <c r="VXZ42" s="119"/>
      <c r="VYA42" s="119"/>
      <c r="VYB42" s="119"/>
      <c r="VYC42" s="119"/>
      <c r="VYD42" s="119"/>
      <c r="VYE42" s="119"/>
      <c r="VYF42" s="119"/>
      <c r="VYG42" s="119"/>
      <c r="VYH42" s="119"/>
      <c r="VYI42" s="119"/>
      <c r="VYJ42" s="119"/>
      <c r="VYK42" s="119"/>
      <c r="VYL42" s="119"/>
      <c r="VYM42" s="119"/>
      <c r="VYN42" s="119"/>
      <c r="VYO42" s="119"/>
      <c r="VYP42" s="119"/>
      <c r="VYQ42" s="119"/>
      <c r="VYR42" s="119"/>
      <c r="VYS42" s="119"/>
      <c r="VYT42" s="119"/>
      <c r="VYU42" s="119"/>
      <c r="VYV42" s="119"/>
      <c r="VYW42" s="119"/>
      <c r="VYX42" s="119"/>
      <c r="VYY42" s="119"/>
      <c r="VYZ42" s="119"/>
      <c r="VZA42" s="119"/>
      <c r="VZB42" s="119"/>
      <c r="VZC42" s="119"/>
      <c r="VZD42" s="119"/>
      <c r="VZE42" s="119"/>
      <c r="VZF42" s="119"/>
      <c r="VZG42" s="119"/>
      <c r="VZH42" s="119"/>
      <c r="VZI42" s="119"/>
      <c r="VZJ42" s="119"/>
      <c r="VZK42" s="119"/>
      <c r="VZL42" s="119"/>
      <c r="VZM42" s="119"/>
      <c r="VZN42" s="119"/>
      <c r="VZO42" s="119"/>
      <c r="VZP42" s="119"/>
      <c r="VZQ42" s="119"/>
      <c r="VZR42" s="119"/>
      <c r="VZS42" s="119"/>
      <c r="VZT42" s="119"/>
      <c r="VZU42" s="119"/>
      <c r="VZV42" s="119"/>
      <c r="VZW42" s="119"/>
      <c r="VZX42" s="119"/>
      <c r="VZY42" s="119"/>
      <c r="VZZ42" s="119"/>
      <c r="WAA42" s="119"/>
      <c r="WAB42" s="119"/>
      <c r="WAC42" s="119"/>
      <c r="WAD42" s="119"/>
      <c r="WAE42" s="119"/>
      <c r="WAF42" s="119"/>
      <c r="WAG42" s="119"/>
      <c r="WAH42" s="119"/>
      <c r="WAI42" s="119"/>
      <c r="WAJ42" s="119"/>
      <c r="WAK42" s="119"/>
      <c r="WAL42" s="119"/>
      <c r="WAM42" s="119"/>
      <c r="WAN42" s="119"/>
      <c r="WAO42" s="119"/>
      <c r="WAP42" s="119"/>
      <c r="WAQ42" s="119"/>
      <c r="WAR42" s="119"/>
      <c r="WAS42" s="119"/>
      <c r="WAT42" s="119"/>
      <c r="WAU42" s="119"/>
      <c r="WAV42" s="119"/>
      <c r="WAW42" s="119"/>
      <c r="WAX42" s="119"/>
      <c r="WAY42" s="119"/>
      <c r="WAZ42" s="119"/>
      <c r="WBA42" s="119"/>
      <c r="WBB42" s="119"/>
      <c r="WBC42" s="119"/>
      <c r="WBD42" s="119"/>
      <c r="WBE42" s="119"/>
      <c r="WBF42" s="119"/>
      <c r="WBG42" s="119"/>
      <c r="WBH42" s="119"/>
      <c r="WBI42" s="119"/>
      <c r="WBJ42" s="119"/>
      <c r="WBK42" s="119"/>
      <c r="WBL42" s="119"/>
      <c r="WBM42" s="119"/>
      <c r="WBN42" s="119"/>
      <c r="WBO42" s="119"/>
      <c r="WBP42" s="119"/>
      <c r="WBQ42" s="119"/>
      <c r="WBR42" s="119"/>
      <c r="WBS42" s="119"/>
      <c r="WBT42" s="119"/>
      <c r="WBU42" s="119"/>
      <c r="WBV42" s="119"/>
      <c r="WBW42" s="119"/>
      <c r="WBX42" s="119"/>
      <c r="WBY42" s="119"/>
      <c r="WBZ42" s="119"/>
      <c r="WCA42" s="119"/>
      <c r="WCB42" s="119"/>
      <c r="WCC42" s="119"/>
      <c r="WCD42" s="119"/>
      <c r="WCE42" s="119"/>
      <c r="WCF42" s="119"/>
      <c r="WCG42" s="119"/>
      <c r="WCH42" s="119"/>
      <c r="WCI42" s="119"/>
      <c r="WCJ42" s="119"/>
      <c r="WCK42" s="119"/>
      <c r="WCL42" s="119"/>
      <c r="WCM42" s="119"/>
      <c r="WCN42" s="119"/>
      <c r="WCO42" s="119"/>
      <c r="WCP42" s="119"/>
      <c r="WCQ42" s="119"/>
      <c r="WCR42" s="119"/>
      <c r="WCS42" s="119"/>
      <c r="WCT42" s="119"/>
      <c r="WCU42" s="119"/>
      <c r="WCV42" s="119"/>
      <c r="WCW42" s="119"/>
      <c r="WCX42" s="119"/>
      <c r="WCY42" s="119"/>
      <c r="WCZ42" s="119"/>
      <c r="WDA42" s="119"/>
      <c r="WDB42" s="119"/>
      <c r="WDC42" s="119"/>
      <c r="WDD42" s="119"/>
      <c r="WDE42" s="119"/>
      <c r="WDF42" s="119"/>
      <c r="WDG42" s="119"/>
      <c r="WDH42" s="119"/>
      <c r="WDI42" s="119"/>
      <c r="WDJ42" s="119"/>
      <c r="WDK42" s="119"/>
      <c r="WDL42" s="119"/>
      <c r="WDM42" s="119"/>
      <c r="WDN42" s="119"/>
      <c r="WDO42" s="119"/>
      <c r="WDP42" s="119"/>
      <c r="WDQ42" s="119"/>
      <c r="WDR42" s="119"/>
      <c r="WDS42" s="119"/>
      <c r="WDT42" s="119"/>
      <c r="WDU42" s="119"/>
      <c r="WDV42" s="119"/>
      <c r="WDW42" s="119"/>
      <c r="WDX42" s="119"/>
      <c r="WDY42" s="119"/>
      <c r="WDZ42" s="119"/>
      <c r="WEA42" s="119"/>
      <c r="WEB42" s="119"/>
      <c r="WEC42" s="119"/>
      <c r="WED42" s="119"/>
      <c r="WEE42" s="119"/>
      <c r="WEF42" s="119"/>
      <c r="WEG42" s="119"/>
      <c r="WEH42" s="119"/>
      <c r="WEI42" s="119"/>
      <c r="WEJ42" s="119"/>
      <c r="WEK42" s="119"/>
      <c r="WEL42" s="119"/>
      <c r="WEM42" s="119"/>
      <c r="WEN42" s="119"/>
      <c r="WEO42" s="119"/>
      <c r="WEP42" s="119"/>
      <c r="WEQ42" s="119"/>
      <c r="WER42" s="119"/>
      <c r="WES42" s="119"/>
      <c r="WET42" s="119"/>
      <c r="WEU42" s="119"/>
      <c r="WEV42" s="119"/>
      <c r="WEW42" s="119"/>
      <c r="WEX42" s="119"/>
      <c r="WEY42" s="119"/>
      <c r="WEZ42" s="119"/>
      <c r="WFA42" s="119"/>
      <c r="WFB42" s="119"/>
      <c r="WFC42" s="119"/>
      <c r="WFD42" s="119"/>
      <c r="WFE42" s="119"/>
      <c r="WFF42" s="119"/>
      <c r="WFG42" s="119"/>
      <c r="WFH42" s="119"/>
      <c r="WFI42" s="119"/>
      <c r="WFJ42" s="119"/>
      <c r="WFK42" s="119"/>
      <c r="WFL42" s="119"/>
      <c r="WFM42" s="119"/>
      <c r="WFN42" s="119"/>
      <c r="WFO42" s="119"/>
      <c r="WFP42" s="119"/>
      <c r="WFQ42" s="119"/>
      <c r="WFR42" s="119"/>
      <c r="WFS42" s="119"/>
      <c r="WFT42" s="119"/>
      <c r="WFU42" s="119"/>
      <c r="WFV42" s="119"/>
      <c r="WFW42" s="119"/>
      <c r="WFX42" s="119"/>
      <c r="WFY42" s="119"/>
      <c r="WFZ42" s="119"/>
      <c r="WGA42" s="119"/>
      <c r="WGB42" s="119"/>
      <c r="WGC42" s="119"/>
      <c r="WGD42" s="119"/>
      <c r="WGE42" s="119"/>
      <c r="WGF42" s="119"/>
      <c r="WGG42" s="119"/>
      <c r="WGH42" s="119"/>
      <c r="WGI42" s="119"/>
      <c r="WGJ42" s="119"/>
      <c r="WGK42" s="119"/>
      <c r="WGL42" s="119"/>
      <c r="WGM42" s="119"/>
      <c r="WGN42" s="119"/>
      <c r="WGO42" s="119"/>
      <c r="WGP42" s="119"/>
      <c r="WGQ42" s="119"/>
      <c r="WGR42" s="119"/>
      <c r="WGS42" s="119"/>
      <c r="WGT42" s="119"/>
      <c r="WGU42" s="119"/>
      <c r="WGV42" s="119"/>
      <c r="WGW42" s="119"/>
      <c r="WGX42" s="119"/>
      <c r="WGY42" s="119"/>
      <c r="WGZ42" s="119"/>
      <c r="WHA42" s="119"/>
      <c r="WHB42" s="119"/>
      <c r="WHC42" s="119"/>
      <c r="WHD42" s="119"/>
      <c r="WHE42" s="119"/>
      <c r="WHF42" s="119"/>
      <c r="WHG42" s="119"/>
      <c r="WHH42" s="119"/>
      <c r="WHI42" s="119"/>
      <c r="WHJ42" s="119"/>
      <c r="WHK42" s="119"/>
      <c r="WHL42" s="119"/>
      <c r="WHM42" s="119"/>
      <c r="WHN42" s="119"/>
      <c r="WHO42" s="119"/>
      <c r="WHP42" s="119"/>
      <c r="WHQ42" s="119"/>
      <c r="WHR42" s="119"/>
      <c r="WHS42" s="119"/>
      <c r="WHT42" s="119"/>
      <c r="WHU42" s="119"/>
      <c r="WHV42" s="119"/>
      <c r="WHW42" s="119"/>
      <c r="WHX42" s="119"/>
      <c r="WHY42" s="119"/>
      <c r="WHZ42" s="119"/>
      <c r="WIA42" s="119"/>
      <c r="WIB42" s="119"/>
      <c r="WIC42" s="119"/>
      <c r="WID42" s="119"/>
      <c r="WIE42" s="119"/>
      <c r="WIF42" s="119"/>
      <c r="WIG42" s="119"/>
      <c r="WIH42" s="119"/>
      <c r="WII42" s="119"/>
      <c r="WIJ42" s="119"/>
      <c r="WIK42" s="119"/>
      <c r="WIL42" s="119"/>
      <c r="WIM42" s="119"/>
      <c r="WIN42" s="119"/>
      <c r="WIO42" s="119"/>
      <c r="WIP42" s="119"/>
      <c r="WIQ42" s="119"/>
      <c r="WIR42" s="119"/>
      <c r="WIS42" s="119"/>
      <c r="WIT42" s="119"/>
      <c r="WIU42" s="119"/>
      <c r="WIV42" s="119"/>
      <c r="WIW42" s="119"/>
      <c r="WIX42" s="119"/>
      <c r="WIY42" s="119"/>
      <c r="WIZ42" s="119"/>
      <c r="WJA42" s="119"/>
      <c r="WJB42" s="119"/>
      <c r="WJC42" s="119"/>
      <c r="WJD42" s="119"/>
      <c r="WJE42" s="119"/>
      <c r="WJF42" s="119"/>
      <c r="WJG42" s="119"/>
      <c r="WJH42" s="119"/>
      <c r="WJI42" s="119"/>
      <c r="WJJ42" s="119"/>
      <c r="WJK42" s="119"/>
      <c r="WJL42" s="119"/>
      <c r="WJM42" s="119"/>
      <c r="WJN42" s="119"/>
      <c r="WJO42" s="119"/>
      <c r="WJP42" s="119"/>
      <c r="WJQ42" s="119"/>
      <c r="WJR42" s="119"/>
      <c r="WJS42" s="119"/>
      <c r="WJT42" s="119"/>
      <c r="WJU42" s="119"/>
      <c r="WJV42" s="119"/>
      <c r="WJW42" s="119"/>
      <c r="WJX42" s="119"/>
      <c r="WJY42" s="119"/>
      <c r="WJZ42" s="119"/>
      <c r="WKA42" s="119"/>
      <c r="WKB42" s="119"/>
      <c r="WKC42" s="119"/>
      <c r="WKD42" s="119"/>
      <c r="WKE42" s="119"/>
      <c r="WKF42" s="119"/>
      <c r="WKG42" s="119"/>
      <c r="WKH42" s="119"/>
      <c r="WKI42" s="119"/>
      <c r="WKJ42" s="119"/>
      <c r="WKK42" s="119"/>
      <c r="WKL42" s="119"/>
      <c r="WKM42" s="119"/>
      <c r="WKN42" s="119"/>
      <c r="WKO42" s="119"/>
      <c r="WKP42" s="119"/>
      <c r="WKQ42" s="119"/>
      <c r="WKR42" s="119"/>
      <c r="WKS42" s="119"/>
      <c r="WKT42" s="119"/>
      <c r="WKU42" s="119"/>
      <c r="WKV42" s="119"/>
      <c r="WKW42" s="119"/>
      <c r="WKX42" s="119"/>
      <c r="WKY42" s="119"/>
      <c r="WKZ42" s="119"/>
      <c r="WLA42" s="119"/>
      <c r="WLB42" s="119"/>
      <c r="WLC42" s="119"/>
      <c r="WLD42" s="119"/>
      <c r="WLE42" s="119"/>
      <c r="WLF42" s="119"/>
      <c r="WLG42" s="119"/>
      <c r="WLH42" s="119"/>
      <c r="WLI42" s="119"/>
      <c r="WLJ42" s="119"/>
      <c r="WLK42" s="119"/>
      <c r="WLL42" s="119"/>
      <c r="WLM42" s="119"/>
      <c r="WLN42" s="119"/>
      <c r="WLO42" s="119"/>
      <c r="WLP42" s="119"/>
      <c r="WLQ42" s="119"/>
      <c r="WLR42" s="119"/>
      <c r="WLS42" s="119"/>
      <c r="WLT42" s="119"/>
      <c r="WLU42" s="119"/>
      <c r="WLV42" s="119"/>
      <c r="WLW42" s="119"/>
      <c r="WLX42" s="119"/>
      <c r="WLY42" s="119"/>
      <c r="WLZ42" s="119"/>
      <c r="WMA42" s="119"/>
      <c r="WMB42" s="119"/>
      <c r="WMC42" s="119"/>
      <c r="WMD42" s="119"/>
      <c r="WME42" s="119"/>
      <c r="WMF42" s="119"/>
      <c r="WMG42" s="119"/>
      <c r="WMH42" s="119"/>
      <c r="WMI42" s="119"/>
      <c r="WMJ42" s="119"/>
      <c r="WMK42" s="119"/>
      <c r="WML42" s="119"/>
      <c r="WMM42" s="119"/>
      <c r="WMN42" s="119"/>
      <c r="WMO42" s="119"/>
      <c r="WMP42" s="119"/>
      <c r="WMQ42" s="119"/>
      <c r="WMR42" s="119"/>
      <c r="WMS42" s="119"/>
      <c r="WMT42" s="119"/>
      <c r="WMU42" s="119"/>
      <c r="WMV42" s="119"/>
      <c r="WMW42" s="119"/>
      <c r="WMX42" s="119"/>
      <c r="WMY42" s="119"/>
      <c r="WMZ42" s="119"/>
      <c r="WNA42" s="119"/>
      <c r="WNB42" s="119"/>
      <c r="WNC42" s="119"/>
      <c r="WND42" s="119"/>
      <c r="WNE42" s="119"/>
      <c r="WNF42" s="119"/>
      <c r="WNG42" s="119"/>
      <c r="WNH42" s="119"/>
      <c r="WNI42" s="119"/>
      <c r="WNJ42" s="119"/>
      <c r="WNK42" s="119"/>
      <c r="WNL42" s="119"/>
      <c r="WNM42" s="119"/>
      <c r="WNN42" s="119"/>
      <c r="WNO42" s="119"/>
      <c r="WNP42" s="119"/>
      <c r="WNQ42" s="119"/>
      <c r="WNR42" s="119"/>
      <c r="WNS42" s="119"/>
      <c r="WNT42" s="119"/>
      <c r="WNU42" s="119"/>
      <c r="WNV42" s="119"/>
      <c r="WNW42" s="119"/>
      <c r="WNX42" s="119"/>
      <c r="WNY42" s="119"/>
      <c r="WNZ42" s="119"/>
      <c r="WOA42" s="119"/>
      <c r="WOB42" s="119"/>
      <c r="WOC42" s="119"/>
      <c r="WOD42" s="119"/>
      <c r="WOE42" s="119"/>
      <c r="WOF42" s="119"/>
      <c r="WOG42" s="119"/>
      <c r="WOH42" s="119"/>
      <c r="WOI42" s="119"/>
      <c r="WOJ42" s="119"/>
      <c r="WOK42" s="119"/>
      <c r="WOL42" s="119"/>
      <c r="WOM42" s="119"/>
      <c r="WON42" s="119"/>
      <c r="WOO42" s="119"/>
      <c r="WOP42" s="119"/>
      <c r="WOQ42" s="119"/>
      <c r="WOR42" s="119"/>
      <c r="WOS42" s="119"/>
      <c r="WOT42" s="119"/>
      <c r="WOU42" s="119"/>
      <c r="WOV42" s="119"/>
      <c r="WOW42" s="119"/>
      <c r="WOX42" s="119"/>
      <c r="WOY42" s="119"/>
      <c r="WOZ42" s="119"/>
      <c r="WPA42" s="119"/>
      <c r="WPB42" s="119"/>
      <c r="WPC42" s="119"/>
      <c r="WPD42" s="119"/>
      <c r="WPE42" s="119"/>
      <c r="WPF42" s="119"/>
      <c r="WPG42" s="119"/>
      <c r="WPH42" s="119"/>
      <c r="WPI42" s="119"/>
      <c r="WPJ42" s="119"/>
      <c r="WPK42" s="119"/>
      <c r="WPL42" s="119"/>
      <c r="WPM42" s="119"/>
      <c r="WPN42" s="119"/>
      <c r="WPO42" s="119"/>
      <c r="WPP42" s="119"/>
      <c r="WPQ42" s="119"/>
      <c r="WPR42" s="119"/>
      <c r="WPS42" s="119"/>
      <c r="WPT42" s="119"/>
      <c r="WPU42" s="119"/>
      <c r="WPV42" s="119"/>
      <c r="WPW42" s="119"/>
      <c r="WPX42" s="119"/>
      <c r="WPY42" s="119"/>
      <c r="WPZ42" s="119"/>
      <c r="WQA42" s="119"/>
      <c r="WQB42" s="119"/>
      <c r="WQC42" s="119"/>
      <c r="WQD42" s="119"/>
      <c r="WQE42" s="119"/>
      <c r="WQF42" s="119"/>
      <c r="WQG42" s="119"/>
      <c r="WQH42" s="119"/>
      <c r="WQI42" s="119"/>
      <c r="WQJ42" s="119"/>
      <c r="WQK42" s="119"/>
      <c r="WQL42" s="119"/>
      <c r="WQM42" s="119"/>
      <c r="WQN42" s="119"/>
      <c r="WQO42" s="119"/>
      <c r="WQP42" s="119"/>
      <c r="WQQ42" s="119"/>
      <c r="WQR42" s="119"/>
      <c r="WQS42" s="119"/>
      <c r="WQT42" s="119"/>
      <c r="WQU42" s="119"/>
      <c r="WQV42" s="119"/>
      <c r="WQW42" s="119"/>
      <c r="WQX42" s="119"/>
      <c r="WQY42" s="119"/>
      <c r="WQZ42" s="119"/>
      <c r="WRA42" s="119"/>
      <c r="WRB42" s="119"/>
      <c r="WRC42" s="119"/>
      <c r="WRD42" s="119"/>
      <c r="WRE42" s="119"/>
      <c r="WRF42" s="119"/>
      <c r="WRG42" s="119"/>
      <c r="WRH42" s="119"/>
      <c r="WRI42" s="119"/>
      <c r="WRJ42" s="119"/>
      <c r="WRK42" s="119"/>
      <c r="WRL42" s="119"/>
      <c r="WRM42" s="119"/>
      <c r="WRN42" s="119"/>
      <c r="WRO42" s="119"/>
      <c r="WRP42" s="119"/>
      <c r="WRQ42" s="119"/>
      <c r="WRR42" s="119"/>
      <c r="WRS42" s="119"/>
      <c r="WRT42" s="119"/>
      <c r="WRU42" s="119"/>
      <c r="WRV42" s="119"/>
      <c r="WRW42" s="119"/>
      <c r="WRX42" s="119"/>
      <c r="WRY42" s="119"/>
      <c r="WRZ42" s="119"/>
      <c r="WSA42" s="119"/>
      <c r="WSB42" s="119"/>
      <c r="WSC42" s="119"/>
      <c r="WSD42" s="119"/>
      <c r="WSE42" s="119"/>
      <c r="WSF42" s="119"/>
      <c r="WSG42" s="119"/>
      <c r="WSH42" s="119"/>
      <c r="WSI42" s="119"/>
      <c r="WSJ42" s="119"/>
      <c r="WSK42" s="119"/>
      <c r="WSL42" s="119"/>
      <c r="WSM42" s="119"/>
      <c r="WSN42" s="119"/>
      <c r="WSO42" s="119"/>
      <c r="WSP42" s="119"/>
      <c r="WSQ42" s="119"/>
      <c r="WSR42" s="119"/>
      <c r="WSS42" s="119"/>
      <c r="WST42" s="119"/>
      <c r="WSU42" s="119"/>
      <c r="WSV42" s="119"/>
      <c r="WSW42" s="119"/>
      <c r="WSX42" s="119"/>
      <c r="WSY42" s="119"/>
      <c r="WSZ42" s="119"/>
      <c r="WTA42" s="119"/>
      <c r="WTB42" s="119"/>
      <c r="WTC42" s="119"/>
      <c r="WTD42" s="119"/>
      <c r="WTE42" s="119"/>
      <c r="WTF42" s="119"/>
      <c r="WTG42" s="119"/>
      <c r="WTH42" s="119"/>
      <c r="WTI42" s="119"/>
      <c r="WTJ42" s="119"/>
      <c r="WTK42" s="119"/>
      <c r="WTL42" s="119"/>
      <c r="WTM42" s="119"/>
      <c r="WTN42" s="119"/>
      <c r="WTO42" s="119"/>
      <c r="WTP42" s="119"/>
      <c r="WTQ42" s="119"/>
      <c r="WTR42" s="119"/>
      <c r="WTS42" s="119"/>
      <c r="WTT42" s="119"/>
      <c r="WTU42" s="119"/>
      <c r="WTV42" s="119"/>
      <c r="WTW42" s="119"/>
      <c r="WTX42" s="119"/>
      <c r="WTY42" s="119"/>
      <c r="WTZ42" s="119"/>
      <c r="WUA42" s="119"/>
      <c r="WUB42" s="119"/>
      <c r="WUC42" s="119"/>
      <c r="WUD42" s="119"/>
      <c r="WUE42" s="119"/>
      <c r="WUF42" s="119"/>
      <c r="WUG42" s="119"/>
      <c r="WUH42" s="119"/>
      <c r="WUI42" s="119"/>
      <c r="WUJ42" s="119"/>
      <c r="WUK42" s="119"/>
      <c r="WUL42" s="119"/>
      <c r="WUM42" s="119"/>
      <c r="WUN42" s="119"/>
      <c r="WUO42" s="119"/>
      <c r="WUP42" s="119"/>
      <c r="WUQ42" s="119"/>
      <c r="WUR42" s="119"/>
      <c r="WUS42" s="119"/>
      <c r="WUT42" s="119"/>
      <c r="WUU42" s="119"/>
      <c r="WUV42" s="119"/>
      <c r="WUW42" s="119"/>
      <c r="WUX42" s="119"/>
      <c r="WUY42" s="119"/>
      <c r="WUZ42" s="119"/>
      <c r="WVA42" s="119"/>
      <c r="WVB42" s="119"/>
      <c r="WVC42" s="119"/>
      <c r="WVD42" s="119"/>
      <c r="WVE42" s="119"/>
      <c r="WVF42" s="119"/>
      <c r="WVG42" s="119"/>
      <c r="WVH42" s="119"/>
      <c r="WVI42" s="119"/>
      <c r="WVJ42" s="119"/>
      <c r="WVK42" s="119"/>
      <c r="WVL42" s="119"/>
      <c r="WVM42" s="119"/>
      <c r="WVN42" s="119"/>
      <c r="WVO42" s="119"/>
      <c r="WVP42" s="119"/>
      <c r="WVQ42" s="119"/>
      <c r="WVR42" s="119"/>
      <c r="WVS42" s="119"/>
      <c r="WVT42" s="119"/>
      <c r="WVU42" s="119"/>
      <c r="WVV42" s="119"/>
      <c r="WVW42" s="119"/>
      <c r="WVX42" s="119"/>
      <c r="WVY42" s="119"/>
      <c r="WVZ42" s="119"/>
      <c r="WWA42" s="119"/>
      <c r="WWB42" s="119"/>
      <c r="WWC42" s="119"/>
      <c r="WWD42" s="119"/>
      <c r="WWE42" s="119"/>
      <c r="WWF42" s="119"/>
      <c r="WWG42" s="119"/>
      <c r="WWH42" s="119"/>
      <c r="WWI42" s="119"/>
      <c r="WWJ42" s="119"/>
      <c r="WWK42" s="119"/>
      <c r="WWL42" s="119"/>
      <c r="WWM42" s="119"/>
      <c r="WWN42" s="119"/>
      <c r="WWO42" s="119"/>
      <c r="WWP42" s="119"/>
      <c r="WWQ42" s="119"/>
      <c r="WWR42" s="119"/>
      <c r="WWS42" s="119"/>
      <c r="WWT42" s="119"/>
      <c r="WWU42" s="119"/>
      <c r="WWV42" s="119"/>
      <c r="WWW42" s="119"/>
      <c r="WWX42" s="119"/>
      <c r="WWY42" s="119"/>
      <c r="WWZ42" s="119"/>
      <c r="WXA42" s="119"/>
      <c r="WXB42" s="119"/>
      <c r="WXC42" s="119"/>
      <c r="WXD42" s="119"/>
      <c r="WXE42" s="119"/>
      <c r="WXF42" s="119"/>
      <c r="WXG42" s="119"/>
      <c r="WXH42" s="119"/>
      <c r="WXI42" s="119"/>
      <c r="WXJ42" s="119"/>
      <c r="WXK42" s="119"/>
      <c r="WXL42" s="119"/>
      <c r="WXM42" s="119"/>
      <c r="WXN42" s="119"/>
      <c r="WXO42" s="119"/>
      <c r="WXP42" s="119"/>
      <c r="WXQ42" s="119"/>
      <c r="WXR42" s="119"/>
      <c r="WXS42" s="119"/>
      <c r="WXT42" s="119"/>
      <c r="WXU42" s="119"/>
      <c r="WXV42" s="119"/>
      <c r="WXW42" s="119"/>
      <c r="WXX42" s="119"/>
      <c r="WXY42" s="119"/>
      <c r="WXZ42" s="119"/>
      <c r="WYA42" s="119"/>
      <c r="WYB42" s="119"/>
      <c r="WYC42" s="119"/>
      <c r="WYD42" s="119"/>
      <c r="WYE42" s="119"/>
      <c r="WYF42" s="119"/>
      <c r="WYG42" s="119"/>
      <c r="WYH42" s="119"/>
      <c r="WYI42" s="119"/>
      <c r="WYJ42" s="119"/>
      <c r="WYK42" s="119"/>
      <c r="WYL42" s="119"/>
      <c r="WYM42" s="119"/>
      <c r="WYN42" s="119"/>
      <c r="WYO42" s="119"/>
      <c r="WYP42" s="119"/>
      <c r="WYQ42" s="119"/>
      <c r="WYR42" s="119"/>
      <c r="WYS42" s="119"/>
      <c r="WYT42" s="119"/>
      <c r="WYU42" s="119"/>
      <c r="WYV42" s="119"/>
      <c r="WYW42" s="119"/>
      <c r="WYX42" s="119"/>
      <c r="WYY42" s="119"/>
      <c r="WYZ42" s="119"/>
      <c r="WZA42" s="119"/>
      <c r="WZB42" s="119"/>
      <c r="WZC42" s="119"/>
      <c r="WZD42" s="119"/>
      <c r="WZE42" s="119"/>
      <c r="WZF42" s="119"/>
      <c r="WZG42" s="119"/>
      <c r="WZH42" s="119"/>
      <c r="WZI42" s="119"/>
      <c r="WZJ42" s="119"/>
      <c r="WZK42" s="119"/>
      <c r="WZL42" s="119"/>
      <c r="WZM42" s="119"/>
      <c r="WZN42" s="119"/>
      <c r="WZO42" s="119"/>
      <c r="WZP42" s="119"/>
      <c r="WZQ42" s="119"/>
      <c r="WZR42" s="119"/>
      <c r="WZS42" s="119"/>
      <c r="WZT42" s="119"/>
      <c r="WZU42" s="119"/>
      <c r="WZV42" s="119"/>
      <c r="WZW42" s="119"/>
      <c r="WZX42" s="119"/>
      <c r="WZY42" s="119"/>
      <c r="WZZ42" s="119"/>
      <c r="XAA42" s="119"/>
      <c r="XAB42" s="119"/>
      <c r="XAC42" s="119"/>
      <c r="XAD42" s="119"/>
      <c r="XAE42" s="119"/>
      <c r="XAF42" s="119"/>
      <c r="XAG42" s="119"/>
      <c r="XAH42" s="119"/>
      <c r="XAI42" s="119"/>
      <c r="XAJ42" s="119"/>
      <c r="XAK42" s="119"/>
      <c r="XAL42" s="119"/>
      <c r="XAM42" s="119"/>
      <c r="XAN42" s="119"/>
      <c r="XAO42" s="119"/>
      <c r="XAP42" s="119"/>
      <c r="XAQ42" s="119"/>
      <c r="XAR42" s="119"/>
      <c r="XAS42" s="119"/>
      <c r="XAT42" s="119"/>
      <c r="XAU42" s="119"/>
      <c r="XAV42" s="119"/>
      <c r="XAW42" s="119"/>
      <c r="XAX42" s="119"/>
      <c r="XAY42" s="119"/>
      <c r="XAZ42" s="119"/>
      <c r="XBA42" s="119"/>
      <c r="XBB42" s="119"/>
      <c r="XBC42" s="119"/>
      <c r="XBD42" s="119"/>
      <c r="XBE42" s="119"/>
      <c r="XBF42" s="119"/>
      <c r="XBG42" s="119"/>
      <c r="XBH42" s="119"/>
      <c r="XBI42" s="119"/>
      <c r="XBJ42" s="119"/>
      <c r="XBK42" s="119"/>
      <c r="XBL42" s="119"/>
      <c r="XBM42" s="119"/>
      <c r="XBN42" s="119"/>
      <c r="XBO42" s="119"/>
      <c r="XBP42" s="119"/>
      <c r="XBQ42" s="119"/>
      <c r="XBR42" s="119"/>
      <c r="XBS42" s="119"/>
      <c r="XBT42" s="119"/>
      <c r="XBU42" s="119"/>
      <c r="XBV42" s="119"/>
      <c r="XBW42" s="119"/>
      <c r="XBX42" s="119"/>
      <c r="XBY42" s="119"/>
      <c r="XBZ42" s="119"/>
      <c r="XCA42" s="119"/>
      <c r="XCB42" s="119"/>
      <c r="XCC42" s="119"/>
      <c r="XCD42" s="119"/>
      <c r="XCE42" s="119"/>
      <c r="XCF42" s="119"/>
      <c r="XCG42" s="119"/>
      <c r="XCH42" s="119"/>
      <c r="XCI42" s="119"/>
      <c r="XCJ42" s="119"/>
      <c r="XCK42" s="119"/>
      <c r="XCL42" s="119"/>
      <c r="XCM42" s="119"/>
      <c r="XCN42" s="119"/>
      <c r="XCO42" s="119"/>
      <c r="XCP42" s="119"/>
      <c r="XCQ42" s="119"/>
      <c r="XCR42" s="119"/>
      <c r="XCS42" s="119"/>
      <c r="XCT42" s="119"/>
      <c r="XCU42" s="119"/>
      <c r="XCV42" s="119"/>
      <c r="XCW42" s="119"/>
      <c r="XCX42" s="119"/>
      <c r="XCY42" s="119"/>
      <c r="XCZ42" s="119"/>
      <c r="XDA42" s="119"/>
      <c r="XDB42" s="119"/>
      <c r="XDC42" s="119"/>
      <c r="XDD42" s="119"/>
      <c r="XDE42" s="119"/>
      <c r="XDF42" s="119"/>
      <c r="XDG42" s="119"/>
      <c r="XDH42" s="119"/>
      <c r="XDI42" s="119"/>
      <c r="XDJ42" s="119"/>
      <c r="XDK42" s="119"/>
      <c r="XDL42" s="119"/>
      <c r="XDM42" s="119"/>
      <c r="XDN42" s="119"/>
      <c r="XDO42" s="119"/>
      <c r="XDP42" s="119"/>
      <c r="XDQ42" s="119"/>
      <c r="XDR42" s="119"/>
      <c r="XDS42" s="119"/>
      <c r="XDT42" s="119"/>
      <c r="XDU42" s="119"/>
      <c r="XDV42" s="119"/>
      <c r="XDW42" s="119"/>
      <c r="XDX42" s="119"/>
      <c r="XDY42" s="119"/>
      <c r="XDZ42" s="119"/>
      <c r="XEA42" s="119"/>
      <c r="XEB42" s="119"/>
      <c r="XEC42" s="119"/>
      <c r="XED42" s="119"/>
      <c r="XEE42" s="119"/>
      <c r="XEF42" s="119"/>
      <c r="XEG42" s="119"/>
      <c r="XEH42" s="119"/>
      <c r="XEI42" s="119"/>
      <c r="XEJ42" s="119"/>
      <c r="XEK42" s="119"/>
      <c r="XEL42" s="119"/>
      <c r="XEM42" s="119"/>
      <c r="XEN42" s="119"/>
      <c r="XEO42" s="119"/>
      <c r="XEP42" s="119"/>
      <c r="XEQ42" s="119"/>
      <c r="XER42" s="119"/>
      <c r="XES42" s="119"/>
      <c r="XET42" s="119"/>
      <c r="XEU42" s="119"/>
      <c r="XEV42" s="119"/>
      <c r="XEW42" s="119"/>
      <c r="XEX42" s="119"/>
      <c r="XEY42" s="119"/>
    </row>
    <row r="43" spans="1:16379" ht="45">
      <c r="A43" s="119" t="s">
        <v>1147</v>
      </c>
      <c r="B43" s="119" t="s">
        <v>1108</v>
      </c>
      <c r="C43" s="119" t="s">
        <v>1230</v>
      </c>
      <c r="D43" s="119" t="s">
        <v>1231</v>
      </c>
      <c r="E43" s="119" t="s">
        <v>919</v>
      </c>
      <c r="F43" s="119" t="s">
        <v>946</v>
      </c>
      <c r="G43" s="119" t="s">
        <v>1232</v>
      </c>
      <c r="H43" s="119" t="s">
        <v>1232</v>
      </c>
      <c r="I43" s="119" t="s">
        <v>936</v>
      </c>
      <c r="J43" s="119" t="s">
        <v>1108</v>
      </c>
      <c r="K43" s="119"/>
      <c r="L43" s="126">
        <v>50000</v>
      </c>
      <c r="M43" s="126">
        <v>50000</v>
      </c>
      <c r="N43" s="127">
        <v>44118</v>
      </c>
      <c r="O43" s="127">
        <v>44469</v>
      </c>
      <c r="P43" s="213" t="s">
        <v>753</v>
      </c>
      <c r="Q43" s="213" t="s">
        <v>753</v>
      </c>
      <c r="R43" s="119"/>
      <c r="S43" s="119"/>
      <c r="T43" s="119"/>
      <c r="U43" s="119"/>
      <c r="V43" s="119"/>
      <c r="W43" s="184" t="s">
        <v>1119</v>
      </c>
      <c r="X43" s="120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119"/>
      <c r="BF43" s="119"/>
      <c r="BG43" s="119"/>
      <c r="BH43" s="119"/>
      <c r="BI43" s="119"/>
      <c r="BJ43" s="119"/>
      <c r="BK43" s="119"/>
      <c r="BL43" s="119"/>
      <c r="BM43" s="119"/>
      <c r="BN43" s="119"/>
      <c r="BO43" s="119"/>
      <c r="BP43" s="119"/>
      <c r="BQ43" s="119"/>
      <c r="BR43" s="119"/>
      <c r="BS43" s="119"/>
      <c r="BT43" s="119"/>
      <c r="BU43" s="119"/>
      <c r="BV43" s="119"/>
      <c r="BW43" s="119"/>
      <c r="BX43" s="119"/>
      <c r="BY43" s="119"/>
      <c r="BZ43" s="119"/>
      <c r="CA43" s="119"/>
      <c r="CB43" s="119"/>
      <c r="CC43" s="119"/>
      <c r="CD43" s="119"/>
      <c r="CE43" s="119"/>
      <c r="CF43" s="119"/>
      <c r="CG43" s="119"/>
      <c r="CH43" s="119"/>
      <c r="CI43" s="119"/>
      <c r="CJ43" s="119"/>
      <c r="CK43" s="119"/>
      <c r="CL43" s="119"/>
      <c r="CM43" s="119"/>
      <c r="CN43" s="119"/>
      <c r="CO43" s="119"/>
      <c r="CP43" s="119"/>
      <c r="CQ43" s="119"/>
      <c r="CR43" s="119"/>
      <c r="CS43" s="119"/>
      <c r="CT43" s="119"/>
      <c r="CU43" s="119"/>
      <c r="CV43" s="119"/>
      <c r="CW43" s="119"/>
      <c r="CX43" s="119"/>
      <c r="CY43" s="119"/>
      <c r="CZ43" s="119"/>
      <c r="DA43" s="119"/>
      <c r="DB43" s="119"/>
      <c r="DC43" s="119"/>
      <c r="DD43" s="119"/>
      <c r="DE43" s="119"/>
      <c r="DF43" s="119"/>
      <c r="DG43" s="119"/>
      <c r="DH43" s="119"/>
      <c r="DI43" s="119"/>
      <c r="DJ43" s="119"/>
      <c r="DK43" s="119"/>
      <c r="DL43" s="119"/>
      <c r="DM43" s="119"/>
      <c r="DN43" s="119"/>
      <c r="DO43" s="119"/>
      <c r="DP43" s="119"/>
      <c r="DQ43" s="119"/>
      <c r="DR43" s="119"/>
      <c r="DS43" s="119"/>
      <c r="DT43" s="119"/>
      <c r="DU43" s="119"/>
      <c r="DV43" s="119"/>
      <c r="DW43" s="119"/>
      <c r="DX43" s="119"/>
      <c r="DY43" s="119"/>
      <c r="DZ43" s="119"/>
      <c r="EA43" s="119"/>
      <c r="EB43" s="119"/>
      <c r="EC43" s="119"/>
      <c r="ED43" s="119"/>
      <c r="EE43" s="119"/>
      <c r="EF43" s="119"/>
      <c r="EG43" s="119"/>
      <c r="EH43" s="119"/>
      <c r="EI43" s="119"/>
      <c r="EJ43" s="119"/>
      <c r="EK43" s="119"/>
      <c r="EL43" s="119"/>
      <c r="EM43" s="119"/>
      <c r="EN43" s="119"/>
      <c r="EO43" s="119"/>
      <c r="EP43" s="119"/>
      <c r="EQ43" s="119"/>
      <c r="ER43" s="119"/>
      <c r="ES43" s="119"/>
      <c r="ET43" s="119"/>
      <c r="EU43" s="119"/>
      <c r="EV43" s="119"/>
      <c r="EW43" s="119"/>
      <c r="EX43" s="119"/>
      <c r="EY43" s="119"/>
      <c r="EZ43" s="119"/>
      <c r="FA43" s="119"/>
      <c r="FB43" s="119"/>
      <c r="FC43" s="119"/>
      <c r="FD43" s="119"/>
      <c r="FE43" s="119"/>
      <c r="FF43" s="119"/>
      <c r="FG43" s="119"/>
      <c r="FH43" s="119"/>
      <c r="FI43" s="119"/>
      <c r="FJ43" s="119"/>
      <c r="FK43" s="119"/>
      <c r="FL43" s="119"/>
      <c r="FM43" s="119"/>
      <c r="FN43" s="119"/>
      <c r="FO43" s="119"/>
      <c r="FP43" s="119"/>
      <c r="FQ43" s="119"/>
      <c r="FR43" s="119"/>
      <c r="FS43" s="119"/>
      <c r="FT43" s="119"/>
      <c r="FU43" s="119"/>
      <c r="FV43" s="119"/>
      <c r="FW43" s="119"/>
      <c r="FX43" s="119"/>
      <c r="FY43" s="119"/>
      <c r="FZ43" s="119"/>
      <c r="GA43" s="119"/>
      <c r="GB43" s="119"/>
      <c r="GC43" s="119"/>
      <c r="GD43" s="119"/>
      <c r="GE43" s="119"/>
      <c r="GF43" s="119"/>
      <c r="GG43" s="119"/>
      <c r="GH43" s="119"/>
      <c r="GI43" s="119"/>
      <c r="GJ43" s="119"/>
      <c r="GK43" s="119"/>
      <c r="GL43" s="119"/>
      <c r="GM43" s="119"/>
      <c r="GN43" s="119"/>
      <c r="GO43" s="119"/>
      <c r="GP43" s="119"/>
      <c r="GQ43" s="119"/>
      <c r="GR43" s="119"/>
      <c r="GS43" s="119"/>
      <c r="GT43" s="119"/>
      <c r="GU43" s="119"/>
      <c r="GV43" s="119"/>
      <c r="GW43" s="119"/>
      <c r="GX43" s="119"/>
      <c r="GY43" s="119"/>
      <c r="GZ43" s="119"/>
      <c r="HA43" s="119"/>
      <c r="HB43" s="119"/>
      <c r="HC43" s="119"/>
      <c r="HD43" s="119"/>
      <c r="HE43" s="119"/>
      <c r="HF43" s="119"/>
      <c r="HG43" s="119"/>
      <c r="HH43" s="119"/>
      <c r="HI43" s="119"/>
      <c r="HJ43" s="119"/>
      <c r="HK43" s="119"/>
      <c r="HL43" s="119"/>
      <c r="HM43" s="119"/>
      <c r="HN43" s="119"/>
      <c r="HO43" s="119"/>
      <c r="HP43" s="119"/>
      <c r="HQ43" s="119"/>
      <c r="HR43" s="119"/>
      <c r="HS43" s="119"/>
      <c r="HT43" s="119"/>
      <c r="HU43" s="119"/>
      <c r="HV43" s="119"/>
      <c r="HW43" s="119"/>
      <c r="HX43" s="119"/>
      <c r="HY43" s="119"/>
      <c r="HZ43" s="119"/>
      <c r="IA43" s="119"/>
      <c r="IB43" s="119"/>
      <c r="IC43" s="119"/>
      <c r="ID43" s="119"/>
      <c r="IE43" s="119"/>
      <c r="IF43" s="119"/>
      <c r="IG43" s="119"/>
      <c r="IH43" s="119"/>
      <c r="II43" s="119"/>
      <c r="IJ43" s="119"/>
      <c r="IK43" s="119"/>
      <c r="IL43" s="119"/>
      <c r="IM43" s="119"/>
      <c r="IN43" s="119"/>
      <c r="IO43" s="119"/>
      <c r="IP43" s="119"/>
      <c r="IQ43" s="119"/>
      <c r="IR43" s="119"/>
      <c r="IS43" s="119"/>
      <c r="IT43" s="119"/>
      <c r="IU43" s="119"/>
      <c r="IV43" s="119"/>
      <c r="IW43" s="119"/>
      <c r="IX43" s="119"/>
      <c r="IY43" s="119"/>
      <c r="IZ43" s="119"/>
      <c r="JA43" s="119"/>
      <c r="JB43" s="119"/>
      <c r="JC43" s="119"/>
      <c r="JD43" s="119"/>
      <c r="JE43" s="119"/>
      <c r="JF43" s="119"/>
      <c r="JG43" s="119"/>
      <c r="JH43" s="119"/>
      <c r="JI43" s="119"/>
      <c r="JJ43" s="119"/>
      <c r="JK43" s="119"/>
      <c r="JL43" s="119"/>
      <c r="JM43" s="119"/>
      <c r="JN43" s="119"/>
      <c r="JO43" s="119"/>
      <c r="JP43" s="119"/>
      <c r="JQ43" s="119"/>
      <c r="JR43" s="119"/>
      <c r="JS43" s="119"/>
      <c r="JT43" s="119"/>
      <c r="JU43" s="119"/>
      <c r="JV43" s="119"/>
      <c r="JW43" s="119"/>
      <c r="JX43" s="119"/>
      <c r="JY43" s="119"/>
      <c r="JZ43" s="119"/>
      <c r="KA43" s="119"/>
      <c r="KB43" s="119"/>
      <c r="KC43" s="119"/>
      <c r="KD43" s="119"/>
      <c r="KE43" s="119"/>
      <c r="KF43" s="119"/>
      <c r="KG43" s="119"/>
      <c r="KH43" s="119"/>
      <c r="KI43" s="119"/>
      <c r="KJ43" s="119"/>
      <c r="KK43" s="119"/>
      <c r="KL43" s="119"/>
      <c r="KM43" s="119"/>
      <c r="KN43" s="119"/>
      <c r="KO43" s="119"/>
      <c r="KP43" s="119"/>
      <c r="KQ43" s="119"/>
      <c r="KR43" s="119"/>
      <c r="KS43" s="119"/>
      <c r="KT43" s="119"/>
      <c r="KU43" s="119"/>
      <c r="KV43" s="119"/>
      <c r="KW43" s="119"/>
      <c r="KX43" s="119"/>
      <c r="KY43" s="119"/>
      <c r="KZ43" s="119"/>
      <c r="LA43" s="119"/>
      <c r="LB43" s="119"/>
      <c r="LC43" s="119"/>
      <c r="LD43" s="119"/>
      <c r="LE43" s="119"/>
      <c r="LF43" s="119"/>
      <c r="LG43" s="119"/>
      <c r="LH43" s="119"/>
      <c r="LI43" s="119"/>
      <c r="LJ43" s="119"/>
      <c r="LK43" s="119"/>
      <c r="LL43" s="119"/>
      <c r="LM43" s="119"/>
      <c r="LN43" s="119"/>
      <c r="LO43" s="119"/>
      <c r="LP43" s="119"/>
      <c r="LQ43" s="119"/>
      <c r="LR43" s="119"/>
      <c r="LS43" s="119"/>
      <c r="LT43" s="119"/>
      <c r="LU43" s="119"/>
      <c r="LV43" s="119"/>
      <c r="LW43" s="119"/>
      <c r="LX43" s="119"/>
      <c r="LY43" s="119"/>
      <c r="LZ43" s="119"/>
      <c r="MA43" s="119"/>
      <c r="MB43" s="119"/>
      <c r="MC43" s="119"/>
      <c r="MD43" s="119"/>
      <c r="ME43" s="119"/>
      <c r="MF43" s="119"/>
      <c r="MG43" s="119"/>
      <c r="MH43" s="119"/>
      <c r="MI43" s="119"/>
      <c r="MJ43" s="119"/>
      <c r="MK43" s="119"/>
      <c r="ML43" s="119"/>
      <c r="MM43" s="119"/>
      <c r="MN43" s="119"/>
      <c r="MO43" s="119"/>
      <c r="MP43" s="119"/>
      <c r="MQ43" s="119"/>
      <c r="MR43" s="119"/>
      <c r="MS43" s="119"/>
      <c r="MT43" s="119"/>
      <c r="MU43" s="119"/>
      <c r="MV43" s="119"/>
      <c r="MW43" s="119"/>
      <c r="MX43" s="119"/>
      <c r="MY43" s="119"/>
      <c r="MZ43" s="119"/>
      <c r="NA43" s="119"/>
      <c r="NB43" s="119"/>
      <c r="NC43" s="119"/>
      <c r="ND43" s="119"/>
      <c r="NE43" s="119"/>
      <c r="NF43" s="119"/>
      <c r="NG43" s="119"/>
      <c r="NH43" s="119"/>
      <c r="NI43" s="119"/>
      <c r="NJ43" s="119"/>
      <c r="NK43" s="119"/>
      <c r="NL43" s="119"/>
      <c r="NM43" s="119"/>
      <c r="NN43" s="119"/>
      <c r="NO43" s="119"/>
      <c r="NP43" s="119"/>
      <c r="NQ43" s="119"/>
      <c r="NR43" s="119"/>
      <c r="NS43" s="119"/>
      <c r="NT43" s="119"/>
      <c r="NU43" s="119"/>
      <c r="NV43" s="119"/>
      <c r="NW43" s="119"/>
      <c r="NX43" s="119"/>
      <c r="NY43" s="119"/>
      <c r="NZ43" s="119"/>
      <c r="OA43" s="119"/>
      <c r="OB43" s="119"/>
      <c r="OC43" s="119"/>
      <c r="OD43" s="119"/>
      <c r="OE43" s="119"/>
      <c r="OF43" s="119"/>
      <c r="OG43" s="119"/>
      <c r="OH43" s="119"/>
      <c r="OI43" s="119"/>
      <c r="OJ43" s="119"/>
      <c r="OK43" s="119"/>
      <c r="OL43" s="119"/>
      <c r="OM43" s="119"/>
      <c r="ON43" s="119"/>
      <c r="OO43" s="119"/>
      <c r="OP43" s="119"/>
      <c r="OQ43" s="119"/>
      <c r="OR43" s="119"/>
      <c r="OS43" s="119"/>
      <c r="OT43" s="119"/>
      <c r="OU43" s="119"/>
      <c r="OV43" s="119"/>
      <c r="OW43" s="119"/>
      <c r="OX43" s="119"/>
      <c r="OY43" s="119"/>
      <c r="OZ43" s="119"/>
      <c r="PA43" s="119"/>
      <c r="PB43" s="119"/>
      <c r="PC43" s="119"/>
      <c r="PD43" s="119"/>
      <c r="PE43" s="119"/>
      <c r="PF43" s="119"/>
      <c r="PG43" s="119"/>
      <c r="PH43" s="119"/>
      <c r="PI43" s="119"/>
      <c r="PJ43" s="119"/>
      <c r="PK43" s="119"/>
      <c r="PL43" s="119"/>
      <c r="PM43" s="119"/>
      <c r="PN43" s="119"/>
      <c r="PO43" s="119"/>
      <c r="PP43" s="119"/>
      <c r="PQ43" s="119"/>
      <c r="PR43" s="119"/>
      <c r="PS43" s="119"/>
      <c r="PT43" s="119"/>
      <c r="PU43" s="119"/>
      <c r="PV43" s="119"/>
      <c r="PW43" s="119"/>
      <c r="PX43" s="119"/>
      <c r="PY43" s="119"/>
      <c r="PZ43" s="119"/>
      <c r="QA43" s="119"/>
      <c r="QB43" s="119"/>
      <c r="QC43" s="119"/>
      <c r="QD43" s="119"/>
      <c r="QE43" s="119"/>
      <c r="QF43" s="119"/>
      <c r="QG43" s="119"/>
      <c r="QH43" s="119"/>
      <c r="QI43" s="119"/>
      <c r="QJ43" s="119"/>
      <c r="QK43" s="119"/>
      <c r="QL43" s="119"/>
      <c r="QM43" s="119"/>
      <c r="QN43" s="119"/>
      <c r="QO43" s="119"/>
      <c r="QP43" s="119"/>
      <c r="QQ43" s="119"/>
      <c r="QR43" s="119"/>
      <c r="QS43" s="119"/>
      <c r="QT43" s="119"/>
      <c r="QU43" s="119"/>
      <c r="QV43" s="119"/>
      <c r="QW43" s="119"/>
      <c r="QX43" s="119"/>
      <c r="QY43" s="119"/>
      <c r="QZ43" s="119"/>
      <c r="RA43" s="119"/>
      <c r="RB43" s="119"/>
      <c r="RC43" s="119"/>
      <c r="RD43" s="119"/>
      <c r="RE43" s="119"/>
      <c r="RF43" s="119"/>
      <c r="RG43" s="119"/>
      <c r="RH43" s="119"/>
      <c r="RI43" s="119"/>
      <c r="RJ43" s="119"/>
      <c r="RK43" s="119"/>
      <c r="RL43" s="119"/>
      <c r="RM43" s="119"/>
      <c r="RN43" s="119"/>
      <c r="RO43" s="119"/>
      <c r="RP43" s="119"/>
      <c r="RQ43" s="119"/>
      <c r="RR43" s="119"/>
      <c r="RS43" s="119"/>
      <c r="RT43" s="119"/>
      <c r="RU43" s="119"/>
      <c r="RV43" s="119"/>
      <c r="RW43" s="119"/>
      <c r="RX43" s="119"/>
      <c r="RY43" s="119"/>
      <c r="RZ43" s="119"/>
      <c r="SA43" s="119"/>
      <c r="SB43" s="119"/>
      <c r="SC43" s="119"/>
      <c r="SD43" s="119"/>
      <c r="SE43" s="119"/>
      <c r="SF43" s="119"/>
      <c r="SG43" s="119"/>
      <c r="SH43" s="119"/>
      <c r="SI43" s="119"/>
      <c r="SJ43" s="119"/>
      <c r="SK43" s="119"/>
      <c r="SL43" s="119"/>
      <c r="SM43" s="119"/>
      <c r="SN43" s="119"/>
      <c r="SO43" s="119"/>
      <c r="SP43" s="119"/>
      <c r="SQ43" s="119"/>
      <c r="SR43" s="119"/>
      <c r="SS43" s="119"/>
      <c r="ST43" s="119"/>
      <c r="SU43" s="119"/>
      <c r="SV43" s="119"/>
      <c r="SW43" s="119"/>
      <c r="SX43" s="119"/>
      <c r="SY43" s="119"/>
      <c r="SZ43" s="119"/>
      <c r="TA43" s="119"/>
      <c r="TB43" s="119"/>
      <c r="TC43" s="119"/>
      <c r="TD43" s="119"/>
      <c r="TE43" s="119"/>
      <c r="TF43" s="119"/>
      <c r="TG43" s="119"/>
      <c r="TH43" s="119"/>
      <c r="TI43" s="119"/>
      <c r="TJ43" s="119"/>
      <c r="TK43" s="119"/>
      <c r="TL43" s="119"/>
      <c r="TM43" s="119"/>
      <c r="TN43" s="119"/>
      <c r="TO43" s="119"/>
      <c r="TP43" s="119"/>
      <c r="TQ43" s="119"/>
      <c r="TR43" s="119"/>
      <c r="TS43" s="119"/>
      <c r="TT43" s="119"/>
      <c r="TU43" s="119"/>
      <c r="TV43" s="119"/>
      <c r="TW43" s="119"/>
      <c r="TX43" s="119"/>
      <c r="TY43" s="119"/>
      <c r="TZ43" s="119"/>
      <c r="UA43" s="119"/>
      <c r="UB43" s="119"/>
      <c r="UC43" s="119"/>
      <c r="UD43" s="119"/>
      <c r="UE43" s="119"/>
      <c r="UF43" s="119"/>
      <c r="UG43" s="119"/>
      <c r="UH43" s="119"/>
      <c r="UI43" s="119"/>
      <c r="UJ43" s="119"/>
      <c r="UK43" s="119"/>
      <c r="UL43" s="119"/>
      <c r="UM43" s="119"/>
      <c r="UN43" s="119"/>
      <c r="UO43" s="119"/>
      <c r="UP43" s="119"/>
      <c r="UQ43" s="119"/>
      <c r="UR43" s="119"/>
      <c r="US43" s="119"/>
      <c r="UT43" s="119"/>
      <c r="UU43" s="119"/>
      <c r="UV43" s="119"/>
      <c r="UW43" s="119"/>
      <c r="UX43" s="119"/>
      <c r="UY43" s="119"/>
      <c r="UZ43" s="119"/>
      <c r="VA43" s="119"/>
      <c r="VB43" s="119"/>
      <c r="VC43" s="119"/>
      <c r="VD43" s="119"/>
      <c r="VE43" s="119"/>
      <c r="VF43" s="119"/>
      <c r="VG43" s="119"/>
      <c r="VH43" s="119"/>
      <c r="VI43" s="119"/>
      <c r="VJ43" s="119"/>
      <c r="VK43" s="119"/>
      <c r="VL43" s="119"/>
      <c r="VM43" s="119"/>
      <c r="VN43" s="119"/>
      <c r="VO43" s="119"/>
      <c r="VP43" s="119"/>
      <c r="VQ43" s="119"/>
      <c r="VR43" s="119"/>
      <c r="VS43" s="119"/>
      <c r="VT43" s="119"/>
      <c r="VU43" s="119"/>
      <c r="VV43" s="119"/>
      <c r="VW43" s="119"/>
      <c r="VX43" s="119"/>
      <c r="VY43" s="119"/>
      <c r="VZ43" s="119"/>
      <c r="WA43" s="119"/>
      <c r="WB43" s="119"/>
      <c r="WC43" s="119"/>
      <c r="WD43" s="119"/>
      <c r="WE43" s="119"/>
      <c r="WF43" s="119"/>
      <c r="WG43" s="119"/>
      <c r="WH43" s="119"/>
      <c r="WI43" s="119"/>
      <c r="WJ43" s="119"/>
      <c r="WK43" s="119"/>
      <c r="WL43" s="119"/>
      <c r="WM43" s="119"/>
      <c r="WN43" s="119"/>
      <c r="WO43" s="119"/>
      <c r="WP43" s="119"/>
      <c r="WQ43" s="119"/>
      <c r="WR43" s="119"/>
      <c r="WS43" s="119"/>
      <c r="WT43" s="119"/>
      <c r="WU43" s="119"/>
      <c r="WV43" s="119"/>
      <c r="WW43" s="119"/>
      <c r="WX43" s="119"/>
      <c r="WY43" s="119"/>
      <c r="WZ43" s="119"/>
      <c r="XA43" s="119"/>
      <c r="XB43" s="119"/>
      <c r="XC43" s="119"/>
      <c r="XD43" s="119"/>
      <c r="XE43" s="119"/>
      <c r="XF43" s="119"/>
      <c r="XG43" s="119"/>
      <c r="XH43" s="119"/>
      <c r="XI43" s="119"/>
      <c r="XJ43" s="119"/>
      <c r="XK43" s="119"/>
      <c r="XL43" s="119"/>
      <c r="XM43" s="119"/>
      <c r="XN43" s="119"/>
      <c r="XO43" s="119"/>
      <c r="XP43" s="119"/>
      <c r="XQ43" s="119"/>
      <c r="XR43" s="119"/>
      <c r="XS43" s="119"/>
      <c r="XT43" s="119"/>
      <c r="XU43" s="119"/>
      <c r="XV43" s="119"/>
      <c r="XW43" s="119"/>
      <c r="XX43" s="119"/>
      <c r="XY43" s="119"/>
      <c r="XZ43" s="119"/>
      <c r="YA43" s="119"/>
      <c r="YB43" s="119"/>
      <c r="YC43" s="119"/>
      <c r="YD43" s="119"/>
      <c r="YE43" s="119"/>
      <c r="YF43" s="119"/>
      <c r="YG43" s="119"/>
      <c r="YH43" s="119"/>
      <c r="YI43" s="119"/>
      <c r="YJ43" s="119"/>
      <c r="YK43" s="119"/>
      <c r="YL43" s="119"/>
      <c r="YM43" s="119"/>
      <c r="YN43" s="119"/>
      <c r="YO43" s="119"/>
      <c r="YP43" s="119"/>
      <c r="YQ43" s="119"/>
      <c r="YR43" s="119"/>
      <c r="YS43" s="119"/>
      <c r="YT43" s="119"/>
      <c r="YU43" s="119"/>
      <c r="YV43" s="119"/>
      <c r="YW43" s="119"/>
      <c r="YX43" s="119"/>
      <c r="YY43" s="119"/>
      <c r="YZ43" s="119"/>
      <c r="ZA43" s="119"/>
      <c r="ZB43" s="119"/>
      <c r="ZC43" s="119"/>
      <c r="ZD43" s="119"/>
      <c r="ZE43" s="119"/>
      <c r="ZF43" s="119"/>
      <c r="ZG43" s="119"/>
      <c r="ZH43" s="119"/>
      <c r="ZI43" s="119"/>
      <c r="ZJ43" s="119"/>
      <c r="ZK43" s="119"/>
      <c r="ZL43" s="119"/>
      <c r="ZM43" s="119"/>
      <c r="ZN43" s="119"/>
      <c r="ZO43" s="119"/>
      <c r="ZP43" s="119"/>
      <c r="ZQ43" s="119"/>
      <c r="ZR43" s="119"/>
      <c r="ZS43" s="119"/>
      <c r="ZT43" s="119"/>
      <c r="ZU43" s="119"/>
      <c r="ZV43" s="119"/>
      <c r="ZW43" s="119"/>
      <c r="ZX43" s="119"/>
      <c r="ZY43" s="119"/>
      <c r="ZZ43" s="119"/>
      <c r="AAA43" s="119"/>
      <c r="AAB43" s="119"/>
      <c r="AAC43" s="119"/>
      <c r="AAD43" s="119"/>
      <c r="AAE43" s="119"/>
      <c r="AAF43" s="119"/>
      <c r="AAG43" s="119"/>
      <c r="AAH43" s="119"/>
      <c r="AAI43" s="119"/>
      <c r="AAJ43" s="119"/>
      <c r="AAK43" s="119"/>
      <c r="AAL43" s="119"/>
      <c r="AAM43" s="119"/>
      <c r="AAN43" s="119"/>
      <c r="AAO43" s="119"/>
      <c r="AAP43" s="119"/>
      <c r="AAQ43" s="119"/>
      <c r="AAR43" s="119"/>
      <c r="AAS43" s="119"/>
      <c r="AAT43" s="119"/>
      <c r="AAU43" s="119"/>
      <c r="AAV43" s="119"/>
      <c r="AAW43" s="119"/>
      <c r="AAX43" s="119"/>
      <c r="AAY43" s="119"/>
      <c r="AAZ43" s="119"/>
      <c r="ABA43" s="119"/>
      <c r="ABB43" s="119"/>
      <c r="ABC43" s="119"/>
      <c r="ABD43" s="119"/>
      <c r="ABE43" s="119"/>
      <c r="ABF43" s="119"/>
      <c r="ABG43" s="119"/>
      <c r="ABH43" s="119"/>
      <c r="ABI43" s="119"/>
      <c r="ABJ43" s="119"/>
      <c r="ABK43" s="119"/>
      <c r="ABL43" s="119"/>
      <c r="ABM43" s="119"/>
      <c r="ABN43" s="119"/>
      <c r="ABO43" s="119"/>
      <c r="ABP43" s="119"/>
      <c r="ABQ43" s="119"/>
      <c r="ABR43" s="119"/>
      <c r="ABS43" s="119"/>
      <c r="ABT43" s="119"/>
      <c r="ABU43" s="119"/>
      <c r="ABV43" s="119"/>
      <c r="ABW43" s="119"/>
      <c r="ABX43" s="119"/>
      <c r="ABY43" s="119"/>
      <c r="ABZ43" s="119"/>
      <c r="ACA43" s="119"/>
      <c r="ACB43" s="119"/>
      <c r="ACC43" s="119"/>
      <c r="ACD43" s="119"/>
      <c r="ACE43" s="119"/>
      <c r="ACF43" s="119"/>
      <c r="ACG43" s="119"/>
      <c r="ACH43" s="119"/>
      <c r="ACI43" s="119"/>
      <c r="ACJ43" s="119"/>
      <c r="ACK43" s="119"/>
      <c r="ACL43" s="119"/>
      <c r="ACM43" s="119"/>
      <c r="ACN43" s="119"/>
      <c r="ACO43" s="119"/>
      <c r="ACP43" s="119"/>
      <c r="ACQ43" s="119"/>
      <c r="ACR43" s="119"/>
      <c r="ACS43" s="119"/>
      <c r="ACT43" s="119"/>
      <c r="ACU43" s="119"/>
      <c r="ACV43" s="119"/>
      <c r="ACW43" s="119"/>
      <c r="ACX43" s="119"/>
      <c r="ACY43" s="119"/>
      <c r="ACZ43" s="119"/>
      <c r="ADA43" s="119"/>
      <c r="ADB43" s="119"/>
      <c r="ADC43" s="119"/>
      <c r="ADD43" s="119"/>
      <c r="ADE43" s="119"/>
      <c r="ADF43" s="119"/>
      <c r="ADG43" s="119"/>
      <c r="ADH43" s="119"/>
      <c r="ADI43" s="119"/>
      <c r="ADJ43" s="119"/>
      <c r="ADK43" s="119"/>
      <c r="ADL43" s="119"/>
      <c r="ADM43" s="119"/>
      <c r="ADN43" s="119"/>
      <c r="ADO43" s="119"/>
      <c r="ADP43" s="119"/>
      <c r="ADQ43" s="119"/>
      <c r="ADR43" s="119"/>
      <c r="ADS43" s="119"/>
      <c r="ADT43" s="119"/>
      <c r="ADU43" s="119"/>
      <c r="ADV43" s="119"/>
      <c r="ADW43" s="119"/>
      <c r="ADX43" s="119"/>
      <c r="ADY43" s="119"/>
      <c r="ADZ43" s="119"/>
      <c r="AEA43" s="119"/>
      <c r="AEB43" s="119"/>
      <c r="AEC43" s="119"/>
      <c r="AED43" s="119"/>
      <c r="AEE43" s="119"/>
      <c r="AEF43" s="119"/>
      <c r="AEG43" s="119"/>
      <c r="AEH43" s="119"/>
      <c r="AEI43" s="119"/>
      <c r="AEJ43" s="119"/>
      <c r="AEK43" s="119"/>
      <c r="AEL43" s="119"/>
      <c r="AEM43" s="119"/>
      <c r="AEN43" s="119"/>
      <c r="AEO43" s="119"/>
      <c r="AEP43" s="119"/>
      <c r="AEQ43" s="119"/>
      <c r="AER43" s="119"/>
      <c r="AES43" s="119"/>
      <c r="AET43" s="119"/>
      <c r="AEU43" s="119"/>
      <c r="AEV43" s="119"/>
      <c r="AEW43" s="119"/>
      <c r="AEX43" s="119"/>
      <c r="AEY43" s="119"/>
      <c r="AEZ43" s="119"/>
      <c r="AFA43" s="119"/>
      <c r="AFB43" s="119"/>
      <c r="AFC43" s="119"/>
      <c r="AFD43" s="119"/>
      <c r="AFE43" s="119"/>
      <c r="AFF43" s="119"/>
      <c r="AFG43" s="119"/>
      <c r="AFH43" s="119"/>
      <c r="AFI43" s="119"/>
      <c r="AFJ43" s="119"/>
      <c r="AFK43" s="119"/>
      <c r="AFL43" s="119"/>
      <c r="AFM43" s="119"/>
      <c r="AFN43" s="119"/>
      <c r="AFO43" s="119"/>
      <c r="AFP43" s="119"/>
      <c r="AFQ43" s="119"/>
      <c r="AFR43" s="119"/>
      <c r="AFS43" s="119"/>
      <c r="AFT43" s="119"/>
      <c r="AFU43" s="119"/>
      <c r="AFV43" s="119"/>
      <c r="AFW43" s="119"/>
      <c r="AFX43" s="119"/>
      <c r="AFY43" s="119"/>
      <c r="AFZ43" s="119"/>
      <c r="AGA43" s="119"/>
      <c r="AGB43" s="119"/>
      <c r="AGC43" s="119"/>
      <c r="AGD43" s="119"/>
      <c r="AGE43" s="119"/>
      <c r="AGF43" s="119"/>
      <c r="AGG43" s="119"/>
      <c r="AGH43" s="119"/>
      <c r="AGI43" s="119"/>
      <c r="AGJ43" s="119"/>
      <c r="AGK43" s="119"/>
      <c r="AGL43" s="119"/>
      <c r="AGM43" s="119"/>
      <c r="AGN43" s="119"/>
      <c r="AGO43" s="119"/>
      <c r="AGP43" s="119"/>
      <c r="AGQ43" s="119"/>
      <c r="AGR43" s="119"/>
      <c r="AGS43" s="119"/>
      <c r="AGT43" s="119"/>
      <c r="AGU43" s="119"/>
      <c r="AGV43" s="119"/>
      <c r="AGW43" s="119"/>
      <c r="AGX43" s="119"/>
      <c r="AGY43" s="119"/>
      <c r="AGZ43" s="119"/>
      <c r="AHA43" s="119"/>
      <c r="AHB43" s="119"/>
      <c r="AHC43" s="119"/>
      <c r="AHD43" s="119"/>
      <c r="AHE43" s="119"/>
      <c r="AHF43" s="119"/>
      <c r="AHG43" s="119"/>
      <c r="AHH43" s="119"/>
      <c r="AHI43" s="119"/>
      <c r="AHJ43" s="119"/>
      <c r="AHK43" s="119"/>
      <c r="AHL43" s="119"/>
      <c r="AHM43" s="119"/>
      <c r="AHN43" s="119"/>
      <c r="AHO43" s="119"/>
      <c r="AHP43" s="119"/>
      <c r="AHQ43" s="119"/>
      <c r="AHR43" s="119"/>
      <c r="AHS43" s="119"/>
      <c r="AHT43" s="119"/>
      <c r="AHU43" s="119"/>
      <c r="AHV43" s="119"/>
      <c r="AHW43" s="119"/>
      <c r="AHX43" s="119"/>
      <c r="AHY43" s="119"/>
      <c r="AHZ43" s="119"/>
      <c r="AIA43" s="119"/>
      <c r="AIB43" s="119"/>
      <c r="AIC43" s="119"/>
      <c r="AID43" s="119"/>
      <c r="AIE43" s="119"/>
      <c r="AIF43" s="119"/>
      <c r="AIG43" s="119"/>
      <c r="AIH43" s="119"/>
      <c r="AII43" s="119"/>
      <c r="AIJ43" s="119"/>
      <c r="AIK43" s="119"/>
      <c r="AIL43" s="119"/>
      <c r="AIM43" s="119"/>
      <c r="AIN43" s="119"/>
      <c r="AIO43" s="119"/>
      <c r="AIP43" s="119"/>
      <c r="AIQ43" s="119"/>
      <c r="AIR43" s="119"/>
      <c r="AIS43" s="119"/>
      <c r="AIT43" s="119"/>
      <c r="AIU43" s="119"/>
      <c r="AIV43" s="119"/>
      <c r="AIW43" s="119"/>
      <c r="AIX43" s="119"/>
      <c r="AIY43" s="119"/>
      <c r="AIZ43" s="119"/>
      <c r="AJA43" s="119"/>
      <c r="AJB43" s="119"/>
      <c r="AJC43" s="119"/>
      <c r="AJD43" s="119"/>
      <c r="AJE43" s="119"/>
      <c r="AJF43" s="119"/>
      <c r="AJG43" s="119"/>
      <c r="AJH43" s="119"/>
      <c r="AJI43" s="119"/>
      <c r="AJJ43" s="119"/>
      <c r="AJK43" s="119"/>
      <c r="AJL43" s="119"/>
      <c r="AJM43" s="119"/>
      <c r="AJN43" s="119"/>
      <c r="AJO43" s="119"/>
      <c r="AJP43" s="119"/>
      <c r="AJQ43" s="119"/>
      <c r="AJR43" s="119"/>
      <c r="AJS43" s="119"/>
      <c r="AJT43" s="119"/>
      <c r="AJU43" s="119"/>
      <c r="AJV43" s="119"/>
      <c r="AJW43" s="119"/>
      <c r="AJX43" s="119"/>
      <c r="AJY43" s="119"/>
      <c r="AJZ43" s="119"/>
      <c r="AKA43" s="119"/>
      <c r="AKB43" s="119"/>
      <c r="AKC43" s="119"/>
      <c r="AKD43" s="119"/>
      <c r="AKE43" s="119"/>
      <c r="AKF43" s="119"/>
      <c r="AKG43" s="119"/>
      <c r="AKH43" s="119"/>
      <c r="AKI43" s="119"/>
      <c r="AKJ43" s="119"/>
      <c r="AKK43" s="119"/>
      <c r="AKL43" s="119"/>
      <c r="AKM43" s="119"/>
      <c r="AKN43" s="119"/>
      <c r="AKO43" s="119"/>
      <c r="AKP43" s="119"/>
      <c r="AKQ43" s="119"/>
      <c r="AKR43" s="119"/>
      <c r="AKS43" s="119"/>
      <c r="AKT43" s="119"/>
      <c r="AKU43" s="119"/>
      <c r="AKV43" s="119"/>
      <c r="AKW43" s="119"/>
      <c r="AKX43" s="119"/>
      <c r="AKY43" s="119"/>
      <c r="AKZ43" s="119"/>
      <c r="ALA43" s="119"/>
      <c r="ALB43" s="119"/>
      <c r="ALC43" s="119"/>
      <c r="ALD43" s="119"/>
      <c r="ALE43" s="119"/>
      <c r="ALF43" s="119"/>
      <c r="ALG43" s="119"/>
      <c r="ALH43" s="119"/>
      <c r="ALI43" s="119"/>
      <c r="ALJ43" s="119"/>
      <c r="ALK43" s="119"/>
      <c r="ALL43" s="119"/>
      <c r="ALM43" s="119"/>
      <c r="ALN43" s="119"/>
      <c r="ALO43" s="119"/>
      <c r="ALP43" s="119"/>
      <c r="ALQ43" s="119"/>
      <c r="ALR43" s="119"/>
      <c r="ALS43" s="119"/>
      <c r="ALT43" s="119"/>
      <c r="ALU43" s="119"/>
      <c r="ALV43" s="119"/>
      <c r="ALW43" s="119"/>
      <c r="ALX43" s="119"/>
      <c r="ALY43" s="119"/>
      <c r="ALZ43" s="119"/>
      <c r="AMA43" s="119"/>
      <c r="AMB43" s="119"/>
      <c r="AMC43" s="119"/>
      <c r="AMD43" s="119"/>
      <c r="AME43" s="119"/>
      <c r="AMF43" s="119"/>
      <c r="AMG43" s="119"/>
      <c r="AMH43" s="119"/>
      <c r="AMI43" s="119"/>
      <c r="AMJ43" s="119"/>
      <c r="AMK43" s="119"/>
      <c r="AML43" s="119"/>
      <c r="AMM43" s="119"/>
      <c r="AMN43" s="119"/>
      <c r="AMO43" s="119"/>
      <c r="AMP43" s="119"/>
      <c r="AMQ43" s="119"/>
      <c r="AMR43" s="119"/>
      <c r="AMS43" s="119"/>
      <c r="AMT43" s="119"/>
      <c r="AMU43" s="119"/>
      <c r="AMV43" s="119"/>
      <c r="AMW43" s="119"/>
      <c r="AMX43" s="119"/>
      <c r="AMY43" s="119"/>
      <c r="AMZ43" s="119"/>
      <c r="ANA43" s="119"/>
      <c r="ANB43" s="119"/>
      <c r="ANC43" s="119"/>
      <c r="AND43" s="119"/>
      <c r="ANE43" s="119"/>
      <c r="ANF43" s="119"/>
      <c r="ANG43" s="119"/>
      <c r="ANH43" s="119"/>
      <c r="ANI43" s="119"/>
      <c r="ANJ43" s="119"/>
      <c r="ANK43" s="119"/>
      <c r="ANL43" s="119"/>
      <c r="ANM43" s="119"/>
      <c r="ANN43" s="119"/>
      <c r="ANO43" s="119"/>
      <c r="ANP43" s="119"/>
      <c r="ANQ43" s="119"/>
      <c r="ANR43" s="119"/>
      <c r="ANS43" s="119"/>
      <c r="ANT43" s="119"/>
      <c r="ANU43" s="119"/>
      <c r="ANV43" s="119"/>
      <c r="ANW43" s="119"/>
      <c r="ANX43" s="119"/>
      <c r="ANY43" s="119"/>
      <c r="ANZ43" s="119"/>
      <c r="AOA43" s="119"/>
      <c r="AOB43" s="119"/>
      <c r="AOC43" s="119"/>
      <c r="AOD43" s="119"/>
      <c r="AOE43" s="119"/>
      <c r="AOF43" s="119"/>
      <c r="AOG43" s="119"/>
      <c r="AOH43" s="119"/>
      <c r="AOI43" s="119"/>
      <c r="AOJ43" s="119"/>
      <c r="AOK43" s="119"/>
      <c r="AOL43" s="119"/>
      <c r="AOM43" s="119"/>
      <c r="AON43" s="119"/>
      <c r="AOO43" s="119"/>
      <c r="AOP43" s="119"/>
      <c r="AOQ43" s="119"/>
      <c r="AOR43" s="119"/>
      <c r="AOS43" s="119"/>
      <c r="AOT43" s="119"/>
      <c r="AOU43" s="119"/>
      <c r="AOV43" s="119"/>
      <c r="AOW43" s="119"/>
      <c r="AOX43" s="119"/>
      <c r="AOY43" s="119"/>
      <c r="AOZ43" s="119"/>
      <c r="APA43" s="119"/>
      <c r="APB43" s="119"/>
      <c r="APC43" s="119"/>
      <c r="APD43" s="119"/>
      <c r="APE43" s="119"/>
      <c r="APF43" s="119"/>
      <c r="APG43" s="119"/>
      <c r="APH43" s="119"/>
      <c r="API43" s="119"/>
      <c r="APJ43" s="119"/>
      <c r="APK43" s="119"/>
      <c r="APL43" s="119"/>
      <c r="APM43" s="119"/>
      <c r="APN43" s="119"/>
      <c r="APO43" s="119"/>
      <c r="APP43" s="119"/>
      <c r="APQ43" s="119"/>
      <c r="APR43" s="119"/>
      <c r="APS43" s="119"/>
      <c r="APT43" s="119"/>
      <c r="APU43" s="119"/>
      <c r="APV43" s="119"/>
      <c r="APW43" s="119"/>
      <c r="APX43" s="119"/>
      <c r="APY43" s="119"/>
      <c r="APZ43" s="119"/>
      <c r="AQA43" s="119"/>
      <c r="AQB43" s="119"/>
      <c r="AQC43" s="119"/>
      <c r="AQD43" s="119"/>
      <c r="AQE43" s="119"/>
      <c r="AQF43" s="119"/>
      <c r="AQG43" s="119"/>
      <c r="AQH43" s="119"/>
      <c r="AQI43" s="119"/>
      <c r="AQJ43" s="119"/>
      <c r="AQK43" s="119"/>
      <c r="AQL43" s="119"/>
      <c r="AQM43" s="119"/>
      <c r="AQN43" s="119"/>
      <c r="AQO43" s="119"/>
      <c r="AQP43" s="119"/>
      <c r="AQQ43" s="119"/>
      <c r="AQR43" s="119"/>
      <c r="AQS43" s="119"/>
      <c r="AQT43" s="119"/>
      <c r="AQU43" s="119"/>
      <c r="AQV43" s="119"/>
      <c r="AQW43" s="119"/>
      <c r="AQX43" s="119"/>
      <c r="AQY43" s="119"/>
      <c r="AQZ43" s="119"/>
      <c r="ARA43" s="119"/>
      <c r="ARB43" s="119"/>
      <c r="ARC43" s="119"/>
      <c r="ARD43" s="119"/>
      <c r="ARE43" s="119"/>
      <c r="ARF43" s="119"/>
      <c r="ARG43" s="119"/>
      <c r="ARH43" s="119"/>
      <c r="ARI43" s="119"/>
      <c r="ARJ43" s="119"/>
      <c r="ARK43" s="119"/>
      <c r="ARL43" s="119"/>
      <c r="ARM43" s="119"/>
      <c r="ARN43" s="119"/>
      <c r="ARO43" s="119"/>
      <c r="ARP43" s="119"/>
      <c r="ARQ43" s="119"/>
      <c r="ARR43" s="119"/>
      <c r="ARS43" s="119"/>
      <c r="ART43" s="119"/>
      <c r="ARU43" s="119"/>
      <c r="ARV43" s="119"/>
      <c r="ARW43" s="119"/>
      <c r="ARX43" s="119"/>
      <c r="ARY43" s="119"/>
      <c r="ARZ43" s="119"/>
      <c r="ASA43" s="119"/>
      <c r="ASB43" s="119"/>
      <c r="ASC43" s="119"/>
      <c r="ASD43" s="119"/>
      <c r="ASE43" s="119"/>
      <c r="ASF43" s="119"/>
      <c r="ASG43" s="119"/>
      <c r="ASH43" s="119"/>
      <c r="ASI43" s="119"/>
      <c r="ASJ43" s="119"/>
      <c r="ASK43" s="119"/>
      <c r="ASL43" s="119"/>
      <c r="ASM43" s="119"/>
      <c r="ASN43" s="119"/>
      <c r="ASO43" s="119"/>
      <c r="ASP43" s="119"/>
      <c r="ASQ43" s="119"/>
      <c r="ASR43" s="119"/>
      <c r="ASS43" s="119"/>
      <c r="AST43" s="119"/>
      <c r="ASU43" s="119"/>
      <c r="ASV43" s="119"/>
      <c r="ASW43" s="119"/>
      <c r="ASX43" s="119"/>
      <c r="ASY43" s="119"/>
      <c r="ASZ43" s="119"/>
      <c r="ATA43" s="119"/>
      <c r="ATB43" s="119"/>
      <c r="ATC43" s="119"/>
      <c r="ATD43" s="119"/>
      <c r="ATE43" s="119"/>
      <c r="ATF43" s="119"/>
      <c r="ATG43" s="119"/>
      <c r="ATH43" s="119"/>
      <c r="ATI43" s="119"/>
      <c r="ATJ43" s="119"/>
      <c r="ATK43" s="119"/>
      <c r="ATL43" s="119"/>
      <c r="ATM43" s="119"/>
      <c r="ATN43" s="119"/>
      <c r="ATO43" s="119"/>
      <c r="ATP43" s="119"/>
      <c r="ATQ43" s="119"/>
      <c r="ATR43" s="119"/>
      <c r="ATS43" s="119"/>
      <c r="ATT43" s="119"/>
      <c r="ATU43" s="119"/>
      <c r="ATV43" s="119"/>
      <c r="ATW43" s="119"/>
      <c r="ATX43" s="119"/>
      <c r="ATY43" s="119"/>
      <c r="ATZ43" s="119"/>
      <c r="AUA43" s="119"/>
      <c r="AUB43" s="119"/>
      <c r="AUC43" s="119"/>
      <c r="AUD43" s="119"/>
      <c r="AUE43" s="119"/>
      <c r="AUF43" s="119"/>
      <c r="AUG43" s="119"/>
      <c r="AUH43" s="119"/>
      <c r="AUI43" s="119"/>
      <c r="AUJ43" s="119"/>
      <c r="AUK43" s="119"/>
      <c r="AUL43" s="119"/>
      <c r="AUM43" s="119"/>
      <c r="AUN43" s="119"/>
      <c r="AUO43" s="119"/>
      <c r="AUP43" s="119"/>
      <c r="AUQ43" s="119"/>
      <c r="AUR43" s="119"/>
      <c r="AUS43" s="119"/>
      <c r="AUT43" s="119"/>
      <c r="AUU43" s="119"/>
      <c r="AUV43" s="119"/>
      <c r="AUW43" s="119"/>
      <c r="AUX43" s="119"/>
      <c r="AUY43" s="119"/>
      <c r="AUZ43" s="119"/>
      <c r="AVA43" s="119"/>
      <c r="AVB43" s="119"/>
      <c r="AVC43" s="119"/>
      <c r="AVD43" s="119"/>
      <c r="AVE43" s="119"/>
      <c r="AVF43" s="119"/>
      <c r="AVG43" s="119"/>
      <c r="AVH43" s="119"/>
      <c r="AVI43" s="119"/>
      <c r="AVJ43" s="119"/>
      <c r="AVK43" s="119"/>
      <c r="AVL43" s="119"/>
      <c r="AVM43" s="119"/>
      <c r="AVN43" s="119"/>
      <c r="AVO43" s="119"/>
      <c r="AVP43" s="119"/>
      <c r="AVQ43" s="119"/>
      <c r="AVR43" s="119"/>
      <c r="AVS43" s="119"/>
      <c r="AVT43" s="119"/>
      <c r="AVU43" s="119"/>
      <c r="AVV43" s="119"/>
      <c r="AVW43" s="119"/>
      <c r="AVX43" s="119"/>
      <c r="AVY43" s="119"/>
      <c r="AVZ43" s="119"/>
      <c r="AWA43" s="119"/>
      <c r="AWB43" s="119"/>
      <c r="AWC43" s="119"/>
      <c r="AWD43" s="119"/>
      <c r="AWE43" s="119"/>
      <c r="AWF43" s="119"/>
      <c r="AWG43" s="119"/>
      <c r="AWH43" s="119"/>
      <c r="AWI43" s="119"/>
      <c r="AWJ43" s="119"/>
      <c r="AWK43" s="119"/>
      <c r="AWL43" s="119"/>
      <c r="AWM43" s="119"/>
      <c r="AWN43" s="119"/>
      <c r="AWO43" s="119"/>
      <c r="AWP43" s="119"/>
      <c r="AWQ43" s="119"/>
      <c r="AWR43" s="119"/>
      <c r="AWS43" s="119"/>
      <c r="AWT43" s="119"/>
      <c r="AWU43" s="119"/>
      <c r="AWV43" s="119"/>
      <c r="AWW43" s="119"/>
      <c r="AWX43" s="119"/>
      <c r="AWY43" s="119"/>
      <c r="AWZ43" s="119"/>
      <c r="AXA43" s="119"/>
      <c r="AXB43" s="119"/>
      <c r="AXC43" s="119"/>
      <c r="AXD43" s="119"/>
      <c r="AXE43" s="119"/>
      <c r="AXF43" s="119"/>
      <c r="AXG43" s="119"/>
      <c r="AXH43" s="119"/>
      <c r="AXI43" s="119"/>
      <c r="AXJ43" s="119"/>
      <c r="AXK43" s="119"/>
      <c r="AXL43" s="119"/>
      <c r="AXM43" s="119"/>
      <c r="AXN43" s="119"/>
      <c r="AXO43" s="119"/>
      <c r="AXP43" s="119"/>
      <c r="AXQ43" s="119"/>
      <c r="AXR43" s="119"/>
      <c r="AXS43" s="119"/>
      <c r="AXT43" s="119"/>
      <c r="AXU43" s="119"/>
      <c r="AXV43" s="119"/>
      <c r="AXW43" s="119"/>
      <c r="AXX43" s="119"/>
      <c r="AXY43" s="119"/>
      <c r="AXZ43" s="119"/>
      <c r="AYA43" s="119"/>
      <c r="AYB43" s="119"/>
      <c r="AYC43" s="119"/>
      <c r="AYD43" s="119"/>
      <c r="AYE43" s="119"/>
      <c r="AYF43" s="119"/>
      <c r="AYG43" s="119"/>
      <c r="AYH43" s="119"/>
      <c r="AYI43" s="119"/>
      <c r="AYJ43" s="119"/>
      <c r="AYK43" s="119"/>
      <c r="AYL43" s="119"/>
      <c r="AYM43" s="119"/>
      <c r="AYN43" s="119"/>
      <c r="AYO43" s="119"/>
      <c r="AYP43" s="119"/>
      <c r="AYQ43" s="119"/>
      <c r="AYR43" s="119"/>
      <c r="AYS43" s="119"/>
      <c r="AYT43" s="119"/>
      <c r="AYU43" s="119"/>
      <c r="AYV43" s="119"/>
      <c r="AYW43" s="119"/>
      <c r="AYX43" s="119"/>
      <c r="AYY43" s="119"/>
      <c r="AYZ43" s="119"/>
      <c r="AZA43" s="119"/>
      <c r="AZB43" s="119"/>
      <c r="AZC43" s="119"/>
      <c r="AZD43" s="119"/>
      <c r="AZE43" s="119"/>
      <c r="AZF43" s="119"/>
      <c r="AZG43" s="119"/>
      <c r="AZH43" s="119"/>
      <c r="AZI43" s="119"/>
      <c r="AZJ43" s="119"/>
      <c r="AZK43" s="119"/>
      <c r="AZL43" s="119"/>
      <c r="AZM43" s="119"/>
      <c r="AZN43" s="119"/>
      <c r="AZO43" s="119"/>
      <c r="AZP43" s="119"/>
      <c r="AZQ43" s="119"/>
      <c r="AZR43" s="119"/>
      <c r="AZS43" s="119"/>
      <c r="AZT43" s="119"/>
      <c r="AZU43" s="119"/>
      <c r="AZV43" s="119"/>
      <c r="AZW43" s="119"/>
      <c r="AZX43" s="119"/>
      <c r="AZY43" s="119"/>
      <c r="AZZ43" s="119"/>
      <c r="BAA43" s="119"/>
      <c r="BAB43" s="119"/>
      <c r="BAC43" s="119"/>
      <c r="BAD43" s="119"/>
      <c r="BAE43" s="119"/>
      <c r="BAF43" s="119"/>
      <c r="BAG43" s="119"/>
      <c r="BAH43" s="119"/>
      <c r="BAI43" s="119"/>
      <c r="BAJ43" s="119"/>
      <c r="BAK43" s="119"/>
      <c r="BAL43" s="119"/>
      <c r="BAM43" s="119"/>
      <c r="BAN43" s="119"/>
      <c r="BAO43" s="119"/>
      <c r="BAP43" s="119"/>
      <c r="BAQ43" s="119"/>
      <c r="BAR43" s="119"/>
      <c r="BAS43" s="119"/>
      <c r="BAT43" s="119"/>
      <c r="BAU43" s="119"/>
      <c r="BAV43" s="119"/>
      <c r="BAW43" s="119"/>
      <c r="BAX43" s="119"/>
      <c r="BAY43" s="119"/>
      <c r="BAZ43" s="119"/>
      <c r="BBA43" s="119"/>
      <c r="BBB43" s="119"/>
      <c r="BBC43" s="119"/>
      <c r="BBD43" s="119"/>
      <c r="BBE43" s="119"/>
      <c r="BBF43" s="119"/>
      <c r="BBG43" s="119"/>
      <c r="BBH43" s="119"/>
      <c r="BBI43" s="119"/>
      <c r="BBJ43" s="119"/>
      <c r="BBK43" s="119"/>
      <c r="BBL43" s="119"/>
      <c r="BBM43" s="119"/>
      <c r="BBN43" s="119"/>
      <c r="BBO43" s="119"/>
      <c r="BBP43" s="119"/>
      <c r="BBQ43" s="119"/>
      <c r="BBR43" s="119"/>
      <c r="BBS43" s="119"/>
      <c r="BBT43" s="119"/>
      <c r="BBU43" s="119"/>
      <c r="BBV43" s="119"/>
      <c r="BBW43" s="119"/>
      <c r="BBX43" s="119"/>
      <c r="BBY43" s="119"/>
      <c r="BBZ43" s="119"/>
      <c r="BCA43" s="119"/>
      <c r="BCB43" s="119"/>
      <c r="BCC43" s="119"/>
      <c r="BCD43" s="119"/>
      <c r="BCE43" s="119"/>
      <c r="BCF43" s="119"/>
      <c r="BCG43" s="119"/>
      <c r="BCH43" s="119"/>
      <c r="BCI43" s="119"/>
      <c r="BCJ43" s="119"/>
      <c r="BCK43" s="119"/>
      <c r="BCL43" s="119"/>
      <c r="BCM43" s="119"/>
      <c r="BCN43" s="119"/>
      <c r="BCO43" s="119"/>
      <c r="BCP43" s="119"/>
      <c r="BCQ43" s="119"/>
      <c r="BCR43" s="119"/>
      <c r="BCS43" s="119"/>
      <c r="BCT43" s="119"/>
      <c r="BCU43" s="119"/>
      <c r="BCV43" s="119"/>
      <c r="BCW43" s="119"/>
      <c r="BCX43" s="119"/>
      <c r="BCY43" s="119"/>
      <c r="BCZ43" s="119"/>
      <c r="BDA43" s="119"/>
      <c r="BDB43" s="119"/>
      <c r="BDC43" s="119"/>
      <c r="BDD43" s="119"/>
      <c r="BDE43" s="119"/>
      <c r="BDF43" s="119"/>
      <c r="BDG43" s="119"/>
      <c r="BDH43" s="119"/>
      <c r="BDI43" s="119"/>
      <c r="BDJ43" s="119"/>
      <c r="BDK43" s="119"/>
      <c r="BDL43" s="119"/>
      <c r="BDM43" s="119"/>
      <c r="BDN43" s="119"/>
      <c r="BDO43" s="119"/>
      <c r="BDP43" s="119"/>
      <c r="BDQ43" s="119"/>
      <c r="BDR43" s="119"/>
      <c r="BDS43" s="119"/>
      <c r="BDT43" s="119"/>
      <c r="BDU43" s="119"/>
      <c r="BDV43" s="119"/>
      <c r="BDW43" s="119"/>
      <c r="BDX43" s="119"/>
      <c r="BDY43" s="119"/>
      <c r="BDZ43" s="119"/>
      <c r="BEA43" s="119"/>
      <c r="BEB43" s="119"/>
      <c r="BEC43" s="119"/>
      <c r="BED43" s="119"/>
      <c r="BEE43" s="119"/>
      <c r="BEF43" s="119"/>
      <c r="BEG43" s="119"/>
      <c r="BEH43" s="119"/>
      <c r="BEI43" s="119"/>
      <c r="BEJ43" s="119"/>
      <c r="BEK43" s="119"/>
      <c r="BEL43" s="119"/>
      <c r="BEM43" s="119"/>
      <c r="BEN43" s="119"/>
      <c r="BEO43" s="119"/>
      <c r="BEP43" s="119"/>
      <c r="BEQ43" s="119"/>
      <c r="BER43" s="119"/>
      <c r="BES43" s="119"/>
      <c r="BET43" s="119"/>
      <c r="BEU43" s="119"/>
      <c r="BEV43" s="119"/>
      <c r="BEW43" s="119"/>
      <c r="BEX43" s="119"/>
      <c r="BEY43" s="119"/>
      <c r="BEZ43" s="119"/>
      <c r="BFA43" s="119"/>
      <c r="BFB43" s="119"/>
      <c r="BFC43" s="119"/>
      <c r="BFD43" s="119"/>
      <c r="BFE43" s="119"/>
      <c r="BFF43" s="119"/>
      <c r="BFG43" s="119"/>
      <c r="BFH43" s="119"/>
      <c r="BFI43" s="119"/>
      <c r="BFJ43" s="119"/>
      <c r="BFK43" s="119"/>
      <c r="BFL43" s="119"/>
      <c r="BFM43" s="119"/>
      <c r="BFN43" s="119"/>
      <c r="BFO43" s="119"/>
      <c r="BFP43" s="119"/>
      <c r="BFQ43" s="119"/>
      <c r="BFR43" s="119"/>
      <c r="BFS43" s="119"/>
      <c r="BFT43" s="119"/>
      <c r="BFU43" s="119"/>
      <c r="BFV43" s="119"/>
      <c r="BFW43" s="119"/>
      <c r="BFX43" s="119"/>
      <c r="BFY43" s="119"/>
      <c r="BFZ43" s="119"/>
      <c r="BGA43" s="119"/>
      <c r="BGB43" s="119"/>
      <c r="BGC43" s="119"/>
      <c r="BGD43" s="119"/>
      <c r="BGE43" s="119"/>
      <c r="BGF43" s="119"/>
      <c r="BGG43" s="119"/>
      <c r="BGH43" s="119"/>
      <c r="BGI43" s="119"/>
      <c r="BGJ43" s="119"/>
      <c r="BGK43" s="119"/>
      <c r="BGL43" s="119"/>
      <c r="BGM43" s="119"/>
      <c r="BGN43" s="119"/>
      <c r="BGO43" s="119"/>
      <c r="BGP43" s="119"/>
      <c r="BGQ43" s="119"/>
      <c r="BGR43" s="119"/>
      <c r="BGS43" s="119"/>
      <c r="BGT43" s="119"/>
      <c r="BGU43" s="119"/>
      <c r="BGV43" s="119"/>
      <c r="BGW43" s="119"/>
      <c r="BGX43" s="119"/>
      <c r="BGY43" s="119"/>
      <c r="BGZ43" s="119"/>
      <c r="BHA43" s="119"/>
      <c r="BHB43" s="119"/>
      <c r="BHC43" s="119"/>
      <c r="BHD43" s="119"/>
      <c r="BHE43" s="119"/>
      <c r="BHF43" s="119"/>
      <c r="BHG43" s="119"/>
      <c r="BHH43" s="119"/>
      <c r="BHI43" s="119"/>
      <c r="BHJ43" s="119"/>
      <c r="BHK43" s="119"/>
      <c r="BHL43" s="119"/>
      <c r="BHM43" s="119"/>
      <c r="BHN43" s="119"/>
      <c r="BHO43" s="119"/>
      <c r="BHP43" s="119"/>
      <c r="BHQ43" s="119"/>
      <c r="BHR43" s="119"/>
      <c r="BHS43" s="119"/>
      <c r="BHT43" s="119"/>
      <c r="BHU43" s="119"/>
      <c r="BHV43" s="119"/>
      <c r="BHW43" s="119"/>
      <c r="BHX43" s="119"/>
      <c r="BHY43" s="119"/>
      <c r="BHZ43" s="119"/>
      <c r="BIA43" s="119"/>
      <c r="BIB43" s="119"/>
      <c r="BIC43" s="119"/>
      <c r="BID43" s="119"/>
      <c r="BIE43" s="119"/>
      <c r="BIF43" s="119"/>
      <c r="BIG43" s="119"/>
      <c r="BIH43" s="119"/>
      <c r="BII43" s="119"/>
      <c r="BIJ43" s="119"/>
      <c r="BIK43" s="119"/>
      <c r="BIL43" s="119"/>
      <c r="BIM43" s="119"/>
      <c r="BIN43" s="119"/>
      <c r="BIO43" s="119"/>
      <c r="BIP43" s="119"/>
      <c r="BIQ43" s="119"/>
      <c r="BIR43" s="119"/>
      <c r="BIS43" s="119"/>
      <c r="BIT43" s="119"/>
      <c r="BIU43" s="119"/>
      <c r="BIV43" s="119"/>
      <c r="BIW43" s="119"/>
      <c r="BIX43" s="119"/>
      <c r="BIY43" s="119"/>
      <c r="BIZ43" s="119"/>
      <c r="BJA43" s="119"/>
      <c r="BJB43" s="119"/>
      <c r="BJC43" s="119"/>
      <c r="BJD43" s="119"/>
      <c r="BJE43" s="119"/>
      <c r="BJF43" s="119"/>
      <c r="BJG43" s="119"/>
      <c r="BJH43" s="119"/>
      <c r="BJI43" s="119"/>
      <c r="BJJ43" s="119"/>
      <c r="BJK43" s="119"/>
      <c r="BJL43" s="119"/>
      <c r="BJM43" s="119"/>
      <c r="BJN43" s="119"/>
      <c r="BJO43" s="119"/>
      <c r="BJP43" s="119"/>
      <c r="BJQ43" s="119"/>
      <c r="BJR43" s="119"/>
      <c r="BJS43" s="119"/>
      <c r="BJT43" s="119"/>
      <c r="BJU43" s="119"/>
      <c r="BJV43" s="119"/>
      <c r="BJW43" s="119"/>
      <c r="BJX43" s="119"/>
      <c r="BJY43" s="119"/>
      <c r="BJZ43" s="119"/>
      <c r="BKA43" s="119"/>
      <c r="BKB43" s="119"/>
      <c r="BKC43" s="119"/>
      <c r="BKD43" s="119"/>
      <c r="BKE43" s="119"/>
      <c r="BKF43" s="119"/>
      <c r="BKG43" s="119"/>
      <c r="BKH43" s="119"/>
      <c r="BKI43" s="119"/>
      <c r="BKJ43" s="119"/>
      <c r="BKK43" s="119"/>
      <c r="BKL43" s="119"/>
      <c r="BKM43" s="119"/>
      <c r="BKN43" s="119"/>
      <c r="BKO43" s="119"/>
      <c r="BKP43" s="119"/>
      <c r="BKQ43" s="119"/>
      <c r="BKR43" s="119"/>
      <c r="BKS43" s="119"/>
      <c r="BKT43" s="119"/>
      <c r="BKU43" s="119"/>
      <c r="BKV43" s="119"/>
      <c r="BKW43" s="119"/>
      <c r="BKX43" s="119"/>
      <c r="BKY43" s="119"/>
      <c r="BKZ43" s="119"/>
      <c r="BLA43" s="119"/>
      <c r="BLB43" s="119"/>
      <c r="BLC43" s="119"/>
      <c r="BLD43" s="119"/>
      <c r="BLE43" s="119"/>
      <c r="BLF43" s="119"/>
      <c r="BLG43" s="119"/>
      <c r="BLH43" s="119"/>
      <c r="BLI43" s="119"/>
      <c r="BLJ43" s="119"/>
      <c r="BLK43" s="119"/>
      <c r="BLL43" s="119"/>
      <c r="BLM43" s="119"/>
      <c r="BLN43" s="119"/>
      <c r="BLO43" s="119"/>
      <c r="BLP43" s="119"/>
      <c r="BLQ43" s="119"/>
      <c r="BLR43" s="119"/>
      <c r="BLS43" s="119"/>
      <c r="BLT43" s="119"/>
      <c r="BLU43" s="119"/>
      <c r="BLV43" s="119"/>
      <c r="BLW43" s="119"/>
      <c r="BLX43" s="119"/>
      <c r="BLY43" s="119"/>
      <c r="BLZ43" s="119"/>
      <c r="BMA43" s="119"/>
      <c r="BMB43" s="119"/>
      <c r="BMC43" s="119"/>
      <c r="BMD43" s="119"/>
      <c r="BME43" s="119"/>
      <c r="BMF43" s="119"/>
      <c r="BMG43" s="119"/>
      <c r="BMH43" s="119"/>
      <c r="BMI43" s="119"/>
      <c r="BMJ43" s="119"/>
      <c r="BMK43" s="119"/>
      <c r="BML43" s="119"/>
      <c r="BMM43" s="119"/>
      <c r="BMN43" s="119"/>
      <c r="BMO43" s="119"/>
      <c r="BMP43" s="119"/>
      <c r="BMQ43" s="119"/>
      <c r="BMR43" s="119"/>
      <c r="BMS43" s="119"/>
      <c r="BMT43" s="119"/>
      <c r="BMU43" s="119"/>
      <c r="BMV43" s="119"/>
      <c r="BMW43" s="119"/>
      <c r="BMX43" s="119"/>
      <c r="BMY43" s="119"/>
      <c r="BMZ43" s="119"/>
      <c r="BNA43" s="119"/>
      <c r="BNB43" s="119"/>
      <c r="BNC43" s="119"/>
      <c r="BND43" s="119"/>
      <c r="BNE43" s="119"/>
      <c r="BNF43" s="119"/>
      <c r="BNG43" s="119"/>
      <c r="BNH43" s="119"/>
      <c r="BNI43" s="119"/>
      <c r="BNJ43" s="119"/>
      <c r="BNK43" s="119"/>
      <c r="BNL43" s="119"/>
      <c r="BNM43" s="119"/>
      <c r="BNN43" s="119"/>
      <c r="BNO43" s="119"/>
      <c r="BNP43" s="119"/>
      <c r="BNQ43" s="119"/>
      <c r="BNR43" s="119"/>
      <c r="BNS43" s="119"/>
      <c r="BNT43" s="119"/>
      <c r="BNU43" s="119"/>
      <c r="BNV43" s="119"/>
      <c r="BNW43" s="119"/>
      <c r="BNX43" s="119"/>
      <c r="BNY43" s="119"/>
      <c r="BNZ43" s="119"/>
      <c r="BOA43" s="119"/>
      <c r="BOB43" s="119"/>
      <c r="BOC43" s="119"/>
      <c r="BOD43" s="119"/>
      <c r="BOE43" s="119"/>
      <c r="BOF43" s="119"/>
      <c r="BOG43" s="119"/>
      <c r="BOH43" s="119"/>
      <c r="BOI43" s="119"/>
      <c r="BOJ43" s="119"/>
      <c r="BOK43" s="119"/>
      <c r="BOL43" s="119"/>
      <c r="BOM43" s="119"/>
      <c r="BON43" s="119"/>
      <c r="BOO43" s="119"/>
      <c r="BOP43" s="119"/>
      <c r="BOQ43" s="119"/>
      <c r="BOR43" s="119"/>
      <c r="BOS43" s="119"/>
      <c r="BOT43" s="119"/>
      <c r="BOU43" s="119"/>
      <c r="BOV43" s="119"/>
      <c r="BOW43" s="119"/>
      <c r="BOX43" s="119"/>
      <c r="BOY43" s="119"/>
      <c r="BOZ43" s="119"/>
      <c r="BPA43" s="119"/>
      <c r="BPB43" s="119"/>
      <c r="BPC43" s="119"/>
      <c r="BPD43" s="119"/>
      <c r="BPE43" s="119"/>
      <c r="BPF43" s="119"/>
      <c r="BPG43" s="119"/>
      <c r="BPH43" s="119"/>
      <c r="BPI43" s="119"/>
      <c r="BPJ43" s="119"/>
      <c r="BPK43" s="119"/>
      <c r="BPL43" s="119"/>
      <c r="BPM43" s="119"/>
      <c r="BPN43" s="119"/>
      <c r="BPO43" s="119"/>
      <c r="BPP43" s="119"/>
      <c r="BPQ43" s="119"/>
      <c r="BPR43" s="119"/>
      <c r="BPS43" s="119"/>
      <c r="BPT43" s="119"/>
      <c r="BPU43" s="119"/>
      <c r="BPV43" s="119"/>
      <c r="BPW43" s="119"/>
      <c r="BPX43" s="119"/>
      <c r="BPY43" s="119"/>
      <c r="BPZ43" s="119"/>
      <c r="BQA43" s="119"/>
      <c r="BQB43" s="119"/>
      <c r="BQC43" s="119"/>
      <c r="BQD43" s="119"/>
      <c r="BQE43" s="119"/>
      <c r="BQF43" s="119"/>
      <c r="BQG43" s="119"/>
      <c r="BQH43" s="119"/>
      <c r="BQI43" s="119"/>
      <c r="BQJ43" s="119"/>
      <c r="BQK43" s="119"/>
      <c r="BQL43" s="119"/>
      <c r="BQM43" s="119"/>
      <c r="BQN43" s="119"/>
      <c r="BQO43" s="119"/>
      <c r="BQP43" s="119"/>
      <c r="BQQ43" s="119"/>
      <c r="BQR43" s="119"/>
      <c r="BQS43" s="119"/>
      <c r="BQT43" s="119"/>
      <c r="BQU43" s="119"/>
      <c r="BQV43" s="119"/>
      <c r="BQW43" s="119"/>
      <c r="BQX43" s="119"/>
      <c r="BQY43" s="119"/>
      <c r="BQZ43" s="119"/>
      <c r="BRA43" s="119"/>
      <c r="BRB43" s="119"/>
      <c r="BRC43" s="119"/>
      <c r="BRD43" s="119"/>
      <c r="BRE43" s="119"/>
      <c r="BRF43" s="119"/>
      <c r="BRG43" s="119"/>
      <c r="BRH43" s="119"/>
      <c r="BRI43" s="119"/>
      <c r="BRJ43" s="119"/>
      <c r="BRK43" s="119"/>
      <c r="BRL43" s="119"/>
      <c r="BRM43" s="119"/>
      <c r="BRN43" s="119"/>
      <c r="BRO43" s="119"/>
      <c r="BRP43" s="119"/>
      <c r="BRQ43" s="119"/>
      <c r="BRR43" s="119"/>
      <c r="BRS43" s="119"/>
      <c r="BRT43" s="119"/>
      <c r="BRU43" s="119"/>
      <c r="BRV43" s="119"/>
      <c r="BRW43" s="119"/>
      <c r="BRX43" s="119"/>
      <c r="BRY43" s="119"/>
      <c r="BRZ43" s="119"/>
      <c r="BSA43" s="119"/>
      <c r="BSB43" s="119"/>
      <c r="BSC43" s="119"/>
      <c r="BSD43" s="119"/>
      <c r="BSE43" s="119"/>
      <c r="BSF43" s="119"/>
      <c r="BSG43" s="119"/>
      <c r="BSH43" s="119"/>
      <c r="BSI43" s="119"/>
      <c r="BSJ43" s="119"/>
      <c r="BSK43" s="119"/>
      <c r="BSL43" s="119"/>
      <c r="BSM43" s="119"/>
      <c r="BSN43" s="119"/>
      <c r="BSO43" s="119"/>
      <c r="BSP43" s="119"/>
      <c r="BSQ43" s="119"/>
      <c r="BSR43" s="119"/>
      <c r="BSS43" s="119"/>
      <c r="BST43" s="119"/>
      <c r="BSU43" s="119"/>
      <c r="BSV43" s="119"/>
      <c r="BSW43" s="119"/>
      <c r="BSX43" s="119"/>
      <c r="BSY43" s="119"/>
      <c r="BSZ43" s="119"/>
      <c r="BTA43" s="119"/>
      <c r="BTB43" s="119"/>
      <c r="BTC43" s="119"/>
      <c r="BTD43" s="119"/>
      <c r="BTE43" s="119"/>
      <c r="BTF43" s="119"/>
      <c r="BTG43" s="119"/>
      <c r="BTH43" s="119"/>
      <c r="BTI43" s="119"/>
      <c r="BTJ43" s="119"/>
      <c r="BTK43" s="119"/>
      <c r="BTL43" s="119"/>
      <c r="BTM43" s="119"/>
      <c r="BTN43" s="119"/>
      <c r="BTO43" s="119"/>
      <c r="BTP43" s="119"/>
      <c r="BTQ43" s="119"/>
      <c r="BTR43" s="119"/>
      <c r="BTS43" s="119"/>
      <c r="BTT43" s="119"/>
      <c r="BTU43" s="119"/>
      <c r="BTV43" s="119"/>
      <c r="BTW43" s="119"/>
      <c r="BTX43" s="119"/>
      <c r="BTY43" s="119"/>
      <c r="BTZ43" s="119"/>
      <c r="BUA43" s="119"/>
      <c r="BUB43" s="119"/>
      <c r="BUC43" s="119"/>
      <c r="BUD43" s="119"/>
      <c r="BUE43" s="119"/>
      <c r="BUF43" s="119"/>
      <c r="BUG43" s="119"/>
      <c r="BUH43" s="119"/>
      <c r="BUI43" s="119"/>
      <c r="BUJ43" s="119"/>
      <c r="BUK43" s="119"/>
      <c r="BUL43" s="119"/>
      <c r="BUM43" s="119"/>
      <c r="BUN43" s="119"/>
      <c r="BUO43" s="119"/>
      <c r="BUP43" s="119"/>
      <c r="BUQ43" s="119"/>
      <c r="BUR43" s="119"/>
      <c r="BUS43" s="119"/>
      <c r="BUT43" s="119"/>
      <c r="BUU43" s="119"/>
      <c r="BUV43" s="119"/>
      <c r="BUW43" s="119"/>
      <c r="BUX43" s="119"/>
      <c r="BUY43" s="119"/>
      <c r="BUZ43" s="119"/>
      <c r="BVA43" s="119"/>
      <c r="BVB43" s="119"/>
      <c r="BVC43" s="119"/>
      <c r="BVD43" s="119"/>
      <c r="BVE43" s="119"/>
      <c r="BVF43" s="119"/>
      <c r="BVG43" s="119"/>
      <c r="BVH43" s="119"/>
      <c r="BVI43" s="119"/>
      <c r="BVJ43" s="119"/>
      <c r="BVK43" s="119"/>
      <c r="BVL43" s="119"/>
      <c r="BVM43" s="119"/>
      <c r="BVN43" s="119"/>
      <c r="BVO43" s="119"/>
      <c r="BVP43" s="119"/>
      <c r="BVQ43" s="119"/>
      <c r="BVR43" s="119"/>
      <c r="BVS43" s="119"/>
      <c r="BVT43" s="119"/>
      <c r="BVU43" s="119"/>
      <c r="BVV43" s="119"/>
      <c r="BVW43" s="119"/>
      <c r="BVX43" s="119"/>
      <c r="BVY43" s="119"/>
      <c r="BVZ43" s="119"/>
      <c r="BWA43" s="119"/>
      <c r="BWB43" s="119"/>
      <c r="BWC43" s="119"/>
      <c r="BWD43" s="119"/>
      <c r="BWE43" s="119"/>
      <c r="BWF43" s="119"/>
      <c r="BWG43" s="119"/>
      <c r="BWH43" s="119"/>
      <c r="BWI43" s="119"/>
      <c r="BWJ43" s="119"/>
      <c r="BWK43" s="119"/>
      <c r="BWL43" s="119"/>
      <c r="BWM43" s="119"/>
      <c r="BWN43" s="119"/>
      <c r="BWO43" s="119"/>
      <c r="BWP43" s="119"/>
      <c r="BWQ43" s="119"/>
      <c r="BWR43" s="119"/>
      <c r="BWS43" s="119"/>
      <c r="BWT43" s="119"/>
      <c r="BWU43" s="119"/>
      <c r="BWV43" s="119"/>
      <c r="BWW43" s="119"/>
      <c r="BWX43" s="119"/>
      <c r="BWY43" s="119"/>
      <c r="BWZ43" s="119"/>
      <c r="BXA43" s="119"/>
      <c r="BXB43" s="119"/>
      <c r="BXC43" s="119"/>
      <c r="BXD43" s="119"/>
      <c r="BXE43" s="119"/>
      <c r="BXF43" s="119"/>
      <c r="BXG43" s="119"/>
      <c r="BXH43" s="119"/>
      <c r="BXI43" s="119"/>
      <c r="BXJ43" s="119"/>
      <c r="BXK43" s="119"/>
      <c r="BXL43" s="119"/>
      <c r="BXM43" s="119"/>
      <c r="BXN43" s="119"/>
      <c r="BXO43" s="119"/>
      <c r="BXP43" s="119"/>
      <c r="BXQ43" s="119"/>
      <c r="BXR43" s="119"/>
      <c r="BXS43" s="119"/>
      <c r="BXT43" s="119"/>
      <c r="BXU43" s="119"/>
      <c r="BXV43" s="119"/>
      <c r="BXW43" s="119"/>
      <c r="BXX43" s="119"/>
      <c r="BXY43" s="119"/>
      <c r="BXZ43" s="119"/>
      <c r="BYA43" s="119"/>
      <c r="BYB43" s="119"/>
      <c r="BYC43" s="119"/>
      <c r="BYD43" s="119"/>
      <c r="BYE43" s="119"/>
      <c r="BYF43" s="119"/>
      <c r="BYG43" s="119"/>
      <c r="BYH43" s="119"/>
      <c r="BYI43" s="119"/>
      <c r="BYJ43" s="119"/>
      <c r="BYK43" s="119"/>
      <c r="BYL43" s="119"/>
      <c r="BYM43" s="119"/>
      <c r="BYN43" s="119"/>
      <c r="BYO43" s="119"/>
      <c r="BYP43" s="119"/>
      <c r="BYQ43" s="119"/>
      <c r="BYR43" s="119"/>
      <c r="BYS43" s="119"/>
      <c r="BYT43" s="119"/>
      <c r="BYU43" s="119"/>
      <c r="BYV43" s="119"/>
      <c r="BYW43" s="119"/>
      <c r="BYX43" s="119"/>
      <c r="BYY43" s="119"/>
      <c r="BYZ43" s="119"/>
      <c r="BZA43" s="119"/>
      <c r="BZB43" s="119"/>
      <c r="BZC43" s="119"/>
      <c r="BZD43" s="119"/>
      <c r="BZE43" s="119"/>
      <c r="BZF43" s="119"/>
      <c r="BZG43" s="119"/>
      <c r="BZH43" s="119"/>
      <c r="BZI43" s="119"/>
      <c r="BZJ43" s="119"/>
      <c r="BZK43" s="119"/>
      <c r="BZL43" s="119"/>
      <c r="BZM43" s="119"/>
      <c r="BZN43" s="119"/>
      <c r="BZO43" s="119"/>
      <c r="BZP43" s="119"/>
      <c r="BZQ43" s="119"/>
      <c r="BZR43" s="119"/>
      <c r="BZS43" s="119"/>
      <c r="BZT43" s="119"/>
      <c r="BZU43" s="119"/>
      <c r="BZV43" s="119"/>
      <c r="BZW43" s="119"/>
      <c r="BZX43" s="119"/>
      <c r="BZY43" s="119"/>
      <c r="BZZ43" s="119"/>
      <c r="CAA43" s="119"/>
      <c r="CAB43" s="119"/>
      <c r="CAC43" s="119"/>
      <c r="CAD43" s="119"/>
      <c r="CAE43" s="119"/>
      <c r="CAF43" s="119"/>
      <c r="CAG43" s="119"/>
      <c r="CAH43" s="119"/>
      <c r="CAI43" s="119"/>
      <c r="CAJ43" s="119"/>
      <c r="CAK43" s="119"/>
      <c r="CAL43" s="119"/>
      <c r="CAM43" s="119"/>
      <c r="CAN43" s="119"/>
      <c r="CAO43" s="119"/>
      <c r="CAP43" s="119"/>
      <c r="CAQ43" s="119"/>
      <c r="CAR43" s="119"/>
      <c r="CAS43" s="119"/>
      <c r="CAT43" s="119"/>
      <c r="CAU43" s="119"/>
      <c r="CAV43" s="119"/>
      <c r="CAW43" s="119"/>
      <c r="CAX43" s="119"/>
      <c r="CAY43" s="119"/>
      <c r="CAZ43" s="119"/>
      <c r="CBA43" s="119"/>
      <c r="CBB43" s="119"/>
      <c r="CBC43" s="119"/>
      <c r="CBD43" s="119"/>
      <c r="CBE43" s="119"/>
      <c r="CBF43" s="119"/>
      <c r="CBG43" s="119"/>
      <c r="CBH43" s="119"/>
      <c r="CBI43" s="119"/>
      <c r="CBJ43" s="119"/>
      <c r="CBK43" s="119"/>
      <c r="CBL43" s="119"/>
      <c r="CBM43" s="119"/>
      <c r="CBN43" s="119"/>
      <c r="CBO43" s="119"/>
      <c r="CBP43" s="119"/>
      <c r="CBQ43" s="119"/>
      <c r="CBR43" s="119"/>
      <c r="CBS43" s="119"/>
      <c r="CBT43" s="119"/>
      <c r="CBU43" s="119"/>
      <c r="CBV43" s="119"/>
      <c r="CBW43" s="119"/>
      <c r="CBX43" s="119"/>
      <c r="CBY43" s="119"/>
      <c r="CBZ43" s="119"/>
      <c r="CCA43" s="119"/>
      <c r="CCB43" s="119"/>
      <c r="CCC43" s="119"/>
      <c r="CCD43" s="119"/>
      <c r="CCE43" s="119"/>
      <c r="CCF43" s="119"/>
      <c r="CCG43" s="119"/>
      <c r="CCH43" s="119"/>
      <c r="CCI43" s="119"/>
      <c r="CCJ43" s="119"/>
      <c r="CCK43" s="119"/>
      <c r="CCL43" s="119"/>
      <c r="CCM43" s="119"/>
      <c r="CCN43" s="119"/>
      <c r="CCO43" s="119"/>
      <c r="CCP43" s="119"/>
      <c r="CCQ43" s="119"/>
      <c r="CCR43" s="119"/>
      <c r="CCS43" s="119"/>
      <c r="CCT43" s="119"/>
      <c r="CCU43" s="119"/>
      <c r="CCV43" s="119"/>
      <c r="CCW43" s="119"/>
      <c r="CCX43" s="119"/>
      <c r="CCY43" s="119"/>
      <c r="CCZ43" s="119"/>
      <c r="CDA43" s="119"/>
      <c r="CDB43" s="119"/>
      <c r="CDC43" s="119"/>
      <c r="CDD43" s="119"/>
      <c r="CDE43" s="119"/>
      <c r="CDF43" s="119"/>
      <c r="CDG43" s="119"/>
      <c r="CDH43" s="119"/>
      <c r="CDI43" s="119"/>
      <c r="CDJ43" s="119"/>
      <c r="CDK43" s="119"/>
      <c r="CDL43" s="119"/>
      <c r="CDM43" s="119"/>
      <c r="CDN43" s="119"/>
      <c r="CDO43" s="119"/>
      <c r="CDP43" s="119"/>
      <c r="CDQ43" s="119"/>
      <c r="CDR43" s="119"/>
      <c r="CDS43" s="119"/>
      <c r="CDT43" s="119"/>
      <c r="CDU43" s="119"/>
      <c r="CDV43" s="119"/>
      <c r="CDW43" s="119"/>
      <c r="CDX43" s="119"/>
      <c r="CDY43" s="119"/>
      <c r="CDZ43" s="119"/>
      <c r="CEA43" s="119"/>
      <c r="CEB43" s="119"/>
      <c r="CEC43" s="119"/>
      <c r="CED43" s="119"/>
      <c r="CEE43" s="119"/>
      <c r="CEF43" s="119"/>
      <c r="CEG43" s="119"/>
      <c r="CEH43" s="119"/>
      <c r="CEI43" s="119"/>
      <c r="CEJ43" s="119"/>
      <c r="CEK43" s="119"/>
      <c r="CEL43" s="119"/>
      <c r="CEM43" s="119"/>
      <c r="CEN43" s="119"/>
      <c r="CEO43" s="119"/>
      <c r="CEP43" s="119"/>
      <c r="CEQ43" s="119"/>
      <c r="CER43" s="119"/>
      <c r="CES43" s="119"/>
      <c r="CET43" s="119"/>
      <c r="CEU43" s="119"/>
      <c r="CEV43" s="119"/>
      <c r="CEW43" s="119"/>
      <c r="CEX43" s="119"/>
      <c r="CEY43" s="119"/>
      <c r="CEZ43" s="119"/>
      <c r="CFA43" s="119"/>
      <c r="CFB43" s="119"/>
      <c r="CFC43" s="119"/>
      <c r="CFD43" s="119"/>
      <c r="CFE43" s="119"/>
      <c r="CFF43" s="119"/>
      <c r="CFG43" s="119"/>
      <c r="CFH43" s="119"/>
      <c r="CFI43" s="119"/>
      <c r="CFJ43" s="119"/>
      <c r="CFK43" s="119"/>
      <c r="CFL43" s="119"/>
      <c r="CFM43" s="119"/>
      <c r="CFN43" s="119"/>
      <c r="CFO43" s="119"/>
      <c r="CFP43" s="119"/>
      <c r="CFQ43" s="119"/>
      <c r="CFR43" s="119"/>
      <c r="CFS43" s="119"/>
      <c r="CFT43" s="119"/>
      <c r="CFU43" s="119"/>
      <c r="CFV43" s="119"/>
      <c r="CFW43" s="119"/>
      <c r="CFX43" s="119"/>
      <c r="CFY43" s="119"/>
      <c r="CFZ43" s="119"/>
      <c r="CGA43" s="119"/>
      <c r="CGB43" s="119"/>
      <c r="CGC43" s="119"/>
      <c r="CGD43" s="119"/>
      <c r="CGE43" s="119"/>
      <c r="CGF43" s="119"/>
      <c r="CGG43" s="119"/>
      <c r="CGH43" s="119"/>
      <c r="CGI43" s="119"/>
      <c r="CGJ43" s="119"/>
      <c r="CGK43" s="119"/>
      <c r="CGL43" s="119"/>
      <c r="CGM43" s="119"/>
      <c r="CGN43" s="119"/>
      <c r="CGO43" s="119"/>
      <c r="CGP43" s="119"/>
      <c r="CGQ43" s="119"/>
      <c r="CGR43" s="119"/>
      <c r="CGS43" s="119"/>
      <c r="CGT43" s="119"/>
      <c r="CGU43" s="119"/>
      <c r="CGV43" s="119"/>
      <c r="CGW43" s="119"/>
      <c r="CGX43" s="119"/>
      <c r="CGY43" s="119"/>
      <c r="CGZ43" s="119"/>
      <c r="CHA43" s="119"/>
      <c r="CHB43" s="119"/>
      <c r="CHC43" s="119"/>
      <c r="CHD43" s="119"/>
      <c r="CHE43" s="119"/>
      <c r="CHF43" s="119"/>
      <c r="CHG43" s="119"/>
      <c r="CHH43" s="119"/>
      <c r="CHI43" s="119"/>
      <c r="CHJ43" s="119"/>
      <c r="CHK43" s="119"/>
      <c r="CHL43" s="119"/>
      <c r="CHM43" s="119"/>
      <c r="CHN43" s="119"/>
      <c r="CHO43" s="119"/>
      <c r="CHP43" s="119"/>
      <c r="CHQ43" s="119"/>
      <c r="CHR43" s="119"/>
      <c r="CHS43" s="119"/>
      <c r="CHT43" s="119"/>
      <c r="CHU43" s="119"/>
      <c r="CHV43" s="119"/>
      <c r="CHW43" s="119"/>
      <c r="CHX43" s="119"/>
      <c r="CHY43" s="119"/>
      <c r="CHZ43" s="119"/>
      <c r="CIA43" s="119"/>
      <c r="CIB43" s="119"/>
      <c r="CIC43" s="119"/>
      <c r="CID43" s="119"/>
      <c r="CIE43" s="119"/>
      <c r="CIF43" s="119"/>
      <c r="CIG43" s="119"/>
      <c r="CIH43" s="119"/>
      <c r="CII43" s="119"/>
      <c r="CIJ43" s="119"/>
      <c r="CIK43" s="119"/>
      <c r="CIL43" s="119"/>
      <c r="CIM43" s="119"/>
      <c r="CIN43" s="119"/>
      <c r="CIO43" s="119"/>
      <c r="CIP43" s="119"/>
      <c r="CIQ43" s="119"/>
      <c r="CIR43" s="119"/>
      <c r="CIS43" s="119"/>
      <c r="CIT43" s="119"/>
      <c r="CIU43" s="119"/>
      <c r="CIV43" s="119"/>
      <c r="CIW43" s="119"/>
      <c r="CIX43" s="119"/>
      <c r="CIY43" s="119"/>
      <c r="CIZ43" s="119"/>
      <c r="CJA43" s="119"/>
      <c r="CJB43" s="119"/>
      <c r="CJC43" s="119"/>
      <c r="CJD43" s="119"/>
      <c r="CJE43" s="119"/>
      <c r="CJF43" s="119"/>
      <c r="CJG43" s="119"/>
      <c r="CJH43" s="119"/>
      <c r="CJI43" s="119"/>
      <c r="CJJ43" s="119"/>
      <c r="CJK43" s="119"/>
      <c r="CJL43" s="119"/>
      <c r="CJM43" s="119"/>
      <c r="CJN43" s="119"/>
      <c r="CJO43" s="119"/>
      <c r="CJP43" s="119"/>
      <c r="CJQ43" s="119"/>
      <c r="CJR43" s="119"/>
      <c r="CJS43" s="119"/>
      <c r="CJT43" s="119"/>
      <c r="CJU43" s="119"/>
      <c r="CJV43" s="119"/>
      <c r="CJW43" s="119"/>
      <c r="CJX43" s="119"/>
      <c r="CJY43" s="119"/>
      <c r="CJZ43" s="119"/>
      <c r="CKA43" s="119"/>
      <c r="CKB43" s="119"/>
      <c r="CKC43" s="119"/>
      <c r="CKD43" s="119"/>
      <c r="CKE43" s="119"/>
      <c r="CKF43" s="119"/>
      <c r="CKG43" s="119"/>
      <c r="CKH43" s="119"/>
      <c r="CKI43" s="119"/>
      <c r="CKJ43" s="119"/>
      <c r="CKK43" s="119"/>
      <c r="CKL43" s="119"/>
      <c r="CKM43" s="119"/>
      <c r="CKN43" s="119"/>
      <c r="CKO43" s="119"/>
      <c r="CKP43" s="119"/>
      <c r="CKQ43" s="119"/>
      <c r="CKR43" s="119"/>
      <c r="CKS43" s="119"/>
      <c r="CKT43" s="119"/>
      <c r="CKU43" s="119"/>
      <c r="CKV43" s="119"/>
      <c r="CKW43" s="119"/>
      <c r="CKX43" s="119"/>
      <c r="CKY43" s="119"/>
      <c r="CKZ43" s="119"/>
      <c r="CLA43" s="119"/>
      <c r="CLB43" s="119"/>
      <c r="CLC43" s="119"/>
      <c r="CLD43" s="119"/>
      <c r="CLE43" s="119"/>
      <c r="CLF43" s="119"/>
      <c r="CLG43" s="119"/>
      <c r="CLH43" s="119"/>
      <c r="CLI43" s="119"/>
      <c r="CLJ43" s="119"/>
      <c r="CLK43" s="119"/>
      <c r="CLL43" s="119"/>
      <c r="CLM43" s="119"/>
      <c r="CLN43" s="119"/>
      <c r="CLO43" s="119"/>
      <c r="CLP43" s="119"/>
      <c r="CLQ43" s="119"/>
      <c r="CLR43" s="119"/>
      <c r="CLS43" s="119"/>
      <c r="CLT43" s="119"/>
      <c r="CLU43" s="119"/>
      <c r="CLV43" s="119"/>
      <c r="CLW43" s="119"/>
      <c r="CLX43" s="119"/>
      <c r="CLY43" s="119"/>
      <c r="CLZ43" s="119"/>
      <c r="CMA43" s="119"/>
      <c r="CMB43" s="119"/>
      <c r="CMC43" s="119"/>
      <c r="CMD43" s="119"/>
      <c r="CME43" s="119"/>
      <c r="CMF43" s="119"/>
      <c r="CMG43" s="119"/>
      <c r="CMH43" s="119"/>
      <c r="CMI43" s="119"/>
      <c r="CMJ43" s="119"/>
      <c r="CMK43" s="119"/>
      <c r="CML43" s="119"/>
      <c r="CMM43" s="119"/>
      <c r="CMN43" s="119"/>
      <c r="CMO43" s="119"/>
      <c r="CMP43" s="119"/>
      <c r="CMQ43" s="119"/>
      <c r="CMR43" s="119"/>
      <c r="CMS43" s="119"/>
      <c r="CMT43" s="119"/>
      <c r="CMU43" s="119"/>
      <c r="CMV43" s="119"/>
      <c r="CMW43" s="119"/>
      <c r="CMX43" s="119"/>
      <c r="CMY43" s="119"/>
      <c r="CMZ43" s="119"/>
      <c r="CNA43" s="119"/>
      <c r="CNB43" s="119"/>
      <c r="CNC43" s="119"/>
      <c r="CND43" s="119"/>
      <c r="CNE43" s="119"/>
      <c r="CNF43" s="119"/>
      <c r="CNG43" s="119"/>
      <c r="CNH43" s="119"/>
      <c r="CNI43" s="119"/>
      <c r="CNJ43" s="119"/>
      <c r="CNK43" s="119"/>
      <c r="CNL43" s="119"/>
      <c r="CNM43" s="119"/>
      <c r="CNN43" s="119"/>
      <c r="CNO43" s="119"/>
      <c r="CNP43" s="119"/>
      <c r="CNQ43" s="119"/>
      <c r="CNR43" s="119"/>
      <c r="CNS43" s="119"/>
      <c r="CNT43" s="119"/>
      <c r="CNU43" s="119"/>
      <c r="CNV43" s="119"/>
      <c r="CNW43" s="119"/>
      <c r="CNX43" s="119"/>
      <c r="CNY43" s="119"/>
      <c r="CNZ43" s="119"/>
      <c r="COA43" s="119"/>
      <c r="COB43" s="119"/>
      <c r="COC43" s="119"/>
      <c r="COD43" s="119"/>
      <c r="COE43" s="119"/>
      <c r="COF43" s="119"/>
      <c r="COG43" s="119"/>
      <c r="COH43" s="119"/>
      <c r="COI43" s="119"/>
      <c r="COJ43" s="119"/>
      <c r="COK43" s="119"/>
      <c r="COL43" s="119"/>
      <c r="COM43" s="119"/>
      <c r="CON43" s="119"/>
      <c r="COO43" s="119"/>
      <c r="COP43" s="119"/>
      <c r="COQ43" s="119"/>
      <c r="COR43" s="119"/>
      <c r="COS43" s="119"/>
      <c r="COT43" s="119"/>
      <c r="COU43" s="119"/>
      <c r="COV43" s="119"/>
      <c r="COW43" s="119"/>
      <c r="COX43" s="119"/>
      <c r="COY43" s="119"/>
      <c r="COZ43" s="119"/>
      <c r="CPA43" s="119"/>
      <c r="CPB43" s="119"/>
      <c r="CPC43" s="119"/>
      <c r="CPD43" s="119"/>
      <c r="CPE43" s="119"/>
      <c r="CPF43" s="119"/>
      <c r="CPG43" s="119"/>
      <c r="CPH43" s="119"/>
      <c r="CPI43" s="119"/>
      <c r="CPJ43" s="119"/>
      <c r="CPK43" s="119"/>
      <c r="CPL43" s="119"/>
      <c r="CPM43" s="119"/>
      <c r="CPN43" s="119"/>
      <c r="CPO43" s="119"/>
      <c r="CPP43" s="119"/>
      <c r="CPQ43" s="119"/>
      <c r="CPR43" s="119"/>
      <c r="CPS43" s="119"/>
      <c r="CPT43" s="119"/>
      <c r="CPU43" s="119"/>
      <c r="CPV43" s="119"/>
      <c r="CPW43" s="119"/>
      <c r="CPX43" s="119"/>
      <c r="CPY43" s="119"/>
      <c r="CPZ43" s="119"/>
      <c r="CQA43" s="119"/>
      <c r="CQB43" s="119"/>
      <c r="CQC43" s="119"/>
      <c r="CQD43" s="119"/>
      <c r="CQE43" s="119"/>
      <c r="CQF43" s="119"/>
      <c r="CQG43" s="119"/>
      <c r="CQH43" s="119"/>
      <c r="CQI43" s="119"/>
      <c r="CQJ43" s="119"/>
      <c r="CQK43" s="119"/>
      <c r="CQL43" s="119"/>
      <c r="CQM43" s="119"/>
      <c r="CQN43" s="119"/>
      <c r="CQO43" s="119"/>
      <c r="CQP43" s="119"/>
      <c r="CQQ43" s="119"/>
      <c r="CQR43" s="119"/>
      <c r="CQS43" s="119"/>
      <c r="CQT43" s="119"/>
      <c r="CQU43" s="119"/>
      <c r="CQV43" s="119"/>
      <c r="CQW43" s="119"/>
      <c r="CQX43" s="119"/>
      <c r="CQY43" s="119"/>
      <c r="CQZ43" s="119"/>
      <c r="CRA43" s="119"/>
      <c r="CRB43" s="119"/>
      <c r="CRC43" s="119"/>
      <c r="CRD43" s="119"/>
      <c r="CRE43" s="119"/>
      <c r="CRF43" s="119"/>
      <c r="CRG43" s="119"/>
      <c r="CRH43" s="119"/>
      <c r="CRI43" s="119"/>
      <c r="CRJ43" s="119"/>
      <c r="CRK43" s="119"/>
      <c r="CRL43" s="119"/>
      <c r="CRM43" s="119"/>
      <c r="CRN43" s="119"/>
      <c r="CRO43" s="119"/>
      <c r="CRP43" s="119"/>
      <c r="CRQ43" s="119"/>
      <c r="CRR43" s="119"/>
      <c r="CRS43" s="119"/>
      <c r="CRT43" s="119"/>
      <c r="CRU43" s="119"/>
      <c r="CRV43" s="119"/>
      <c r="CRW43" s="119"/>
      <c r="CRX43" s="119"/>
      <c r="CRY43" s="119"/>
      <c r="CRZ43" s="119"/>
      <c r="CSA43" s="119"/>
      <c r="CSB43" s="119"/>
      <c r="CSC43" s="119"/>
      <c r="CSD43" s="119"/>
      <c r="CSE43" s="119"/>
      <c r="CSF43" s="119"/>
      <c r="CSG43" s="119"/>
      <c r="CSH43" s="119"/>
      <c r="CSI43" s="119"/>
      <c r="CSJ43" s="119"/>
      <c r="CSK43" s="119"/>
      <c r="CSL43" s="119"/>
      <c r="CSM43" s="119"/>
      <c r="CSN43" s="119"/>
      <c r="CSO43" s="119"/>
      <c r="CSP43" s="119"/>
      <c r="CSQ43" s="119"/>
      <c r="CSR43" s="119"/>
      <c r="CSS43" s="119"/>
      <c r="CST43" s="119"/>
      <c r="CSU43" s="119"/>
      <c r="CSV43" s="119"/>
      <c r="CSW43" s="119"/>
      <c r="CSX43" s="119"/>
      <c r="CSY43" s="119"/>
      <c r="CSZ43" s="119"/>
      <c r="CTA43" s="119"/>
      <c r="CTB43" s="119"/>
      <c r="CTC43" s="119"/>
      <c r="CTD43" s="119"/>
      <c r="CTE43" s="119"/>
      <c r="CTF43" s="119"/>
      <c r="CTG43" s="119"/>
      <c r="CTH43" s="119"/>
      <c r="CTI43" s="119"/>
      <c r="CTJ43" s="119"/>
      <c r="CTK43" s="119"/>
      <c r="CTL43" s="119"/>
      <c r="CTM43" s="119"/>
      <c r="CTN43" s="119"/>
      <c r="CTO43" s="119"/>
      <c r="CTP43" s="119"/>
      <c r="CTQ43" s="119"/>
      <c r="CTR43" s="119"/>
      <c r="CTS43" s="119"/>
      <c r="CTT43" s="119"/>
      <c r="CTU43" s="119"/>
      <c r="CTV43" s="119"/>
      <c r="CTW43" s="119"/>
      <c r="CTX43" s="119"/>
      <c r="CTY43" s="119"/>
      <c r="CTZ43" s="119"/>
      <c r="CUA43" s="119"/>
      <c r="CUB43" s="119"/>
      <c r="CUC43" s="119"/>
      <c r="CUD43" s="119"/>
      <c r="CUE43" s="119"/>
      <c r="CUF43" s="119"/>
      <c r="CUG43" s="119"/>
      <c r="CUH43" s="119"/>
      <c r="CUI43" s="119"/>
      <c r="CUJ43" s="119"/>
      <c r="CUK43" s="119"/>
      <c r="CUL43" s="119"/>
      <c r="CUM43" s="119"/>
      <c r="CUN43" s="119"/>
      <c r="CUO43" s="119"/>
      <c r="CUP43" s="119"/>
      <c r="CUQ43" s="119"/>
      <c r="CUR43" s="119"/>
      <c r="CUS43" s="119"/>
      <c r="CUT43" s="119"/>
      <c r="CUU43" s="119"/>
      <c r="CUV43" s="119"/>
      <c r="CUW43" s="119"/>
      <c r="CUX43" s="119"/>
      <c r="CUY43" s="119"/>
      <c r="CUZ43" s="119"/>
      <c r="CVA43" s="119"/>
      <c r="CVB43" s="119"/>
      <c r="CVC43" s="119"/>
      <c r="CVD43" s="119"/>
      <c r="CVE43" s="119"/>
      <c r="CVF43" s="119"/>
      <c r="CVG43" s="119"/>
      <c r="CVH43" s="119"/>
      <c r="CVI43" s="119"/>
      <c r="CVJ43" s="119"/>
      <c r="CVK43" s="119"/>
      <c r="CVL43" s="119"/>
      <c r="CVM43" s="119"/>
      <c r="CVN43" s="119"/>
      <c r="CVO43" s="119"/>
      <c r="CVP43" s="119"/>
      <c r="CVQ43" s="119"/>
      <c r="CVR43" s="119"/>
      <c r="CVS43" s="119"/>
      <c r="CVT43" s="119"/>
      <c r="CVU43" s="119"/>
      <c r="CVV43" s="119"/>
      <c r="CVW43" s="119"/>
      <c r="CVX43" s="119"/>
      <c r="CVY43" s="119"/>
      <c r="CVZ43" s="119"/>
      <c r="CWA43" s="119"/>
      <c r="CWB43" s="119"/>
      <c r="CWC43" s="119"/>
      <c r="CWD43" s="119"/>
      <c r="CWE43" s="119"/>
      <c r="CWF43" s="119"/>
      <c r="CWG43" s="119"/>
      <c r="CWH43" s="119"/>
      <c r="CWI43" s="119"/>
      <c r="CWJ43" s="119"/>
      <c r="CWK43" s="119"/>
      <c r="CWL43" s="119"/>
      <c r="CWM43" s="119"/>
      <c r="CWN43" s="119"/>
      <c r="CWO43" s="119"/>
      <c r="CWP43" s="119"/>
      <c r="CWQ43" s="119"/>
      <c r="CWR43" s="119"/>
      <c r="CWS43" s="119"/>
      <c r="CWT43" s="119"/>
      <c r="CWU43" s="119"/>
      <c r="CWV43" s="119"/>
      <c r="CWW43" s="119"/>
      <c r="CWX43" s="119"/>
      <c r="CWY43" s="119"/>
      <c r="CWZ43" s="119"/>
      <c r="CXA43" s="119"/>
      <c r="CXB43" s="119"/>
      <c r="CXC43" s="119"/>
      <c r="CXD43" s="119"/>
      <c r="CXE43" s="119"/>
      <c r="CXF43" s="119"/>
      <c r="CXG43" s="119"/>
      <c r="CXH43" s="119"/>
      <c r="CXI43" s="119"/>
      <c r="CXJ43" s="119"/>
      <c r="CXK43" s="119"/>
      <c r="CXL43" s="119"/>
      <c r="CXM43" s="119"/>
      <c r="CXN43" s="119"/>
      <c r="CXO43" s="119"/>
      <c r="CXP43" s="119"/>
      <c r="CXQ43" s="119"/>
      <c r="CXR43" s="119"/>
      <c r="CXS43" s="119"/>
      <c r="CXT43" s="119"/>
      <c r="CXU43" s="119"/>
      <c r="CXV43" s="119"/>
      <c r="CXW43" s="119"/>
      <c r="CXX43" s="119"/>
      <c r="CXY43" s="119"/>
      <c r="CXZ43" s="119"/>
      <c r="CYA43" s="119"/>
      <c r="CYB43" s="119"/>
      <c r="CYC43" s="119"/>
      <c r="CYD43" s="119"/>
      <c r="CYE43" s="119"/>
      <c r="CYF43" s="119"/>
      <c r="CYG43" s="119"/>
      <c r="CYH43" s="119"/>
      <c r="CYI43" s="119"/>
      <c r="CYJ43" s="119"/>
      <c r="CYK43" s="119"/>
      <c r="CYL43" s="119"/>
      <c r="CYM43" s="119"/>
      <c r="CYN43" s="119"/>
      <c r="CYO43" s="119"/>
      <c r="CYP43" s="119"/>
      <c r="CYQ43" s="119"/>
      <c r="CYR43" s="119"/>
      <c r="CYS43" s="119"/>
      <c r="CYT43" s="119"/>
      <c r="CYU43" s="119"/>
      <c r="CYV43" s="119"/>
      <c r="CYW43" s="119"/>
      <c r="CYX43" s="119"/>
      <c r="CYY43" s="119"/>
      <c r="CYZ43" s="119"/>
      <c r="CZA43" s="119"/>
      <c r="CZB43" s="119"/>
      <c r="CZC43" s="119"/>
      <c r="CZD43" s="119"/>
      <c r="CZE43" s="119"/>
      <c r="CZF43" s="119"/>
      <c r="CZG43" s="119"/>
      <c r="CZH43" s="119"/>
      <c r="CZI43" s="119"/>
      <c r="CZJ43" s="119"/>
      <c r="CZK43" s="119"/>
      <c r="CZL43" s="119"/>
      <c r="CZM43" s="119"/>
      <c r="CZN43" s="119"/>
      <c r="CZO43" s="119"/>
      <c r="CZP43" s="119"/>
      <c r="CZQ43" s="119"/>
      <c r="CZR43" s="119"/>
      <c r="CZS43" s="119"/>
      <c r="CZT43" s="119"/>
      <c r="CZU43" s="119"/>
      <c r="CZV43" s="119"/>
      <c r="CZW43" s="119"/>
      <c r="CZX43" s="119"/>
      <c r="CZY43" s="119"/>
      <c r="CZZ43" s="119"/>
      <c r="DAA43" s="119"/>
      <c r="DAB43" s="119"/>
      <c r="DAC43" s="119"/>
      <c r="DAD43" s="119"/>
      <c r="DAE43" s="119"/>
      <c r="DAF43" s="119"/>
      <c r="DAG43" s="119"/>
      <c r="DAH43" s="119"/>
      <c r="DAI43" s="119"/>
      <c r="DAJ43" s="119"/>
      <c r="DAK43" s="119"/>
      <c r="DAL43" s="119"/>
      <c r="DAM43" s="119"/>
      <c r="DAN43" s="119"/>
      <c r="DAO43" s="119"/>
      <c r="DAP43" s="119"/>
      <c r="DAQ43" s="119"/>
      <c r="DAR43" s="119"/>
      <c r="DAS43" s="119"/>
      <c r="DAT43" s="119"/>
      <c r="DAU43" s="119"/>
      <c r="DAV43" s="119"/>
      <c r="DAW43" s="119"/>
      <c r="DAX43" s="119"/>
      <c r="DAY43" s="119"/>
      <c r="DAZ43" s="119"/>
      <c r="DBA43" s="119"/>
      <c r="DBB43" s="119"/>
      <c r="DBC43" s="119"/>
      <c r="DBD43" s="119"/>
      <c r="DBE43" s="119"/>
      <c r="DBF43" s="119"/>
      <c r="DBG43" s="119"/>
      <c r="DBH43" s="119"/>
      <c r="DBI43" s="119"/>
      <c r="DBJ43" s="119"/>
      <c r="DBK43" s="119"/>
      <c r="DBL43" s="119"/>
      <c r="DBM43" s="119"/>
      <c r="DBN43" s="119"/>
      <c r="DBO43" s="119"/>
      <c r="DBP43" s="119"/>
      <c r="DBQ43" s="119"/>
      <c r="DBR43" s="119"/>
      <c r="DBS43" s="119"/>
      <c r="DBT43" s="119"/>
      <c r="DBU43" s="119"/>
      <c r="DBV43" s="119"/>
      <c r="DBW43" s="119"/>
      <c r="DBX43" s="119"/>
      <c r="DBY43" s="119"/>
      <c r="DBZ43" s="119"/>
      <c r="DCA43" s="119"/>
      <c r="DCB43" s="119"/>
      <c r="DCC43" s="119"/>
      <c r="DCD43" s="119"/>
      <c r="DCE43" s="119"/>
      <c r="DCF43" s="119"/>
      <c r="DCG43" s="119"/>
      <c r="DCH43" s="119"/>
      <c r="DCI43" s="119"/>
      <c r="DCJ43" s="119"/>
      <c r="DCK43" s="119"/>
      <c r="DCL43" s="119"/>
      <c r="DCM43" s="119"/>
      <c r="DCN43" s="119"/>
      <c r="DCO43" s="119"/>
      <c r="DCP43" s="119"/>
      <c r="DCQ43" s="119"/>
      <c r="DCR43" s="119"/>
      <c r="DCS43" s="119"/>
      <c r="DCT43" s="119"/>
      <c r="DCU43" s="119"/>
      <c r="DCV43" s="119"/>
      <c r="DCW43" s="119"/>
      <c r="DCX43" s="119"/>
      <c r="DCY43" s="119"/>
      <c r="DCZ43" s="119"/>
      <c r="DDA43" s="119"/>
      <c r="DDB43" s="119"/>
      <c r="DDC43" s="119"/>
      <c r="DDD43" s="119"/>
      <c r="DDE43" s="119"/>
      <c r="DDF43" s="119"/>
      <c r="DDG43" s="119"/>
      <c r="DDH43" s="119"/>
      <c r="DDI43" s="119"/>
      <c r="DDJ43" s="119"/>
      <c r="DDK43" s="119"/>
      <c r="DDL43" s="119"/>
      <c r="DDM43" s="119"/>
      <c r="DDN43" s="119"/>
      <c r="DDO43" s="119"/>
      <c r="DDP43" s="119"/>
      <c r="DDQ43" s="119"/>
      <c r="DDR43" s="119"/>
      <c r="DDS43" s="119"/>
      <c r="DDT43" s="119"/>
      <c r="DDU43" s="119"/>
      <c r="DDV43" s="119"/>
      <c r="DDW43" s="119"/>
      <c r="DDX43" s="119"/>
      <c r="DDY43" s="119"/>
      <c r="DDZ43" s="119"/>
      <c r="DEA43" s="119"/>
      <c r="DEB43" s="119"/>
      <c r="DEC43" s="119"/>
      <c r="DED43" s="119"/>
      <c r="DEE43" s="119"/>
      <c r="DEF43" s="119"/>
      <c r="DEG43" s="119"/>
      <c r="DEH43" s="119"/>
      <c r="DEI43" s="119"/>
      <c r="DEJ43" s="119"/>
      <c r="DEK43" s="119"/>
      <c r="DEL43" s="119"/>
      <c r="DEM43" s="119"/>
      <c r="DEN43" s="119"/>
      <c r="DEO43" s="119"/>
      <c r="DEP43" s="119"/>
      <c r="DEQ43" s="119"/>
      <c r="DER43" s="119"/>
      <c r="DES43" s="119"/>
      <c r="DET43" s="119"/>
      <c r="DEU43" s="119"/>
      <c r="DEV43" s="119"/>
      <c r="DEW43" s="119"/>
      <c r="DEX43" s="119"/>
      <c r="DEY43" s="119"/>
      <c r="DEZ43" s="119"/>
      <c r="DFA43" s="119"/>
      <c r="DFB43" s="119"/>
      <c r="DFC43" s="119"/>
      <c r="DFD43" s="119"/>
      <c r="DFE43" s="119"/>
      <c r="DFF43" s="119"/>
      <c r="DFG43" s="119"/>
      <c r="DFH43" s="119"/>
      <c r="DFI43" s="119"/>
      <c r="DFJ43" s="119"/>
      <c r="DFK43" s="119"/>
      <c r="DFL43" s="119"/>
      <c r="DFM43" s="119"/>
      <c r="DFN43" s="119"/>
      <c r="DFO43" s="119"/>
      <c r="DFP43" s="119"/>
      <c r="DFQ43" s="119"/>
      <c r="DFR43" s="119"/>
      <c r="DFS43" s="119"/>
      <c r="DFT43" s="119"/>
      <c r="DFU43" s="119"/>
      <c r="DFV43" s="119"/>
      <c r="DFW43" s="119"/>
      <c r="DFX43" s="119"/>
      <c r="DFY43" s="119"/>
      <c r="DFZ43" s="119"/>
      <c r="DGA43" s="119"/>
      <c r="DGB43" s="119"/>
      <c r="DGC43" s="119"/>
      <c r="DGD43" s="119"/>
      <c r="DGE43" s="119"/>
      <c r="DGF43" s="119"/>
      <c r="DGG43" s="119"/>
      <c r="DGH43" s="119"/>
      <c r="DGI43" s="119"/>
      <c r="DGJ43" s="119"/>
      <c r="DGK43" s="119"/>
      <c r="DGL43" s="119"/>
      <c r="DGM43" s="119"/>
      <c r="DGN43" s="119"/>
      <c r="DGO43" s="119"/>
      <c r="DGP43" s="119"/>
      <c r="DGQ43" s="119"/>
      <c r="DGR43" s="119"/>
      <c r="DGS43" s="119"/>
      <c r="DGT43" s="119"/>
      <c r="DGU43" s="119"/>
      <c r="DGV43" s="119"/>
      <c r="DGW43" s="119"/>
      <c r="DGX43" s="119"/>
      <c r="DGY43" s="119"/>
      <c r="DGZ43" s="119"/>
      <c r="DHA43" s="119"/>
      <c r="DHB43" s="119"/>
      <c r="DHC43" s="119"/>
      <c r="DHD43" s="119"/>
      <c r="DHE43" s="119"/>
      <c r="DHF43" s="119"/>
      <c r="DHG43" s="119"/>
      <c r="DHH43" s="119"/>
      <c r="DHI43" s="119"/>
      <c r="DHJ43" s="119"/>
      <c r="DHK43" s="119"/>
      <c r="DHL43" s="119"/>
      <c r="DHM43" s="119"/>
      <c r="DHN43" s="119"/>
      <c r="DHO43" s="119"/>
      <c r="DHP43" s="119"/>
      <c r="DHQ43" s="119"/>
      <c r="DHR43" s="119"/>
      <c r="DHS43" s="119"/>
      <c r="DHT43" s="119"/>
      <c r="DHU43" s="119"/>
      <c r="DHV43" s="119"/>
      <c r="DHW43" s="119"/>
      <c r="DHX43" s="119"/>
      <c r="DHY43" s="119"/>
      <c r="DHZ43" s="119"/>
      <c r="DIA43" s="119"/>
      <c r="DIB43" s="119"/>
      <c r="DIC43" s="119"/>
      <c r="DID43" s="119"/>
      <c r="DIE43" s="119"/>
      <c r="DIF43" s="119"/>
      <c r="DIG43" s="119"/>
      <c r="DIH43" s="119"/>
      <c r="DII43" s="119"/>
      <c r="DIJ43" s="119"/>
      <c r="DIK43" s="119"/>
      <c r="DIL43" s="119"/>
      <c r="DIM43" s="119"/>
      <c r="DIN43" s="119"/>
      <c r="DIO43" s="119"/>
      <c r="DIP43" s="119"/>
      <c r="DIQ43" s="119"/>
      <c r="DIR43" s="119"/>
      <c r="DIS43" s="119"/>
      <c r="DIT43" s="119"/>
      <c r="DIU43" s="119"/>
      <c r="DIV43" s="119"/>
      <c r="DIW43" s="119"/>
      <c r="DIX43" s="119"/>
      <c r="DIY43" s="119"/>
      <c r="DIZ43" s="119"/>
      <c r="DJA43" s="119"/>
      <c r="DJB43" s="119"/>
      <c r="DJC43" s="119"/>
      <c r="DJD43" s="119"/>
      <c r="DJE43" s="119"/>
      <c r="DJF43" s="119"/>
      <c r="DJG43" s="119"/>
      <c r="DJH43" s="119"/>
      <c r="DJI43" s="119"/>
      <c r="DJJ43" s="119"/>
      <c r="DJK43" s="119"/>
      <c r="DJL43" s="119"/>
      <c r="DJM43" s="119"/>
      <c r="DJN43" s="119"/>
      <c r="DJO43" s="119"/>
      <c r="DJP43" s="119"/>
      <c r="DJQ43" s="119"/>
      <c r="DJR43" s="119"/>
      <c r="DJS43" s="119"/>
      <c r="DJT43" s="119"/>
      <c r="DJU43" s="119"/>
      <c r="DJV43" s="119"/>
      <c r="DJW43" s="119"/>
      <c r="DJX43" s="119"/>
      <c r="DJY43" s="119"/>
      <c r="DJZ43" s="119"/>
      <c r="DKA43" s="119"/>
      <c r="DKB43" s="119"/>
      <c r="DKC43" s="119"/>
      <c r="DKD43" s="119"/>
      <c r="DKE43" s="119"/>
      <c r="DKF43" s="119"/>
      <c r="DKG43" s="119"/>
      <c r="DKH43" s="119"/>
      <c r="DKI43" s="119"/>
      <c r="DKJ43" s="119"/>
      <c r="DKK43" s="119"/>
      <c r="DKL43" s="119"/>
      <c r="DKM43" s="119"/>
      <c r="DKN43" s="119"/>
      <c r="DKO43" s="119"/>
      <c r="DKP43" s="119"/>
      <c r="DKQ43" s="119"/>
      <c r="DKR43" s="119"/>
      <c r="DKS43" s="119"/>
      <c r="DKT43" s="119"/>
      <c r="DKU43" s="119"/>
      <c r="DKV43" s="119"/>
      <c r="DKW43" s="119"/>
      <c r="DKX43" s="119"/>
      <c r="DKY43" s="119"/>
      <c r="DKZ43" s="119"/>
      <c r="DLA43" s="119"/>
      <c r="DLB43" s="119"/>
      <c r="DLC43" s="119"/>
      <c r="DLD43" s="119"/>
      <c r="DLE43" s="119"/>
      <c r="DLF43" s="119"/>
      <c r="DLG43" s="119"/>
      <c r="DLH43" s="119"/>
      <c r="DLI43" s="119"/>
      <c r="DLJ43" s="119"/>
      <c r="DLK43" s="119"/>
      <c r="DLL43" s="119"/>
      <c r="DLM43" s="119"/>
      <c r="DLN43" s="119"/>
      <c r="DLO43" s="119"/>
      <c r="DLP43" s="119"/>
      <c r="DLQ43" s="119"/>
      <c r="DLR43" s="119"/>
      <c r="DLS43" s="119"/>
      <c r="DLT43" s="119"/>
      <c r="DLU43" s="119"/>
      <c r="DLV43" s="119"/>
      <c r="DLW43" s="119"/>
      <c r="DLX43" s="119"/>
      <c r="DLY43" s="119"/>
      <c r="DLZ43" s="119"/>
      <c r="DMA43" s="119"/>
      <c r="DMB43" s="119"/>
      <c r="DMC43" s="119"/>
      <c r="DMD43" s="119"/>
      <c r="DME43" s="119"/>
      <c r="DMF43" s="119"/>
      <c r="DMG43" s="119"/>
      <c r="DMH43" s="119"/>
      <c r="DMI43" s="119"/>
      <c r="DMJ43" s="119"/>
      <c r="DMK43" s="119"/>
      <c r="DML43" s="119"/>
      <c r="DMM43" s="119"/>
      <c r="DMN43" s="119"/>
      <c r="DMO43" s="119"/>
      <c r="DMP43" s="119"/>
      <c r="DMQ43" s="119"/>
      <c r="DMR43" s="119"/>
      <c r="DMS43" s="119"/>
      <c r="DMT43" s="119"/>
      <c r="DMU43" s="119"/>
      <c r="DMV43" s="119"/>
      <c r="DMW43" s="119"/>
      <c r="DMX43" s="119"/>
      <c r="DMY43" s="119"/>
      <c r="DMZ43" s="119"/>
      <c r="DNA43" s="119"/>
      <c r="DNB43" s="119"/>
      <c r="DNC43" s="119"/>
      <c r="DND43" s="119"/>
      <c r="DNE43" s="119"/>
      <c r="DNF43" s="119"/>
      <c r="DNG43" s="119"/>
      <c r="DNH43" s="119"/>
      <c r="DNI43" s="119"/>
      <c r="DNJ43" s="119"/>
      <c r="DNK43" s="119"/>
      <c r="DNL43" s="119"/>
      <c r="DNM43" s="119"/>
      <c r="DNN43" s="119"/>
      <c r="DNO43" s="119"/>
      <c r="DNP43" s="119"/>
      <c r="DNQ43" s="119"/>
      <c r="DNR43" s="119"/>
      <c r="DNS43" s="119"/>
      <c r="DNT43" s="119"/>
      <c r="DNU43" s="119"/>
      <c r="DNV43" s="119"/>
      <c r="DNW43" s="119"/>
      <c r="DNX43" s="119"/>
      <c r="DNY43" s="119"/>
      <c r="DNZ43" s="119"/>
      <c r="DOA43" s="119"/>
      <c r="DOB43" s="119"/>
      <c r="DOC43" s="119"/>
      <c r="DOD43" s="119"/>
      <c r="DOE43" s="119"/>
      <c r="DOF43" s="119"/>
      <c r="DOG43" s="119"/>
      <c r="DOH43" s="119"/>
      <c r="DOI43" s="119"/>
      <c r="DOJ43" s="119"/>
      <c r="DOK43" s="119"/>
      <c r="DOL43" s="119"/>
      <c r="DOM43" s="119"/>
      <c r="DON43" s="119"/>
      <c r="DOO43" s="119"/>
      <c r="DOP43" s="119"/>
      <c r="DOQ43" s="119"/>
      <c r="DOR43" s="119"/>
      <c r="DOS43" s="119"/>
      <c r="DOT43" s="119"/>
      <c r="DOU43" s="119"/>
      <c r="DOV43" s="119"/>
      <c r="DOW43" s="119"/>
      <c r="DOX43" s="119"/>
      <c r="DOY43" s="119"/>
      <c r="DOZ43" s="119"/>
      <c r="DPA43" s="119"/>
      <c r="DPB43" s="119"/>
      <c r="DPC43" s="119"/>
      <c r="DPD43" s="119"/>
      <c r="DPE43" s="119"/>
      <c r="DPF43" s="119"/>
      <c r="DPG43" s="119"/>
      <c r="DPH43" s="119"/>
      <c r="DPI43" s="119"/>
      <c r="DPJ43" s="119"/>
      <c r="DPK43" s="119"/>
      <c r="DPL43" s="119"/>
      <c r="DPM43" s="119"/>
      <c r="DPN43" s="119"/>
      <c r="DPO43" s="119"/>
      <c r="DPP43" s="119"/>
      <c r="DPQ43" s="119"/>
      <c r="DPR43" s="119"/>
      <c r="DPS43" s="119"/>
      <c r="DPT43" s="119"/>
      <c r="DPU43" s="119"/>
      <c r="DPV43" s="119"/>
      <c r="DPW43" s="119"/>
      <c r="DPX43" s="119"/>
      <c r="DPY43" s="119"/>
      <c r="DPZ43" s="119"/>
      <c r="DQA43" s="119"/>
      <c r="DQB43" s="119"/>
      <c r="DQC43" s="119"/>
      <c r="DQD43" s="119"/>
      <c r="DQE43" s="119"/>
      <c r="DQF43" s="119"/>
      <c r="DQG43" s="119"/>
      <c r="DQH43" s="119"/>
      <c r="DQI43" s="119"/>
      <c r="DQJ43" s="119"/>
      <c r="DQK43" s="119"/>
      <c r="DQL43" s="119"/>
      <c r="DQM43" s="119"/>
      <c r="DQN43" s="119"/>
      <c r="DQO43" s="119"/>
      <c r="DQP43" s="119"/>
      <c r="DQQ43" s="119"/>
      <c r="DQR43" s="119"/>
      <c r="DQS43" s="119"/>
      <c r="DQT43" s="119"/>
      <c r="DQU43" s="119"/>
      <c r="DQV43" s="119"/>
      <c r="DQW43" s="119"/>
      <c r="DQX43" s="119"/>
      <c r="DQY43" s="119"/>
      <c r="DQZ43" s="119"/>
      <c r="DRA43" s="119"/>
      <c r="DRB43" s="119"/>
      <c r="DRC43" s="119"/>
      <c r="DRD43" s="119"/>
      <c r="DRE43" s="119"/>
      <c r="DRF43" s="119"/>
      <c r="DRG43" s="119"/>
      <c r="DRH43" s="119"/>
      <c r="DRI43" s="119"/>
      <c r="DRJ43" s="119"/>
      <c r="DRK43" s="119"/>
      <c r="DRL43" s="119"/>
      <c r="DRM43" s="119"/>
      <c r="DRN43" s="119"/>
      <c r="DRO43" s="119"/>
      <c r="DRP43" s="119"/>
      <c r="DRQ43" s="119"/>
      <c r="DRR43" s="119"/>
      <c r="DRS43" s="119"/>
      <c r="DRT43" s="119"/>
      <c r="DRU43" s="119"/>
      <c r="DRV43" s="119"/>
      <c r="DRW43" s="119"/>
      <c r="DRX43" s="119"/>
      <c r="DRY43" s="119"/>
      <c r="DRZ43" s="119"/>
      <c r="DSA43" s="119"/>
      <c r="DSB43" s="119"/>
      <c r="DSC43" s="119"/>
      <c r="DSD43" s="119"/>
      <c r="DSE43" s="119"/>
      <c r="DSF43" s="119"/>
      <c r="DSG43" s="119"/>
      <c r="DSH43" s="119"/>
      <c r="DSI43" s="119"/>
      <c r="DSJ43" s="119"/>
      <c r="DSK43" s="119"/>
      <c r="DSL43" s="119"/>
      <c r="DSM43" s="119"/>
      <c r="DSN43" s="119"/>
      <c r="DSO43" s="119"/>
      <c r="DSP43" s="119"/>
      <c r="DSQ43" s="119"/>
      <c r="DSR43" s="119"/>
      <c r="DSS43" s="119"/>
      <c r="DST43" s="119"/>
      <c r="DSU43" s="119"/>
      <c r="DSV43" s="119"/>
      <c r="DSW43" s="119"/>
      <c r="DSX43" s="119"/>
      <c r="DSY43" s="119"/>
      <c r="DSZ43" s="119"/>
      <c r="DTA43" s="119"/>
      <c r="DTB43" s="119"/>
      <c r="DTC43" s="119"/>
      <c r="DTD43" s="119"/>
      <c r="DTE43" s="119"/>
      <c r="DTF43" s="119"/>
      <c r="DTG43" s="119"/>
      <c r="DTH43" s="119"/>
      <c r="DTI43" s="119"/>
      <c r="DTJ43" s="119"/>
      <c r="DTK43" s="119"/>
      <c r="DTL43" s="119"/>
      <c r="DTM43" s="119"/>
      <c r="DTN43" s="119"/>
      <c r="DTO43" s="119"/>
      <c r="DTP43" s="119"/>
      <c r="DTQ43" s="119"/>
      <c r="DTR43" s="119"/>
      <c r="DTS43" s="119"/>
      <c r="DTT43" s="119"/>
      <c r="DTU43" s="119"/>
      <c r="DTV43" s="119"/>
      <c r="DTW43" s="119"/>
      <c r="DTX43" s="119"/>
      <c r="DTY43" s="119"/>
      <c r="DTZ43" s="119"/>
      <c r="DUA43" s="119"/>
      <c r="DUB43" s="119"/>
      <c r="DUC43" s="119"/>
      <c r="DUD43" s="119"/>
      <c r="DUE43" s="119"/>
      <c r="DUF43" s="119"/>
      <c r="DUG43" s="119"/>
      <c r="DUH43" s="119"/>
      <c r="DUI43" s="119"/>
      <c r="DUJ43" s="119"/>
      <c r="DUK43" s="119"/>
      <c r="DUL43" s="119"/>
      <c r="DUM43" s="119"/>
      <c r="DUN43" s="119"/>
      <c r="DUO43" s="119"/>
      <c r="DUP43" s="119"/>
      <c r="DUQ43" s="119"/>
      <c r="DUR43" s="119"/>
      <c r="DUS43" s="119"/>
      <c r="DUT43" s="119"/>
      <c r="DUU43" s="119"/>
      <c r="DUV43" s="119"/>
      <c r="DUW43" s="119"/>
      <c r="DUX43" s="119"/>
      <c r="DUY43" s="119"/>
      <c r="DUZ43" s="119"/>
      <c r="DVA43" s="119"/>
      <c r="DVB43" s="119"/>
      <c r="DVC43" s="119"/>
      <c r="DVD43" s="119"/>
      <c r="DVE43" s="119"/>
      <c r="DVF43" s="119"/>
      <c r="DVG43" s="119"/>
      <c r="DVH43" s="119"/>
      <c r="DVI43" s="119"/>
      <c r="DVJ43" s="119"/>
      <c r="DVK43" s="119"/>
      <c r="DVL43" s="119"/>
      <c r="DVM43" s="119"/>
      <c r="DVN43" s="119"/>
      <c r="DVO43" s="119"/>
      <c r="DVP43" s="119"/>
      <c r="DVQ43" s="119"/>
      <c r="DVR43" s="119"/>
      <c r="DVS43" s="119"/>
      <c r="DVT43" s="119"/>
      <c r="DVU43" s="119"/>
      <c r="DVV43" s="119"/>
      <c r="DVW43" s="119"/>
      <c r="DVX43" s="119"/>
      <c r="DVY43" s="119"/>
      <c r="DVZ43" s="119"/>
      <c r="DWA43" s="119"/>
      <c r="DWB43" s="119"/>
      <c r="DWC43" s="119"/>
      <c r="DWD43" s="119"/>
      <c r="DWE43" s="119"/>
      <c r="DWF43" s="119"/>
      <c r="DWG43" s="119"/>
      <c r="DWH43" s="119"/>
      <c r="DWI43" s="119"/>
      <c r="DWJ43" s="119"/>
      <c r="DWK43" s="119"/>
      <c r="DWL43" s="119"/>
      <c r="DWM43" s="119"/>
      <c r="DWN43" s="119"/>
      <c r="DWO43" s="119"/>
      <c r="DWP43" s="119"/>
      <c r="DWQ43" s="119"/>
      <c r="DWR43" s="119"/>
      <c r="DWS43" s="119"/>
      <c r="DWT43" s="119"/>
      <c r="DWU43" s="119"/>
      <c r="DWV43" s="119"/>
      <c r="DWW43" s="119"/>
      <c r="DWX43" s="119"/>
      <c r="DWY43" s="119"/>
      <c r="DWZ43" s="119"/>
      <c r="DXA43" s="119"/>
      <c r="DXB43" s="119"/>
      <c r="DXC43" s="119"/>
      <c r="DXD43" s="119"/>
      <c r="DXE43" s="119"/>
      <c r="DXF43" s="119"/>
      <c r="DXG43" s="119"/>
      <c r="DXH43" s="119"/>
      <c r="DXI43" s="119"/>
      <c r="DXJ43" s="119"/>
      <c r="DXK43" s="119"/>
      <c r="DXL43" s="119"/>
      <c r="DXM43" s="119"/>
      <c r="DXN43" s="119"/>
      <c r="DXO43" s="119"/>
      <c r="DXP43" s="119"/>
      <c r="DXQ43" s="119"/>
      <c r="DXR43" s="119"/>
      <c r="DXS43" s="119"/>
      <c r="DXT43" s="119"/>
      <c r="DXU43" s="119"/>
      <c r="DXV43" s="119"/>
      <c r="DXW43" s="119"/>
      <c r="DXX43" s="119"/>
      <c r="DXY43" s="119"/>
      <c r="DXZ43" s="119"/>
      <c r="DYA43" s="119"/>
      <c r="DYB43" s="119"/>
      <c r="DYC43" s="119"/>
      <c r="DYD43" s="119"/>
      <c r="DYE43" s="119"/>
      <c r="DYF43" s="119"/>
      <c r="DYG43" s="119"/>
      <c r="DYH43" s="119"/>
      <c r="DYI43" s="119"/>
      <c r="DYJ43" s="119"/>
      <c r="DYK43" s="119"/>
      <c r="DYL43" s="119"/>
      <c r="DYM43" s="119"/>
      <c r="DYN43" s="119"/>
      <c r="DYO43" s="119"/>
      <c r="DYP43" s="119"/>
      <c r="DYQ43" s="119"/>
      <c r="DYR43" s="119"/>
      <c r="DYS43" s="119"/>
      <c r="DYT43" s="119"/>
      <c r="DYU43" s="119"/>
      <c r="DYV43" s="119"/>
      <c r="DYW43" s="119"/>
      <c r="DYX43" s="119"/>
      <c r="DYY43" s="119"/>
      <c r="DYZ43" s="119"/>
      <c r="DZA43" s="119"/>
      <c r="DZB43" s="119"/>
      <c r="DZC43" s="119"/>
      <c r="DZD43" s="119"/>
      <c r="DZE43" s="119"/>
      <c r="DZF43" s="119"/>
      <c r="DZG43" s="119"/>
      <c r="DZH43" s="119"/>
      <c r="DZI43" s="119"/>
      <c r="DZJ43" s="119"/>
      <c r="DZK43" s="119"/>
      <c r="DZL43" s="119"/>
      <c r="DZM43" s="119"/>
      <c r="DZN43" s="119"/>
      <c r="DZO43" s="119"/>
      <c r="DZP43" s="119"/>
      <c r="DZQ43" s="119"/>
      <c r="DZR43" s="119"/>
      <c r="DZS43" s="119"/>
      <c r="DZT43" s="119"/>
      <c r="DZU43" s="119"/>
      <c r="DZV43" s="119"/>
      <c r="DZW43" s="119"/>
      <c r="DZX43" s="119"/>
      <c r="DZY43" s="119"/>
      <c r="DZZ43" s="119"/>
      <c r="EAA43" s="119"/>
      <c r="EAB43" s="119"/>
      <c r="EAC43" s="119"/>
      <c r="EAD43" s="119"/>
      <c r="EAE43" s="119"/>
      <c r="EAF43" s="119"/>
      <c r="EAG43" s="119"/>
      <c r="EAH43" s="119"/>
      <c r="EAI43" s="119"/>
      <c r="EAJ43" s="119"/>
      <c r="EAK43" s="119"/>
      <c r="EAL43" s="119"/>
      <c r="EAM43" s="119"/>
      <c r="EAN43" s="119"/>
      <c r="EAO43" s="119"/>
      <c r="EAP43" s="119"/>
      <c r="EAQ43" s="119"/>
      <c r="EAR43" s="119"/>
      <c r="EAS43" s="119"/>
      <c r="EAT43" s="119"/>
      <c r="EAU43" s="119"/>
      <c r="EAV43" s="119"/>
      <c r="EAW43" s="119"/>
      <c r="EAX43" s="119"/>
      <c r="EAY43" s="119"/>
      <c r="EAZ43" s="119"/>
      <c r="EBA43" s="119"/>
      <c r="EBB43" s="119"/>
      <c r="EBC43" s="119"/>
      <c r="EBD43" s="119"/>
      <c r="EBE43" s="119"/>
      <c r="EBF43" s="119"/>
      <c r="EBG43" s="119"/>
      <c r="EBH43" s="119"/>
      <c r="EBI43" s="119"/>
      <c r="EBJ43" s="119"/>
      <c r="EBK43" s="119"/>
      <c r="EBL43" s="119"/>
      <c r="EBM43" s="119"/>
      <c r="EBN43" s="119"/>
      <c r="EBO43" s="119"/>
      <c r="EBP43" s="119"/>
      <c r="EBQ43" s="119"/>
      <c r="EBR43" s="119"/>
      <c r="EBS43" s="119"/>
      <c r="EBT43" s="119"/>
      <c r="EBU43" s="119"/>
      <c r="EBV43" s="119"/>
      <c r="EBW43" s="119"/>
      <c r="EBX43" s="119"/>
      <c r="EBY43" s="119"/>
      <c r="EBZ43" s="119"/>
      <c r="ECA43" s="119"/>
      <c r="ECB43" s="119"/>
      <c r="ECC43" s="119"/>
      <c r="ECD43" s="119"/>
      <c r="ECE43" s="119"/>
      <c r="ECF43" s="119"/>
      <c r="ECG43" s="119"/>
      <c r="ECH43" s="119"/>
      <c r="ECI43" s="119"/>
      <c r="ECJ43" s="119"/>
      <c r="ECK43" s="119"/>
      <c r="ECL43" s="119"/>
      <c r="ECM43" s="119"/>
      <c r="ECN43" s="119"/>
      <c r="ECO43" s="119"/>
      <c r="ECP43" s="119"/>
      <c r="ECQ43" s="119"/>
      <c r="ECR43" s="119"/>
      <c r="ECS43" s="119"/>
      <c r="ECT43" s="119"/>
      <c r="ECU43" s="119"/>
      <c r="ECV43" s="119"/>
      <c r="ECW43" s="119"/>
      <c r="ECX43" s="119"/>
      <c r="ECY43" s="119"/>
      <c r="ECZ43" s="119"/>
      <c r="EDA43" s="119"/>
      <c r="EDB43" s="119"/>
      <c r="EDC43" s="119"/>
      <c r="EDD43" s="119"/>
      <c r="EDE43" s="119"/>
      <c r="EDF43" s="119"/>
      <c r="EDG43" s="119"/>
      <c r="EDH43" s="119"/>
      <c r="EDI43" s="119"/>
      <c r="EDJ43" s="119"/>
      <c r="EDK43" s="119"/>
      <c r="EDL43" s="119"/>
      <c r="EDM43" s="119"/>
      <c r="EDN43" s="119"/>
      <c r="EDO43" s="119"/>
      <c r="EDP43" s="119"/>
      <c r="EDQ43" s="119"/>
      <c r="EDR43" s="119"/>
      <c r="EDS43" s="119"/>
      <c r="EDT43" s="119"/>
      <c r="EDU43" s="119"/>
      <c r="EDV43" s="119"/>
      <c r="EDW43" s="119"/>
      <c r="EDX43" s="119"/>
      <c r="EDY43" s="119"/>
      <c r="EDZ43" s="119"/>
      <c r="EEA43" s="119"/>
      <c r="EEB43" s="119"/>
      <c r="EEC43" s="119"/>
      <c r="EED43" s="119"/>
      <c r="EEE43" s="119"/>
      <c r="EEF43" s="119"/>
      <c r="EEG43" s="119"/>
      <c r="EEH43" s="119"/>
      <c r="EEI43" s="119"/>
      <c r="EEJ43" s="119"/>
      <c r="EEK43" s="119"/>
      <c r="EEL43" s="119"/>
      <c r="EEM43" s="119"/>
      <c r="EEN43" s="119"/>
      <c r="EEO43" s="119"/>
      <c r="EEP43" s="119"/>
      <c r="EEQ43" s="119"/>
      <c r="EER43" s="119"/>
      <c r="EES43" s="119"/>
      <c r="EET43" s="119"/>
      <c r="EEU43" s="119"/>
      <c r="EEV43" s="119"/>
      <c r="EEW43" s="119"/>
      <c r="EEX43" s="119"/>
      <c r="EEY43" s="119"/>
      <c r="EEZ43" s="119"/>
      <c r="EFA43" s="119"/>
      <c r="EFB43" s="119"/>
      <c r="EFC43" s="119"/>
      <c r="EFD43" s="119"/>
      <c r="EFE43" s="119"/>
      <c r="EFF43" s="119"/>
      <c r="EFG43" s="119"/>
      <c r="EFH43" s="119"/>
      <c r="EFI43" s="119"/>
      <c r="EFJ43" s="119"/>
      <c r="EFK43" s="119"/>
      <c r="EFL43" s="119"/>
      <c r="EFM43" s="119"/>
      <c r="EFN43" s="119"/>
      <c r="EFO43" s="119"/>
      <c r="EFP43" s="119"/>
      <c r="EFQ43" s="119"/>
      <c r="EFR43" s="119"/>
      <c r="EFS43" s="119"/>
      <c r="EFT43" s="119"/>
      <c r="EFU43" s="119"/>
      <c r="EFV43" s="119"/>
      <c r="EFW43" s="119"/>
      <c r="EFX43" s="119"/>
      <c r="EFY43" s="119"/>
      <c r="EFZ43" s="119"/>
      <c r="EGA43" s="119"/>
      <c r="EGB43" s="119"/>
      <c r="EGC43" s="119"/>
      <c r="EGD43" s="119"/>
      <c r="EGE43" s="119"/>
      <c r="EGF43" s="119"/>
      <c r="EGG43" s="119"/>
      <c r="EGH43" s="119"/>
      <c r="EGI43" s="119"/>
      <c r="EGJ43" s="119"/>
      <c r="EGK43" s="119"/>
      <c r="EGL43" s="119"/>
      <c r="EGM43" s="119"/>
      <c r="EGN43" s="119"/>
      <c r="EGO43" s="119"/>
      <c r="EGP43" s="119"/>
      <c r="EGQ43" s="119"/>
      <c r="EGR43" s="119"/>
      <c r="EGS43" s="119"/>
      <c r="EGT43" s="119"/>
      <c r="EGU43" s="119"/>
      <c r="EGV43" s="119"/>
      <c r="EGW43" s="119"/>
      <c r="EGX43" s="119"/>
      <c r="EGY43" s="119"/>
      <c r="EGZ43" s="119"/>
      <c r="EHA43" s="119"/>
      <c r="EHB43" s="119"/>
      <c r="EHC43" s="119"/>
      <c r="EHD43" s="119"/>
      <c r="EHE43" s="119"/>
      <c r="EHF43" s="119"/>
      <c r="EHG43" s="119"/>
      <c r="EHH43" s="119"/>
      <c r="EHI43" s="119"/>
      <c r="EHJ43" s="119"/>
      <c r="EHK43" s="119"/>
      <c r="EHL43" s="119"/>
      <c r="EHM43" s="119"/>
      <c r="EHN43" s="119"/>
      <c r="EHO43" s="119"/>
      <c r="EHP43" s="119"/>
      <c r="EHQ43" s="119"/>
      <c r="EHR43" s="119"/>
      <c r="EHS43" s="119"/>
      <c r="EHT43" s="119"/>
      <c r="EHU43" s="119"/>
      <c r="EHV43" s="119"/>
      <c r="EHW43" s="119"/>
      <c r="EHX43" s="119"/>
      <c r="EHY43" s="119"/>
      <c r="EHZ43" s="119"/>
      <c r="EIA43" s="119"/>
      <c r="EIB43" s="119"/>
      <c r="EIC43" s="119"/>
      <c r="EID43" s="119"/>
      <c r="EIE43" s="119"/>
      <c r="EIF43" s="119"/>
      <c r="EIG43" s="119"/>
      <c r="EIH43" s="119"/>
      <c r="EII43" s="119"/>
      <c r="EIJ43" s="119"/>
      <c r="EIK43" s="119"/>
      <c r="EIL43" s="119"/>
      <c r="EIM43" s="119"/>
      <c r="EIN43" s="119"/>
      <c r="EIO43" s="119"/>
      <c r="EIP43" s="119"/>
      <c r="EIQ43" s="119"/>
      <c r="EIR43" s="119"/>
      <c r="EIS43" s="119"/>
      <c r="EIT43" s="119"/>
      <c r="EIU43" s="119"/>
      <c r="EIV43" s="119"/>
      <c r="EIW43" s="119"/>
      <c r="EIX43" s="119"/>
      <c r="EIY43" s="119"/>
      <c r="EIZ43" s="119"/>
      <c r="EJA43" s="119"/>
      <c r="EJB43" s="119"/>
      <c r="EJC43" s="119"/>
      <c r="EJD43" s="119"/>
      <c r="EJE43" s="119"/>
      <c r="EJF43" s="119"/>
      <c r="EJG43" s="119"/>
      <c r="EJH43" s="119"/>
      <c r="EJI43" s="119"/>
      <c r="EJJ43" s="119"/>
      <c r="EJK43" s="119"/>
      <c r="EJL43" s="119"/>
      <c r="EJM43" s="119"/>
      <c r="EJN43" s="119"/>
      <c r="EJO43" s="119"/>
      <c r="EJP43" s="119"/>
      <c r="EJQ43" s="119"/>
      <c r="EJR43" s="119"/>
      <c r="EJS43" s="119"/>
      <c r="EJT43" s="119"/>
      <c r="EJU43" s="119"/>
      <c r="EJV43" s="119"/>
      <c r="EJW43" s="119"/>
      <c r="EJX43" s="119"/>
      <c r="EJY43" s="119"/>
      <c r="EJZ43" s="119"/>
      <c r="EKA43" s="119"/>
      <c r="EKB43" s="119"/>
      <c r="EKC43" s="119"/>
      <c r="EKD43" s="119"/>
      <c r="EKE43" s="119"/>
      <c r="EKF43" s="119"/>
      <c r="EKG43" s="119"/>
      <c r="EKH43" s="119"/>
      <c r="EKI43" s="119"/>
      <c r="EKJ43" s="119"/>
      <c r="EKK43" s="119"/>
      <c r="EKL43" s="119"/>
      <c r="EKM43" s="119"/>
      <c r="EKN43" s="119"/>
      <c r="EKO43" s="119"/>
      <c r="EKP43" s="119"/>
      <c r="EKQ43" s="119"/>
      <c r="EKR43" s="119"/>
      <c r="EKS43" s="119"/>
      <c r="EKT43" s="119"/>
      <c r="EKU43" s="119"/>
      <c r="EKV43" s="119"/>
      <c r="EKW43" s="119"/>
      <c r="EKX43" s="119"/>
      <c r="EKY43" s="119"/>
      <c r="EKZ43" s="119"/>
      <c r="ELA43" s="119"/>
      <c r="ELB43" s="119"/>
      <c r="ELC43" s="119"/>
      <c r="ELD43" s="119"/>
      <c r="ELE43" s="119"/>
      <c r="ELF43" s="119"/>
      <c r="ELG43" s="119"/>
      <c r="ELH43" s="119"/>
      <c r="ELI43" s="119"/>
      <c r="ELJ43" s="119"/>
      <c r="ELK43" s="119"/>
      <c r="ELL43" s="119"/>
      <c r="ELM43" s="119"/>
      <c r="ELN43" s="119"/>
      <c r="ELO43" s="119"/>
      <c r="ELP43" s="119"/>
      <c r="ELQ43" s="119"/>
      <c r="ELR43" s="119"/>
      <c r="ELS43" s="119"/>
      <c r="ELT43" s="119"/>
      <c r="ELU43" s="119"/>
      <c r="ELV43" s="119"/>
      <c r="ELW43" s="119"/>
      <c r="ELX43" s="119"/>
      <c r="ELY43" s="119"/>
      <c r="ELZ43" s="119"/>
      <c r="EMA43" s="119"/>
      <c r="EMB43" s="119"/>
      <c r="EMC43" s="119"/>
      <c r="EMD43" s="119"/>
      <c r="EME43" s="119"/>
      <c r="EMF43" s="119"/>
      <c r="EMG43" s="119"/>
      <c r="EMH43" s="119"/>
      <c r="EMI43" s="119"/>
      <c r="EMJ43" s="119"/>
      <c r="EMK43" s="119"/>
      <c r="EML43" s="119"/>
      <c r="EMM43" s="119"/>
      <c r="EMN43" s="119"/>
      <c r="EMO43" s="119"/>
      <c r="EMP43" s="119"/>
      <c r="EMQ43" s="119"/>
      <c r="EMR43" s="119"/>
      <c r="EMS43" s="119"/>
      <c r="EMT43" s="119"/>
      <c r="EMU43" s="119"/>
      <c r="EMV43" s="119"/>
      <c r="EMW43" s="119"/>
      <c r="EMX43" s="119"/>
      <c r="EMY43" s="119"/>
      <c r="EMZ43" s="119"/>
      <c r="ENA43" s="119"/>
      <c r="ENB43" s="119"/>
      <c r="ENC43" s="119"/>
      <c r="END43" s="119"/>
      <c r="ENE43" s="119"/>
      <c r="ENF43" s="119"/>
      <c r="ENG43" s="119"/>
      <c r="ENH43" s="119"/>
      <c r="ENI43" s="119"/>
      <c r="ENJ43" s="119"/>
      <c r="ENK43" s="119"/>
      <c r="ENL43" s="119"/>
      <c r="ENM43" s="119"/>
      <c r="ENN43" s="119"/>
      <c r="ENO43" s="119"/>
      <c r="ENP43" s="119"/>
      <c r="ENQ43" s="119"/>
      <c r="ENR43" s="119"/>
      <c r="ENS43" s="119"/>
      <c r="ENT43" s="119"/>
      <c r="ENU43" s="119"/>
      <c r="ENV43" s="119"/>
      <c r="ENW43" s="119"/>
      <c r="ENX43" s="119"/>
      <c r="ENY43" s="119"/>
      <c r="ENZ43" s="119"/>
      <c r="EOA43" s="119"/>
      <c r="EOB43" s="119"/>
      <c r="EOC43" s="119"/>
      <c r="EOD43" s="119"/>
      <c r="EOE43" s="119"/>
      <c r="EOF43" s="119"/>
      <c r="EOG43" s="119"/>
      <c r="EOH43" s="119"/>
      <c r="EOI43" s="119"/>
      <c r="EOJ43" s="119"/>
      <c r="EOK43" s="119"/>
      <c r="EOL43" s="119"/>
      <c r="EOM43" s="119"/>
      <c r="EON43" s="119"/>
      <c r="EOO43" s="119"/>
      <c r="EOP43" s="119"/>
      <c r="EOQ43" s="119"/>
      <c r="EOR43" s="119"/>
      <c r="EOS43" s="119"/>
      <c r="EOT43" s="119"/>
      <c r="EOU43" s="119"/>
      <c r="EOV43" s="119"/>
      <c r="EOW43" s="119"/>
      <c r="EOX43" s="119"/>
      <c r="EOY43" s="119"/>
      <c r="EOZ43" s="119"/>
      <c r="EPA43" s="119"/>
      <c r="EPB43" s="119"/>
      <c r="EPC43" s="119"/>
      <c r="EPD43" s="119"/>
      <c r="EPE43" s="119"/>
      <c r="EPF43" s="119"/>
      <c r="EPG43" s="119"/>
      <c r="EPH43" s="119"/>
      <c r="EPI43" s="119"/>
      <c r="EPJ43" s="119"/>
      <c r="EPK43" s="119"/>
      <c r="EPL43" s="119"/>
      <c r="EPM43" s="119"/>
      <c r="EPN43" s="119"/>
      <c r="EPO43" s="119"/>
      <c r="EPP43" s="119"/>
      <c r="EPQ43" s="119"/>
      <c r="EPR43" s="119"/>
      <c r="EPS43" s="119"/>
      <c r="EPT43" s="119"/>
      <c r="EPU43" s="119"/>
      <c r="EPV43" s="119"/>
      <c r="EPW43" s="119"/>
      <c r="EPX43" s="119"/>
      <c r="EPY43" s="119"/>
      <c r="EPZ43" s="119"/>
      <c r="EQA43" s="119"/>
      <c r="EQB43" s="119"/>
      <c r="EQC43" s="119"/>
      <c r="EQD43" s="119"/>
      <c r="EQE43" s="119"/>
      <c r="EQF43" s="119"/>
      <c r="EQG43" s="119"/>
      <c r="EQH43" s="119"/>
      <c r="EQI43" s="119"/>
      <c r="EQJ43" s="119"/>
      <c r="EQK43" s="119"/>
      <c r="EQL43" s="119"/>
      <c r="EQM43" s="119"/>
      <c r="EQN43" s="119"/>
      <c r="EQO43" s="119"/>
      <c r="EQP43" s="119"/>
      <c r="EQQ43" s="119"/>
      <c r="EQR43" s="119"/>
      <c r="EQS43" s="119"/>
      <c r="EQT43" s="119"/>
      <c r="EQU43" s="119"/>
      <c r="EQV43" s="119"/>
      <c r="EQW43" s="119"/>
      <c r="EQX43" s="119"/>
      <c r="EQY43" s="119"/>
      <c r="EQZ43" s="119"/>
      <c r="ERA43" s="119"/>
      <c r="ERB43" s="119"/>
      <c r="ERC43" s="119"/>
      <c r="ERD43" s="119"/>
      <c r="ERE43" s="119"/>
      <c r="ERF43" s="119"/>
      <c r="ERG43" s="119"/>
      <c r="ERH43" s="119"/>
      <c r="ERI43" s="119"/>
      <c r="ERJ43" s="119"/>
      <c r="ERK43" s="119"/>
      <c r="ERL43" s="119"/>
      <c r="ERM43" s="119"/>
      <c r="ERN43" s="119"/>
      <c r="ERO43" s="119"/>
      <c r="ERP43" s="119"/>
      <c r="ERQ43" s="119"/>
      <c r="ERR43" s="119"/>
      <c r="ERS43" s="119"/>
      <c r="ERT43" s="119"/>
      <c r="ERU43" s="119"/>
      <c r="ERV43" s="119"/>
      <c r="ERW43" s="119"/>
      <c r="ERX43" s="119"/>
      <c r="ERY43" s="119"/>
      <c r="ERZ43" s="119"/>
      <c r="ESA43" s="119"/>
      <c r="ESB43" s="119"/>
      <c r="ESC43" s="119"/>
      <c r="ESD43" s="119"/>
      <c r="ESE43" s="119"/>
      <c r="ESF43" s="119"/>
      <c r="ESG43" s="119"/>
      <c r="ESH43" s="119"/>
      <c r="ESI43" s="119"/>
      <c r="ESJ43" s="119"/>
      <c r="ESK43" s="119"/>
      <c r="ESL43" s="119"/>
      <c r="ESM43" s="119"/>
      <c r="ESN43" s="119"/>
      <c r="ESO43" s="119"/>
      <c r="ESP43" s="119"/>
      <c r="ESQ43" s="119"/>
      <c r="ESR43" s="119"/>
      <c r="ESS43" s="119"/>
      <c r="EST43" s="119"/>
      <c r="ESU43" s="119"/>
      <c r="ESV43" s="119"/>
      <c r="ESW43" s="119"/>
      <c r="ESX43" s="119"/>
      <c r="ESY43" s="119"/>
      <c r="ESZ43" s="119"/>
      <c r="ETA43" s="119"/>
      <c r="ETB43" s="119"/>
      <c r="ETC43" s="119"/>
      <c r="ETD43" s="119"/>
      <c r="ETE43" s="119"/>
      <c r="ETF43" s="119"/>
      <c r="ETG43" s="119"/>
      <c r="ETH43" s="119"/>
      <c r="ETI43" s="119"/>
      <c r="ETJ43" s="119"/>
      <c r="ETK43" s="119"/>
      <c r="ETL43" s="119"/>
      <c r="ETM43" s="119"/>
      <c r="ETN43" s="119"/>
      <c r="ETO43" s="119"/>
      <c r="ETP43" s="119"/>
      <c r="ETQ43" s="119"/>
      <c r="ETR43" s="119"/>
      <c r="ETS43" s="119"/>
      <c r="ETT43" s="119"/>
      <c r="ETU43" s="119"/>
      <c r="ETV43" s="119"/>
      <c r="ETW43" s="119"/>
      <c r="ETX43" s="119"/>
      <c r="ETY43" s="119"/>
      <c r="ETZ43" s="119"/>
      <c r="EUA43" s="119"/>
      <c r="EUB43" s="119"/>
      <c r="EUC43" s="119"/>
      <c r="EUD43" s="119"/>
      <c r="EUE43" s="119"/>
      <c r="EUF43" s="119"/>
      <c r="EUG43" s="119"/>
      <c r="EUH43" s="119"/>
      <c r="EUI43" s="119"/>
      <c r="EUJ43" s="119"/>
      <c r="EUK43" s="119"/>
      <c r="EUL43" s="119"/>
      <c r="EUM43" s="119"/>
      <c r="EUN43" s="119"/>
      <c r="EUO43" s="119"/>
      <c r="EUP43" s="119"/>
      <c r="EUQ43" s="119"/>
      <c r="EUR43" s="119"/>
      <c r="EUS43" s="119"/>
      <c r="EUT43" s="119"/>
      <c r="EUU43" s="119"/>
      <c r="EUV43" s="119"/>
      <c r="EUW43" s="119"/>
      <c r="EUX43" s="119"/>
      <c r="EUY43" s="119"/>
      <c r="EUZ43" s="119"/>
      <c r="EVA43" s="119"/>
      <c r="EVB43" s="119"/>
      <c r="EVC43" s="119"/>
      <c r="EVD43" s="119"/>
      <c r="EVE43" s="119"/>
      <c r="EVF43" s="119"/>
      <c r="EVG43" s="119"/>
      <c r="EVH43" s="119"/>
      <c r="EVI43" s="119"/>
      <c r="EVJ43" s="119"/>
      <c r="EVK43" s="119"/>
      <c r="EVL43" s="119"/>
      <c r="EVM43" s="119"/>
      <c r="EVN43" s="119"/>
      <c r="EVO43" s="119"/>
      <c r="EVP43" s="119"/>
      <c r="EVQ43" s="119"/>
      <c r="EVR43" s="119"/>
      <c r="EVS43" s="119"/>
      <c r="EVT43" s="119"/>
      <c r="EVU43" s="119"/>
      <c r="EVV43" s="119"/>
      <c r="EVW43" s="119"/>
      <c r="EVX43" s="119"/>
      <c r="EVY43" s="119"/>
      <c r="EVZ43" s="119"/>
      <c r="EWA43" s="119"/>
      <c r="EWB43" s="119"/>
      <c r="EWC43" s="119"/>
      <c r="EWD43" s="119"/>
      <c r="EWE43" s="119"/>
      <c r="EWF43" s="119"/>
      <c r="EWG43" s="119"/>
      <c r="EWH43" s="119"/>
      <c r="EWI43" s="119"/>
      <c r="EWJ43" s="119"/>
      <c r="EWK43" s="119"/>
      <c r="EWL43" s="119"/>
      <c r="EWM43" s="119"/>
      <c r="EWN43" s="119"/>
      <c r="EWO43" s="119"/>
      <c r="EWP43" s="119"/>
      <c r="EWQ43" s="119"/>
      <c r="EWR43" s="119"/>
      <c r="EWS43" s="119"/>
      <c r="EWT43" s="119"/>
      <c r="EWU43" s="119"/>
      <c r="EWV43" s="119"/>
      <c r="EWW43" s="119"/>
      <c r="EWX43" s="119"/>
      <c r="EWY43" s="119"/>
      <c r="EWZ43" s="119"/>
      <c r="EXA43" s="119"/>
      <c r="EXB43" s="119"/>
      <c r="EXC43" s="119"/>
      <c r="EXD43" s="119"/>
      <c r="EXE43" s="119"/>
      <c r="EXF43" s="119"/>
      <c r="EXG43" s="119"/>
      <c r="EXH43" s="119"/>
      <c r="EXI43" s="119"/>
      <c r="EXJ43" s="119"/>
      <c r="EXK43" s="119"/>
      <c r="EXL43" s="119"/>
      <c r="EXM43" s="119"/>
      <c r="EXN43" s="119"/>
      <c r="EXO43" s="119"/>
      <c r="EXP43" s="119"/>
      <c r="EXQ43" s="119"/>
      <c r="EXR43" s="119"/>
      <c r="EXS43" s="119"/>
      <c r="EXT43" s="119"/>
      <c r="EXU43" s="119"/>
      <c r="EXV43" s="119"/>
      <c r="EXW43" s="119"/>
      <c r="EXX43" s="119"/>
      <c r="EXY43" s="119"/>
      <c r="EXZ43" s="119"/>
      <c r="EYA43" s="119"/>
      <c r="EYB43" s="119"/>
      <c r="EYC43" s="119"/>
      <c r="EYD43" s="119"/>
      <c r="EYE43" s="119"/>
      <c r="EYF43" s="119"/>
      <c r="EYG43" s="119"/>
      <c r="EYH43" s="119"/>
      <c r="EYI43" s="119"/>
      <c r="EYJ43" s="119"/>
      <c r="EYK43" s="119"/>
      <c r="EYL43" s="119"/>
      <c r="EYM43" s="119"/>
      <c r="EYN43" s="119"/>
      <c r="EYO43" s="119"/>
      <c r="EYP43" s="119"/>
      <c r="EYQ43" s="119"/>
      <c r="EYR43" s="119"/>
      <c r="EYS43" s="119"/>
      <c r="EYT43" s="119"/>
      <c r="EYU43" s="119"/>
      <c r="EYV43" s="119"/>
      <c r="EYW43" s="119"/>
      <c r="EYX43" s="119"/>
      <c r="EYY43" s="119"/>
      <c r="EYZ43" s="119"/>
      <c r="EZA43" s="119"/>
      <c r="EZB43" s="119"/>
      <c r="EZC43" s="119"/>
      <c r="EZD43" s="119"/>
      <c r="EZE43" s="119"/>
      <c r="EZF43" s="119"/>
      <c r="EZG43" s="119"/>
      <c r="EZH43" s="119"/>
      <c r="EZI43" s="119"/>
      <c r="EZJ43" s="119"/>
      <c r="EZK43" s="119"/>
      <c r="EZL43" s="119"/>
      <c r="EZM43" s="119"/>
      <c r="EZN43" s="119"/>
      <c r="EZO43" s="119"/>
      <c r="EZP43" s="119"/>
      <c r="EZQ43" s="119"/>
      <c r="EZR43" s="119"/>
      <c r="EZS43" s="119"/>
      <c r="EZT43" s="119"/>
      <c r="EZU43" s="119"/>
      <c r="EZV43" s="119"/>
      <c r="EZW43" s="119"/>
      <c r="EZX43" s="119"/>
      <c r="EZY43" s="119"/>
      <c r="EZZ43" s="119"/>
      <c r="FAA43" s="119"/>
      <c r="FAB43" s="119"/>
      <c r="FAC43" s="119"/>
      <c r="FAD43" s="119"/>
      <c r="FAE43" s="119"/>
      <c r="FAF43" s="119"/>
      <c r="FAG43" s="119"/>
      <c r="FAH43" s="119"/>
      <c r="FAI43" s="119"/>
      <c r="FAJ43" s="119"/>
      <c r="FAK43" s="119"/>
      <c r="FAL43" s="119"/>
      <c r="FAM43" s="119"/>
      <c r="FAN43" s="119"/>
      <c r="FAO43" s="119"/>
      <c r="FAP43" s="119"/>
      <c r="FAQ43" s="119"/>
      <c r="FAR43" s="119"/>
      <c r="FAS43" s="119"/>
      <c r="FAT43" s="119"/>
      <c r="FAU43" s="119"/>
      <c r="FAV43" s="119"/>
      <c r="FAW43" s="119"/>
      <c r="FAX43" s="119"/>
      <c r="FAY43" s="119"/>
      <c r="FAZ43" s="119"/>
      <c r="FBA43" s="119"/>
      <c r="FBB43" s="119"/>
      <c r="FBC43" s="119"/>
      <c r="FBD43" s="119"/>
      <c r="FBE43" s="119"/>
      <c r="FBF43" s="119"/>
      <c r="FBG43" s="119"/>
      <c r="FBH43" s="119"/>
      <c r="FBI43" s="119"/>
      <c r="FBJ43" s="119"/>
      <c r="FBK43" s="119"/>
      <c r="FBL43" s="119"/>
      <c r="FBM43" s="119"/>
      <c r="FBN43" s="119"/>
      <c r="FBO43" s="119"/>
      <c r="FBP43" s="119"/>
      <c r="FBQ43" s="119"/>
      <c r="FBR43" s="119"/>
      <c r="FBS43" s="119"/>
      <c r="FBT43" s="119"/>
      <c r="FBU43" s="119"/>
      <c r="FBV43" s="119"/>
      <c r="FBW43" s="119"/>
      <c r="FBX43" s="119"/>
      <c r="FBY43" s="119"/>
      <c r="FBZ43" s="119"/>
      <c r="FCA43" s="119"/>
      <c r="FCB43" s="119"/>
      <c r="FCC43" s="119"/>
      <c r="FCD43" s="119"/>
      <c r="FCE43" s="119"/>
      <c r="FCF43" s="119"/>
      <c r="FCG43" s="119"/>
      <c r="FCH43" s="119"/>
      <c r="FCI43" s="119"/>
      <c r="FCJ43" s="119"/>
      <c r="FCK43" s="119"/>
      <c r="FCL43" s="119"/>
      <c r="FCM43" s="119"/>
      <c r="FCN43" s="119"/>
      <c r="FCO43" s="119"/>
      <c r="FCP43" s="119"/>
      <c r="FCQ43" s="119"/>
      <c r="FCR43" s="119"/>
      <c r="FCS43" s="119"/>
      <c r="FCT43" s="119"/>
      <c r="FCU43" s="119"/>
      <c r="FCV43" s="119"/>
      <c r="FCW43" s="119"/>
      <c r="FCX43" s="119"/>
      <c r="FCY43" s="119"/>
      <c r="FCZ43" s="119"/>
      <c r="FDA43" s="119"/>
      <c r="FDB43" s="119"/>
      <c r="FDC43" s="119"/>
      <c r="FDD43" s="119"/>
      <c r="FDE43" s="119"/>
      <c r="FDF43" s="119"/>
      <c r="FDG43" s="119"/>
      <c r="FDH43" s="119"/>
      <c r="FDI43" s="119"/>
      <c r="FDJ43" s="119"/>
      <c r="FDK43" s="119"/>
      <c r="FDL43" s="119"/>
      <c r="FDM43" s="119"/>
      <c r="FDN43" s="119"/>
      <c r="FDO43" s="119"/>
      <c r="FDP43" s="119"/>
      <c r="FDQ43" s="119"/>
      <c r="FDR43" s="119"/>
      <c r="FDS43" s="119"/>
      <c r="FDT43" s="119"/>
      <c r="FDU43" s="119"/>
      <c r="FDV43" s="119"/>
      <c r="FDW43" s="119"/>
      <c r="FDX43" s="119"/>
      <c r="FDY43" s="119"/>
      <c r="FDZ43" s="119"/>
      <c r="FEA43" s="119"/>
      <c r="FEB43" s="119"/>
      <c r="FEC43" s="119"/>
      <c r="FED43" s="119"/>
      <c r="FEE43" s="119"/>
      <c r="FEF43" s="119"/>
      <c r="FEG43" s="119"/>
      <c r="FEH43" s="119"/>
      <c r="FEI43" s="119"/>
      <c r="FEJ43" s="119"/>
      <c r="FEK43" s="119"/>
      <c r="FEL43" s="119"/>
      <c r="FEM43" s="119"/>
      <c r="FEN43" s="119"/>
      <c r="FEO43" s="119"/>
      <c r="FEP43" s="119"/>
      <c r="FEQ43" s="119"/>
      <c r="FER43" s="119"/>
      <c r="FES43" s="119"/>
      <c r="FET43" s="119"/>
      <c r="FEU43" s="119"/>
      <c r="FEV43" s="119"/>
      <c r="FEW43" s="119"/>
      <c r="FEX43" s="119"/>
      <c r="FEY43" s="119"/>
      <c r="FEZ43" s="119"/>
      <c r="FFA43" s="119"/>
      <c r="FFB43" s="119"/>
      <c r="FFC43" s="119"/>
      <c r="FFD43" s="119"/>
      <c r="FFE43" s="119"/>
      <c r="FFF43" s="119"/>
      <c r="FFG43" s="119"/>
      <c r="FFH43" s="119"/>
      <c r="FFI43" s="119"/>
      <c r="FFJ43" s="119"/>
      <c r="FFK43" s="119"/>
      <c r="FFL43" s="119"/>
      <c r="FFM43" s="119"/>
      <c r="FFN43" s="119"/>
      <c r="FFO43" s="119"/>
      <c r="FFP43" s="119"/>
      <c r="FFQ43" s="119"/>
      <c r="FFR43" s="119"/>
      <c r="FFS43" s="119"/>
      <c r="FFT43" s="119"/>
      <c r="FFU43" s="119"/>
      <c r="FFV43" s="119"/>
      <c r="FFW43" s="119"/>
      <c r="FFX43" s="119"/>
      <c r="FFY43" s="119"/>
      <c r="FFZ43" s="119"/>
      <c r="FGA43" s="119"/>
      <c r="FGB43" s="119"/>
      <c r="FGC43" s="119"/>
      <c r="FGD43" s="119"/>
      <c r="FGE43" s="119"/>
      <c r="FGF43" s="119"/>
      <c r="FGG43" s="119"/>
      <c r="FGH43" s="119"/>
      <c r="FGI43" s="119"/>
      <c r="FGJ43" s="119"/>
      <c r="FGK43" s="119"/>
      <c r="FGL43" s="119"/>
      <c r="FGM43" s="119"/>
      <c r="FGN43" s="119"/>
      <c r="FGO43" s="119"/>
      <c r="FGP43" s="119"/>
      <c r="FGQ43" s="119"/>
      <c r="FGR43" s="119"/>
      <c r="FGS43" s="119"/>
      <c r="FGT43" s="119"/>
      <c r="FGU43" s="119"/>
      <c r="FGV43" s="119"/>
      <c r="FGW43" s="119"/>
      <c r="FGX43" s="119"/>
      <c r="FGY43" s="119"/>
      <c r="FGZ43" s="119"/>
      <c r="FHA43" s="119"/>
      <c r="FHB43" s="119"/>
      <c r="FHC43" s="119"/>
      <c r="FHD43" s="119"/>
      <c r="FHE43" s="119"/>
      <c r="FHF43" s="119"/>
      <c r="FHG43" s="119"/>
      <c r="FHH43" s="119"/>
      <c r="FHI43" s="119"/>
      <c r="FHJ43" s="119"/>
      <c r="FHK43" s="119"/>
      <c r="FHL43" s="119"/>
      <c r="FHM43" s="119"/>
      <c r="FHN43" s="119"/>
      <c r="FHO43" s="119"/>
      <c r="FHP43" s="119"/>
      <c r="FHQ43" s="119"/>
      <c r="FHR43" s="119"/>
      <c r="FHS43" s="119"/>
      <c r="FHT43" s="119"/>
      <c r="FHU43" s="119"/>
      <c r="FHV43" s="119"/>
      <c r="FHW43" s="119"/>
      <c r="FHX43" s="119"/>
      <c r="FHY43" s="119"/>
      <c r="FHZ43" s="119"/>
      <c r="FIA43" s="119"/>
      <c r="FIB43" s="119"/>
      <c r="FIC43" s="119"/>
      <c r="FID43" s="119"/>
      <c r="FIE43" s="119"/>
      <c r="FIF43" s="119"/>
      <c r="FIG43" s="119"/>
      <c r="FIH43" s="119"/>
      <c r="FII43" s="119"/>
      <c r="FIJ43" s="119"/>
      <c r="FIK43" s="119"/>
      <c r="FIL43" s="119"/>
      <c r="FIM43" s="119"/>
      <c r="FIN43" s="119"/>
      <c r="FIO43" s="119"/>
      <c r="FIP43" s="119"/>
      <c r="FIQ43" s="119"/>
      <c r="FIR43" s="119"/>
      <c r="FIS43" s="119"/>
      <c r="FIT43" s="119"/>
      <c r="FIU43" s="119"/>
      <c r="FIV43" s="119"/>
      <c r="FIW43" s="119"/>
      <c r="FIX43" s="119"/>
      <c r="FIY43" s="119"/>
      <c r="FIZ43" s="119"/>
      <c r="FJA43" s="119"/>
      <c r="FJB43" s="119"/>
      <c r="FJC43" s="119"/>
      <c r="FJD43" s="119"/>
      <c r="FJE43" s="119"/>
      <c r="FJF43" s="119"/>
      <c r="FJG43" s="119"/>
      <c r="FJH43" s="119"/>
      <c r="FJI43" s="119"/>
      <c r="FJJ43" s="119"/>
      <c r="FJK43" s="119"/>
      <c r="FJL43" s="119"/>
      <c r="FJM43" s="119"/>
      <c r="FJN43" s="119"/>
      <c r="FJO43" s="119"/>
      <c r="FJP43" s="119"/>
      <c r="FJQ43" s="119"/>
      <c r="FJR43" s="119"/>
      <c r="FJS43" s="119"/>
      <c r="FJT43" s="119"/>
      <c r="FJU43" s="119"/>
      <c r="FJV43" s="119"/>
      <c r="FJW43" s="119"/>
      <c r="FJX43" s="119"/>
      <c r="FJY43" s="119"/>
      <c r="FJZ43" s="119"/>
      <c r="FKA43" s="119"/>
      <c r="FKB43" s="119"/>
      <c r="FKC43" s="119"/>
      <c r="FKD43" s="119"/>
      <c r="FKE43" s="119"/>
      <c r="FKF43" s="119"/>
      <c r="FKG43" s="119"/>
      <c r="FKH43" s="119"/>
      <c r="FKI43" s="119"/>
      <c r="FKJ43" s="119"/>
      <c r="FKK43" s="119"/>
      <c r="FKL43" s="119"/>
      <c r="FKM43" s="119"/>
      <c r="FKN43" s="119"/>
      <c r="FKO43" s="119"/>
      <c r="FKP43" s="119"/>
      <c r="FKQ43" s="119"/>
      <c r="FKR43" s="119"/>
      <c r="FKS43" s="119"/>
      <c r="FKT43" s="119"/>
      <c r="FKU43" s="119"/>
      <c r="FKV43" s="119"/>
      <c r="FKW43" s="119"/>
      <c r="FKX43" s="119"/>
      <c r="FKY43" s="119"/>
      <c r="FKZ43" s="119"/>
      <c r="FLA43" s="119"/>
      <c r="FLB43" s="119"/>
      <c r="FLC43" s="119"/>
      <c r="FLD43" s="119"/>
      <c r="FLE43" s="119"/>
      <c r="FLF43" s="119"/>
      <c r="FLG43" s="119"/>
      <c r="FLH43" s="119"/>
      <c r="FLI43" s="119"/>
      <c r="FLJ43" s="119"/>
      <c r="FLK43" s="119"/>
      <c r="FLL43" s="119"/>
      <c r="FLM43" s="119"/>
      <c r="FLN43" s="119"/>
      <c r="FLO43" s="119"/>
      <c r="FLP43" s="119"/>
      <c r="FLQ43" s="119"/>
      <c r="FLR43" s="119"/>
      <c r="FLS43" s="119"/>
      <c r="FLT43" s="119"/>
      <c r="FLU43" s="119"/>
      <c r="FLV43" s="119"/>
      <c r="FLW43" s="119"/>
      <c r="FLX43" s="119"/>
      <c r="FLY43" s="119"/>
      <c r="FLZ43" s="119"/>
      <c r="FMA43" s="119"/>
      <c r="FMB43" s="119"/>
      <c r="FMC43" s="119"/>
      <c r="FMD43" s="119"/>
      <c r="FME43" s="119"/>
      <c r="FMF43" s="119"/>
      <c r="FMG43" s="119"/>
      <c r="FMH43" s="119"/>
      <c r="FMI43" s="119"/>
      <c r="FMJ43" s="119"/>
      <c r="FMK43" s="119"/>
      <c r="FML43" s="119"/>
      <c r="FMM43" s="119"/>
      <c r="FMN43" s="119"/>
      <c r="FMO43" s="119"/>
      <c r="FMP43" s="119"/>
      <c r="FMQ43" s="119"/>
      <c r="FMR43" s="119"/>
      <c r="FMS43" s="119"/>
      <c r="FMT43" s="119"/>
      <c r="FMU43" s="119"/>
      <c r="FMV43" s="119"/>
      <c r="FMW43" s="119"/>
      <c r="FMX43" s="119"/>
      <c r="FMY43" s="119"/>
      <c r="FMZ43" s="119"/>
      <c r="FNA43" s="119"/>
      <c r="FNB43" s="119"/>
      <c r="FNC43" s="119"/>
      <c r="FND43" s="119"/>
      <c r="FNE43" s="119"/>
      <c r="FNF43" s="119"/>
      <c r="FNG43" s="119"/>
      <c r="FNH43" s="119"/>
      <c r="FNI43" s="119"/>
      <c r="FNJ43" s="119"/>
      <c r="FNK43" s="119"/>
      <c r="FNL43" s="119"/>
      <c r="FNM43" s="119"/>
      <c r="FNN43" s="119"/>
      <c r="FNO43" s="119"/>
      <c r="FNP43" s="119"/>
      <c r="FNQ43" s="119"/>
      <c r="FNR43" s="119"/>
      <c r="FNS43" s="119"/>
      <c r="FNT43" s="119"/>
      <c r="FNU43" s="119"/>
      <c r="FNV43" s="119"/>
      <c r="FNW43" s="119"/>
      <c r="FNX43" s="119"/>
      <c r="FNY43" s="119"/>
      <c r="FNZ43" s="119"/>
      <c r="FOA43" s="119"/>
      <c r="FOB43" s="119"/>
      <c r="FOC43" s="119"/>
      <c r="FOD43" s="119"/>
      <c r="FOE43" s="119"/>
      <c r="FOF43" s="119"/>
      <c r="FOG43" s="119"/>
      <c r="FOH43" s="119"/>
      <c r="FOI43" s="119"/>
      <c r="FOJ43" s="119"/>
      <c r="FOK43" s="119"/>
      <c r="FOL43" s="119"/>
      <c r="FOM43" s="119"/>
      <c r="FON43" s="119"/>
      <c r="FOO43" s="119"/>
      <c r="FOP43" s="119"/>
      <c r="FOQ43" s="119"/>
      <c r="FOR43" s="119"/>
      <c r="FOS43" s="119"/>
      <c r="FOT43" s="119"/>
      <c r="FOU43" s="119"/>
      <c r="FOV43" s="119"/>
      <c r="FOW43" s="119"/>
      <c r="FOX43" s="119"/>
      <c r="FOY43" s="119"/>
      <c r="FOZ43" s="119"/>
      <c r="FPA43" s="119"/>
      <c r="FPB43" s="119"/>
      <c r="FPC43" s="119"/>
      <c r="FPD43" s="119"/>
      <c r="FPE43" s="119"/>
      <c r="FPF43" s="119"/>
      <c r="FPG43" s="119"/>
      <c r="FPH43" s="119"/>
      <c r="FPI43" s="119"/>
      <c r="FPJ43" s="119"/>
      <c r="FPK43" s="119"/>
      <c r="FPL43" s="119"/>
      <c r="FPM43" s="119"/>
      <c r="FPN43" s="119"/>
      <c r="FPO43" s="119"/>
      <c r="FPP43" s="119"/>
      <c r="FPQ43" s="119"/>
      <c r="FPR43" s="119"/>
      <c r="FPS43" s="119"/>
      <c r="FPT43" s="119"/>
      <c r="FPU43" s="119"/>
      <c r="FPV43" s="119"/>
      <c r="FPW43" s="119"/>
      <c r="FPX43" s="119"/>
      <c r="FPY43" s="119"/>
      <c r="FPZ43" s="119"/>
      <c r="FQA43" s="119"/>
      <c r="FQB43" s="119"/>
      <c r="FQC43" s="119"/>
      <c r="FQD43" s="119"/>
      <c r="FQE43" s="119"/>
      <c r="FQF43" s="119"/>
      <c r="FQG43" s="119"/>
      <c r="FQH43" s="119"/>
      <c r="FQI43" s="119"/>
      <c r="FQJ43" s="119"/>
      <c r="FQK43" s="119"/>
      <c r="FQL43" s="119"/>
      <c r="FQM43" s="119"/>
      <c r="FQN43" s="119"/>
      <c r="FQO43" s="119"/>
      <c r="FQP43" s="119"/>
      <c r="FQQ43" s="119"/>
      <c r="FQR43" s="119"/>
      <c r="FQS43" s="119"/>
      <c r="FQT43" s="119"/>
      <c r="FQU43" s="119"/>
      <c r="FQV43" s="119"/>
      <c r="FQW43" s="119"/>
      <c r="FQX43" s="119"/>
      <c r="FQY43" s="119"/>
      <c r="FQZ43" s="119"/>
      <c r="FRA43" s="119"/>
      <c r="FRB43" s="119"/>
      <c r="FRC43" s="119"/>
      <c r="FRD43" s="119"/>
      <c r="FRE43" s="119"/>
      <c r="FRF43" s="119"/>
      <c r="FRG43" s="119"/>
      <c r="FRH43" s="119"/>
      <c r="FRI43" s="119"/>
      <c r="FRJ43" s="119"/>
      <c r="FRK43" s="119"/>
      <c r="FRL43" s="119"/>
      <c r="FRM43" s="119"/>
      <c r="FRN43" s="119"/>
      <c r="FRO43" s="119"/>
      <c r="FRP43" s="119"/>
      <c r="FRQ43" s="119"/>
      <c r="FRR43" s="119"/>
      <c r="FRS43" s="119"/>
      <c r="FRT43" s="119"/>
      <c r="FRU43" s="119"/>
      <c r="FRV43" s="119"/>
      <c r="FRW43" s="119"/>
      <c r="FRX43" s="119"/>
      <c r="FRY43" s="119"/>
      <c r="FRZ43" s="119"/>
      <c r="FSA43" s="119"/>
      <c r="FSB43" s="119"/>
      <c r="FSC43" s="119"/>
      <c r="FSD43" s="119"/>
      <c r="FSE43" s="119"/>
      <c r="FSF43" s="119"/>
      <c r="FSG43" s="119"/>
      <c r="FSH43" s="119"/>
      <c r="FSI43" s="119"/>
      <c r="FSJ43" s="119"/>
      <c r="FSK43" s="119"/>
      <c r="FSL43" s="119"/>
      <c r="FSM43" s="119"/>
      <c r="FSN43" s="119"/>
      <c r="FSO43" s="119"/>
      <c r="FSP43" s="119"/>
      <c r="FSQ43" s="119"/>
      <c r="FSR43" s="119"/>
      <c r="FSS43" s="119"/>
      <c r="FST43" s="119"/>
      <c r="FSU43" s="119"/>
      <c r="FSV43" s="119"/>
      <c r="FSW43" s="119"/>
      <c r="FSX43" s="119"/>
      <c r="FSY43" s="119"/>
      <c r="FSZ43" s="119"/>
      <c r="FTA43" s="119"/>
      <c r="FTB43" s="119"/>
      <c r="FTC43" s="119"/>
      <c r="FTD43" s="119"/>
      <c r="FTE43" s="119"/>
      <c r="FTF43" s="119"/>
      <c r="FTG43" s="119"/>
      <c r="FTH43" s="119"/>
      <c r="FTI43" s="119"/>
      <c r="FTJ43" s="119"/>
      <c r="FTK43" s="119"/>
      <c r="FTL43" s="119"/>
      <c r="FTM43" s="119"/>
      <c r="FTN43" s="119"/>
      <c r="FTO43" s="119"/>
      <c r="FTP43" s="119"/>
      <c r="FTQ43" s="119"/>
      <c r="FTR43" s="119"/>
      <c r="FTS43" s="119"/>
      <c r="FTT43" s="119"/>
      <c r="FTU43" s="119"/>
      <c r="FTV43" s="119"/>
      <c r="FTW43" s="119"/>
      <c r="FTX43" s="119"/>
      <c r="FTY43" s="119"/>
      <c r="FTZ43" s="119"/>
      <c r="FUA43" s="119"/>
      <c r="FUB43" s="119"/>
      <c r="FUC43" s="119"/>
      <c r="FUD43" s="119"/>
      <c r="FUE43" s="119"/>
      <c r="FUF43" s="119"/>
      <c r="FUG43" s="119"/>
      <c r="FUH43" s="119"/>
      <c r="FUI43" s="119"/>
      <c r="FUJ43" s="119"/>
      <c r="FUK43" s="119"/>
      <c r="FUL43" s="119"/>
      <c r="FUM43" s="119"/>
      <c r="FUN43" s="119"/>
      <c r="FUO43" s="119"/>
      <c r="FUP43" s="119"/>
      <c r="FUQ43" s="119"/>
      <c r="FUR43" s="119"/>
      <c r="FUS43" s="119"/>
      <c r="FUT43" s="119"/>
      <c r="FUU43" s="119"/>
      <c r="FUV43" s="119"/>
      <c r="FUW43" s="119"/>
      <c r="FUX43" s="119"/>
      <c r="FUY43" s="119"/>
      <c r="FUZ43" s="119"/>
      <c r="FVA43" s="119"/>
      <c r="FVB43" s="119"/>
      <c r="FVC43" s="119"/>
      <c r="FVD43" s="119"/>
      <c r="FVE43" s="119"/>
      <c r="FVF43" s="119"/>
      <c r="FVG43" s="119"/>
      <c r="FVH43" s="119"/>
      <c r="FVI43" s="119"/>
      <c r="FVJ43" s="119"/>
      <c r="FVK43" s="119"/>
      <c r="FVL43" s="119"/>
      <c r="FVM43" s="119"/>
      <c r="FVN43" s="119"/>
      <c r="FVO43" s="119"/>
      <c r="FVP43" s="119"/>
      <c r="FVQ43" s="119"/>
      <c r="FVR43" s="119"/>
      <c r="FVS43" s="119"/>
      <c r="FVT43" s="119"/>
      <c r="FVU43" s="119"/>
      <c r="FVV43" s="119"/>
      <c r="FVW43" s="119"/>
      <c r="FVX43" s="119"/>
      <c r="FVY43" s="119"/>
      <c r="FVZ43" s="119"/>
      <c r="FWA43" s="119"/>
      <c r="FWB43" s="119"/>
      <c r="FWC43" s="119"/>
      <c r="FWD43" s="119"/>
      <c r="FWE43" s="119"/>
      <c r="FWF43" s="119"/>
      <c r="FWG43" s="119"/>
      <c r="FWH43" s="119"/>
      <c r="FWI43" s="119"/>
      <c r="FWJ43" s="119"/>
      <c r="FWK43" s="119"/>
      <c r="FWL43" s="119"/>
      <c r="FWM43" s="119"/>
      <c r="FWN43" s="119"/>
      <c r="FWO43" s="119"/>
      <c r="FWP43" s="119"/>
      <c r="FWQ43" s="119"/>
      <c r="FWR43" s="119"/>
      <c r="FWS43" s="119"/>
      <c r="FWT43" s="119"/>
      <c r="FWU43" s="119"/>
      <c r="FWV43" s="119"/>
      <c r="FWW43" s="119"/>
      <c r="FWX43" s="119"/>
      <c r="FWY43" s="119"/>
      <c r="FWZ43" s="119"/>
      <c r="FXA43" s="119"/>
      <c r="FXB43" s="119"/>
      <c r="FXC43" s="119"/>
      <c r="FXD43" s="119"/>
      <c r="FXE43" s="119"/>
      <c r="FXF43" s="119"/>
      <c r="FXG43" s="119"/>
      <c r="FXH43" s="119"/>
      <c r="FXI43" s="119"/>
      <c r="FXJ43" s="119"/>
      <c r="FXK43" s="119"/>
      <c r="FXL43" s="119"/>
      <c r="FXM43" s="119"/>
      <c r="FXN43" s="119"/>
      <c r="FXO43" s="119"/>
      <c r="FXP43" s="119"/>
      <c r="FXQ43" s="119"/>
      <c r="FXR43" s="119"/>
      <c r="FXS43" s="119"/>
      <c r="FXT43" s="119"/>
      <c r="FXU43" s="119"/>
      <c r="FXV43" s="119"/>
      <c r="FXW43" s="119"/>
      <c r="FXX43" s="119"/>
      <c r="FXY43" s="119"/>
      <c r="FXZ43" s="119"/>
      <c r="FYA43" s="119"/>
      <c r="FYB43" s="119"/>
      <c r="FYC43" s="119"/>
      <c r="FYD43" s="119"/>
      <c r="FYE43" s="119"/>
      <c r="FYF43" s="119"/>
      <c r="FYG43" s="119"/>
      <c r="FYH43" s="119"/>
      <c r="FYI43" s="119"/>
      <c r="FYJ43" s="119"/>
      <c r="FYK43" s="119"/>
      <c r="FYL43" s="119"/>
      <c r="FYM43" s="119"/>
      <c r="FYN43" s="119"/>
      <c r="FYO43" s="119"/>
      <c r="FYP43" s="119"/>
      <c r="FYQ43" s="119"/>
      <c r="FYR43" s="119"/>
      <c r="FYS43" s="119"/>
      <c r="FYT43" s="119"/>
      <c r="FYU43" s="119"/>
      <c r="FYV43" s="119"/>
      <c r="FYW43" s="119"/>
      <c r="FYX43" s="119"/>
      <c r="FYY43" s="119"/>
      <c r="FYZ43" s="119"/>
      <c r="FZA43" s="119"/>
      <c r="FZB43" s="119"/>
      <c r="FZC43" s="119"/>
      <c r="FZD43" s="119"/>
      <c r="FZE43" s="119"/>
      <c r="FZF43" s="119"/>
      <c r="FZG43" s="119"/>
      <c r="FZH43" s="119"/>
      <c r="FZI43" s="119"/>
      <c r="FZJ43" s="119"/>
      <c r="FZK43" s="119"/>
      <c r="FZL43" s="119"/>
      <c r="FZM43" s="119"/>
      <c r="FZN43" s="119"/>
      <c r="FZO43" s="119"/>
      <c r="FZP43" s="119"/>
      <c r="FZQ43" s="119"/>
      <c r="FZR43" s="119"/>
      <c r="FZS43" s="119"/>
      <c r="FZT43" s="119"/>
      <c r="FZU43" s="119"/>
      <c r="FZV43" s="119"/>
      <c r="FZW43" s="119"/>
      <c r="FZX43" s="119"/>
      <c r="FZY43" s="119"/>
      <c r="FZZ43" s="119"/>
      <c r="GAA43" s="119"/>
      <c r="GAB43" s="119"/>
      <c r="GAC43" s="119"/>
      <c r="GAD43" s="119"/>
      <c r="GAE43" s="119"/>
      <c r="GAF43" s="119"/>
      <c r="GAG43" s="119"/>
      <c r="GAH43" s="119"/>
      <c r="GAI43" s="119"/>
      <c r="GAJ43" s="119"/>
      <c r="GAK43" s="119"/>
      <c r="GAL43" s="119"/>
      <c r="GAM43" s="119"/>
      <c r="GAN43" s="119"/>
      <c r="GAO43" s="119"/>
      <c r="GAP43" s="119"/>
      <c r="GAQ43" s="119"/>
      <c r="GAR43" s="119"/>
      <c r="GAS43" s="119"/>
      <c r="GAT43" s="119"/>
      <c r="GAU43" s="119"/>
      <c r="GAV43" s="119"/>
      <c r="GAW43" s="119"/>
      <c r="GAX43" s="119"/>
      <c r="GAY43" s="119"/>
      <c r="GAZ43" s="119"/>
      <c r="GBA43" s="119"/>
      <c r="GBB43" s="119"/>
      <c r="GBC43" s="119"/>
      <c r="GBD43" s="119"/>
      <c r="GBE43" s="119"/>
      <c r="GBF43" s="119"/>
      <c r="GBG43" s="119"/>
      <c r="GBH43" s="119"/>
      <c r="GBI43" s="119"/>
      <c r="GBJ43" s="119"/>
      <c r="GBK43" s="119"/>
      <c r="GBL43" s="119"/>
      <c r="GBM43" s="119"/>
      <c r="GBN43" s="119"/>
      <c r="GBO43" s="119"/>
      <c r="GBP43" s="119"/>
      <c r="GBQ43" s="119"/>
      <c r="GBR43" s="119"/>
      <c r="GBS43" s="119"/>
      <c r="GBT43" s="119"/>
      <c r="GBU43" s="119"/>
      <c r="GBV43" s="119"/>
      <c r="GBW43" s="119"/>
      <c r="GBX43" s="119"/>
      <c r="GBY43" s="119"/>
      <c r="GBZ43" s="119"/>
      <c r="GCA43" s="119"/>
      <c r="GCB43" s="119"/>
      <c r="GCC43" s="119"/>
      <c r="GCD43" s="119"/>
      <c r="GCE43" s="119"/>
      <c r="GCF43" s="119"/>
      <c r="GCG43" s="119"/>
      <c r="GCH43" s="119"/>
      <c r="GCI43" s="119"/>
      <c r="GCJ43" s="119"/>
      <c r="GCK43" s="119"/>
      <c r="GCL43" s="119"/>
      <c r="GCM43" s="119"/>
      <c r="GCN43" s="119"/>
      <c r="GCO43" s="119"/>
      <c r="GCP43" s="119"/>
      <c r="GCQ43" s="119"/>
      <c r="GCR43" s="119"/>
      <c r="GCS43" s="119"/>
      <c r="GCT43" s="119"/>
      <c r="GCU43" s="119"/>
      <c r="GCV43" s="119"/>
      <c r="GCW43" s="119"/>
      <c r="GCX43" s="119"/>
      <c r="GCY43" s="119"/>
      <c r="GCZ43" s="119"/>
      <c r="GDA43" s="119"/>
      <c r="GDB43" s="119"/>
      <c r="GDC43" s="119"/>
      <c r="GDD43" s="119"/>
      <c r="GDE43" s="119"/>
      <c r="GDF43" s="119"/>
      <c r="GDG43" s="119"/>
      <c r="GDH43" s="119"/>
      <c r="GDI43" s="119"/>
      <c r="GDJ43" s="119"/>
      <c r="GDK43" s="119"/>
      <c r="GDL43" s="119"/>
      <c r="GDM43" s="119"/>
      <c r="GDN43" s="119"/>
      <c r="GDO43" s="119"/>
      <c r="GDP43" s="119"/>
      <c r="GDQ43" s="119"/>
      <c r="GDR43" s="119"/>
      <c r="GDS43" s="119"/>
      <c r="GDT43" s="119"/>
      <c r="GDU43" s="119"/>
      <c r="GDV43" s="119"/>
      <c r="GDW43" s="119"/>
      <c r="GDX43" s="119"/>
      <c r="GDY43" s="119"/>
      <c r="GDZ43" s="119"/>
      <c r="GEA43" s="119"/>
      <c r="GEB43" s="119"/>
      <c r="GEC43" s="119"/>
      <c r="GED43" s="119"/>
      <c r="GEE43" s="119"/>
      <c r="GEF43" s="119"/>
      <c r="GEG43" s="119"/>
      <c r="GEH43" s="119"/>
      <c r="GEI43" s="119"/>
      <c r="GEJ43" s="119"/>
      <c r="GEK43" s="119"/>
      <c r="GEL43" s="119"/>
      <c r="GEM43" s="119"/>
      <c r="GEN43" s="119"/>
      <c r="GEO43" s="119"/>
      <c r="GEP43" s="119"/>
      <c r="GEQ43" s="119"/>
      <c r="GER43" s="119"/>
      <c r="GES43" s="119"/>
      <c r="GET43" s="119"/>
      <c r="GEU43" s="119"/>
      <c r="GEV43" s="119"/>
      <c r="GEW43" s="119"/>
      <c r="GEX43" s="119"/>
      <c r="GEY43" s="119"/>
      <c r="GEZ43" s="119"/>
      <c r="GFA43" s="119"/>
      <c r="GFB43" s="119"/>
      <c r="GFC43" s="119"/>
      <c r="GFD43" s="119"/>
      <c r="GFE43" s="119"/>
      <c r="GFF43" s="119"/>
      <c r="GFG43" s="119"/>
      <c r="GFH43" s="119"/>
      <c r="GFI43" s="119"/>
      <c r="GFJ43" s="119"/>
      <c r="GFK43" s="119"/>
      <c r="GFL43" s="119"/>
      <c r="GFM43" s="119"/>
      <c r="GFN43" s="119"/>
      <c r="GFO43" s="119"/>
      <c r="GFP43" s="119"/>
      <c r="GFQ43" s="119"/>
      <c r="GFR43" s="119"/>
      <c r="GFS43" s="119"/>
      <c r="GFT43" s="119"/>
      <c r="GFU43" s="119"/>
      <c r="GFV43" s="119"/>
      <c r="GFW43" s="119"/>
      <c r="GFX43" s="119"/>
      <c r="GFY43" s="119"/>
      <c r="GFZ43" s="119"/>
      <c r="GGA43" s="119"/>
      <c r="GGB43" s="119"/>
      <c r="GGC43" s="119"/>
      <c r="GGD43" s="119"/>
      <c r="GGE43" s="119"/>
      <c r="GGF43" s="119"/>
      <c r="GGG43" s="119"/>
      <c r="GGH43" s="119"/>
      <c r="GGI43" s="119"/>
      <c r="GGJ43" s="119"/>
      <c r="GGK43" s="119"/>
      <c r="GGL43" s="119"/>
      <c r="GGM43" s="119"/>
      <c r="GGN43" s="119"/>
      <c r="GGO43" s="119"/>
      <c r="GGP43" s="119"/>
      <c r="GGQ43" s="119"/>
      <c r="GGR43" s="119"/>
      <c r="GGS43" s="119"/>
      <c r="GGT43" s="119"/>
      <c r="GGU43" s="119"/>
      <c r="GGV43" s="119"/>
      <c r="GGW43" s="119"/>
      <c r="GGX43" s="119"/>
      <c r="GGY43" s="119"/>
      <c r="GGZ43" s="119"/>
      <c r="GHA43" s="119"/>
      <c r="GHB43" s="119"/>
      <c r="GHC43" s="119"/>
      <c r="GHD43" s="119"/>
      <c r="GHE43" s="119"/>
      <c r="GHF43" s="119"/>
      <c r="GHG43" s="119"/>
      <c r="GHH43" s="119"/>
      <c r="GHI43" s="119"/>
      <c r="GHJ43" s="119"/>
      <c r="GHK43" s="119"/>
      <c r="GHL43" s="119"/>
      <c r="GHM43" s="119"/>
      <c r="GHN43" s="119"/>
      <c r="GHO43" s="119"/>
      <c r="GHP43" s="119"/>
      <c r="GHQ43" s="119"/>
      <c r="GHR43" s="119"/>
      <c r="GHS43" s="119"/>
      <c r="GHT43" s="119"/>
      <c r="GHU43" s="119"/>
      <c r="GHV43" s="119"/>
      <c r="GHW43" s="119"/>
      <c r="GHX43" s="119"/>
      <c r="GHY43" s="119"/>
      <c r="GHZ43" s="119"/>
      <c r="GIA43" s="119"/>
      <c r="GIB43" s="119"/>
      <c r="GIC43" s="119"/>
      <c r="GID43" s="119"/>
      <c r="GIE43" s="119"/>
      <c r="GIF43" s="119"/>
      <c r="GIG43" s="119"/>
      <c r="GIH43" s="119"/>
      <c r="GII43" s="119"/>
      <c r="GIJ43" s="119"/>
      <c r="GIK43" s="119"/>
      <c r="GIL43" s="119"/>
      <c r="GIM43" s="119"/>
      <c r="GIN43" s="119"/>
      <c r="GIO43" s="119"/>
      <c r="GIP43" s="119"/>
      <c r="GIQ43" s="119"/>
      <c r="GIR43" s="119"/>
      <c r="GIS43" s="119"/>
      <c r="GIT43" s="119"/>
      <c r="GIU43" s="119"/>
      <c r="GIV43" s="119"/>
      <c r="GIW43" s="119"/>
      <c r="GIX43" s="119"/>
      <c r="GIY43" s="119"/>
      <c r="GIZ43" s="119"/>
      <c r="GJA43" s="119"/>
      <c r="GJB43" s="119"/>
      <c r="GJC43" s="119"/>
      <c r="GJD43" s="119"/>
      <c r="GJE43" s="119"/>
      <c r="GJF43" s="119"/>
      <c r="GJG43" s="119"/>
      <c r="GJH43" s="119"/>
      <c r="GJI43" s="119"/>
      <c r="GJJ43" s="119"/>
      <c r="GJK43" s="119"/>
      <c r="GJL43" s="119"/>
      <c r="GJM43" s="119"/>
      <c r="GJN43" s="119"/>
      <c r="GJO43" s="119"/>
      <c r="GJP43" s="119"/>
      <c r="GJQ43" s="119"/>
      <c r="GJR43" s="119"/>
      <c r="GJS43" s="119"/>
      <c r="GJT43" s="119"/>
      <c r="GJU43" s="119"/>
      <c r="GJV43" s="119"/>
      <c r="GJW43" s="119"/>
      <c r="GJX43" s="119"/>
      <c r="GJY43" s="119"/>
      <c r="GJZ43" s="119"/>
      <c r="GKA43" s="119"/>
      <c r="GKB43" s="119"/>
      <c r="GKC43" s="119"/>
      <c r="GKD43" s="119"/>
      <c r="GKE43" s="119"/>
      <c r="GKF43" s="119"/>
      <c r="GKG43" s="119"/>
      <c r="GKH43" s="119"/>
      <c r="GKI43" s="119"/>
      <c r="GKJ43" s="119"/>
      <c r="GKK43" s="119"/>
      <c r="GKL43" s="119"/>
      <c r="GKM43" s="119"/>
      <c r="GKN43" s="119"/>
      <c r="GKO43" s="119"/>
      <c r="GKP43" s="119"/>
      <c r="GKQ43" s="119"/>
      <c r="GKR43" s="119"/>
      <c r="GKS43" s="119"/>
      <c r="GKT43" s="119"/>
      <c r="GKU43" s="119"/>
      <c r="GKV43" s="119"/>
      <c r="GKW43" s="119"/>
      <c r="GKX43" s="119"/>
      <c r="GKY43" s="119"/>
      <c r="GKZ43" s="119"/>
      <c r="GLA43" s="119"/>
      <c r="GLB43" s="119"/>
      <c r="GLC43" s="119"/>
      <c r="GLD43" s="119"/>
      <c r="GLE43" s="119"/>
      <c r="GLF43" s="119"/>
      <c r="GLG43" s="119"/>
      <c r="GLH43" s="119"/>
      <c r="GLI43" s="119"/>
      <c r="GLJ43" s="119"/>
      <c r="GLK43" s="119"/>
      <c r="GLL43" s="119"/>
      <c r="GLM43" s="119"/>
      <c r="GLN43" s="119"/>
      <c r="GLO43" s="119"/>
      <c r="GLP43" s="119"/>
      <c r="GLQ43" s="119"/>
      <c r="GLR43" s="119"/>
      <c r="GLS43" s="119"/>
      <c r="GLT43" s="119"/>
      <c r="GLU43" s="119"/>
      <c r="GLV43" s="119"/>
      <c r="GLW43" s="119"/>
      <c r="GLX43" s="119"/>
      <c r="GLY43" s="119"/>
      <c r="GLZ43" s="119"/>
      <c r="GMA43" s="119"/>
      <c r="GMB43" s="119"/>
      <c r="GMC43" s="119"/>
      <c r="GMD43" s="119"/>
      <c r="GME43" s="119"/>
      <c r="GMF43" s="119"/>
      <c r="GMG43" s="119"/>
      <c r="GMH43" s="119"/>
      <c r="GMI43" s="119"/>
      <c r="GMJ43" s="119"/>
      <c r="GMK43" s="119"/>
      <c r="GML43" s="119"/>
      <c r="GMM43" s="119"/>
      <c r="GMN43" s="119"/>
      <c r="GMO43" s="119"/>
      <c r="GMP43" s="119"/>
      <c r="GMQ43" s="119"/>
      <c r="GMR43" s="119"/>
      <c r="GMS43" s="119"/>
      <c r="GMT43" s="119"/>
      <c r="GMU43" s="119"/>
      <c r="GMV43" s="119"/>
      <c r="GMW43" s="119"/>
      <c r="GMX43" s="119"/>
      <c r="GMY43" s="119"/>
      <c r="GMZ43" s="119"/>
      <c r="GNA43" s="119"/>
      <c r="GNB43" s="119"/>
      <c r="GNC43" s="119"/>
      <c r="GND43" s="119"/>
      <c r="GNE43" s="119"/>
      <c r="GNF43" s="119"/>
      <c r="GNG43" s="119"/>
      <c r="GNH43" s="119"/>
      <c r="GNI43" s="119"/>
      <c r="GNJ43" s="119"/>
      <c r="GNK43" s="119"/>
      <c r="GNL43" s="119"/>
      <c r="GNM43" s="119"/>
      <c r="GNN43" s="119"/>
      <c r="GNO43" s="119"/>
      <c r="GNP43" s="119"/>
      <c r="GNQ43" s="119"/>
      <c r="GNR43" s="119"/>
      <c r="GNS43" s="119"/>
      <c r="GNT43" s="119"/>
      <c r="GNU43" s="119"/>
      <c r="GNV43" s="119"/>
      <c r="GNW43" s="119"/>
      <c r="GNX43" s="119"/>
      <c r="GNY43" s="119"/>
      <c r="GNZ43" s="119"/>
      <c r="GOA43" s="119"/>
      <c r="GOB43" s="119"/>
      <c r="GOC43" s="119"/>
      <c r="GOD43" s="119"/>
      <c r="GOE43" s="119"/>
      <c r="GOF43" s="119"/>
      <c r="GOG43" s="119"/>
      <c r="GOH43" s="119"/>
      <c r="GOI43" s="119"/>
      <c r="GOJ43" s="119"/>
      <c r="GOK43" s="119"/>
      <c r="GOL43" s="119"/>
      <c r="GOM43" s="119"/>
      <c r="GON43" s="119"/>
      <c r="GOO43" s="119"/>
      <c r="GOP43" s="119"/>
      <c r="GOQ43" s="119"/>
      <c r="GOR43" s="119"/>
      <c r="GOS43" s="119"/>
      <c r="GOT43" s="119"/>
      <c r="GOU43" s="119"/>
      <c r="GOV43" s="119"/>
      <c r="GOW43" s="119"/>
      <c r="GOX43" s="119"/>
      <c r="GOY43" s="119"/>
      <c r="GOZ43" s="119"/>
      <c r="GPA43" s="119"/>
      <c r="GPB43" s="119"/>
      <c r="GPC43" s="119"/>
      <c r="GPD43" s="119"/>
      <c r="GPE43" s="119"/>
      <c r="GPF43" s="119"/>
      <c r="GPG43" s="119"/>
      <c r="GPH43" s="119"/>
      <c r="GPI43" s="119"/>
      <c r="GPJ43" s="119"/>
      <c r="GPK43" s="119"/>
      <c r="GPL43" s="119"/>
      <c r="GPM43" s="119"/>
      <c r="GPN43" s="119"/>
      <c r="GPO43" s="119"/>
      <c r="GPP43" s="119"/>
      <c r="GPQ43" s="119"/>
      <c r="GPR43" s="119"/>
      <c r="GPS43" s="119"/>
      <c r="GPT43" s="119"/>
      <c r="GPU43" s="119"/>
      <c r="GPV43" s="119"/>
      <c r="GPW43" s="119"/>
      <c r="GPX43" s="119"/>
      <c r="GPY43" s="119"/>
      <c r="GPZ43" s="119"/>
      <c r="GQA43" s="119"/>
      <c r="GQB43" s="119"/>
      <c r="GQC43" s="119"/>
      <c r="GQD43" s="119"/>
      <c r="GQE43" s="119"/>
      <c r="GQF43" s="119"/>
      <c r="GQG43" s="119"/>
      <c r="GQH43" s="119"/>
      <c r="GQI43" s="119"/>
      <c r="GQJ43" s="119"/>
      <c r="GQK43" s="119"/>
      <c r="GQL43" s="119"/>
      <c r="GQM43" s="119"/>
      <c r="GQN43" s="119"/>
      <c r="GQO43" s="119"/>
      <c r="GQP43" s="119"/>
      <c r="GQQ43" s="119"/>
      <c r="GQR43" s="119"/>
      <c r="GQS43" s="119"/>
      <c r="GQT43" s="119"/>
      <c r="GQU43" s="119"/>
      <c r="GQV43" s="119"/>
      <c r="GQW43" s="119"/>
      <c r="GQX43" s="119"/>
      <c r="GQY43" s="119"/>
      <c r="GQZ43" s="119"/>
      <c r="GRA43" s="119"/>
      <c r="GRB43" s="119"/>
      <c r="GRC43" s="119"/>
      <c r="GRD43" s="119"/>
      <c r="GRE43" s="119"/>
      <c r="GRF43" s="119"/>
      <c r="GRG43" s="119"/>
      <c r="GRH43" s="119"/>
      <c r="GRI43" s="119"/>
      <c r="GRJ43" s="119"/>
      <c r="GRK43" s="119"/>
      <c r="GRL43" s="119"/>
      <c r="GRM43" s="119"/>
      <c r="GRN43" s="119"/>
      <c r="GRO43" s="119"/>
      <c r="GRP43" s="119"/>
      <c r="GRQ43" s="119"/>
      <c r="GRR43" s="119"/>
      <c r="GRS43" s="119"/>
      <c r="GRT43" s="119"/>
      <c r="GRU43" s="119"/>
      <c r="GRV43" s="119"/>
      <c r="GRW43" s="119"/>
      <c r="GRX43" s="119"/>
      <c r="GRY43" s="119"/>
      <c r="GRZ43" s="119"/>
      <c r="GSA43" s="119"/>
      <c r="GSB43" s="119"/>
      <c r="GSC43" s="119"/>
      <c r="GSD43" s="119"/>
      <c r="GSE43" s="119"/>
      <c r="GSF43" s="119"/>
      <c r="GSG43" s="119"/>
      <c r="GSH43" s="119"/>
      <c r="GSI43" s="119"/>
      <c r="GSJ43" s="119"/>
      <c r="GSK43" s="119"/>
      <c r="GSL43" s="119"/>
      <c r="GSM43" s="119"/>
      <c r="GSN43" s="119"/>
      <c r="GSO43" s="119"/>
      <c r="GSP43" s="119"/>
      <c r="GSQ43" s="119"/>
      <c r="GSR43" s="119"/>
      <c r="GSS43" s="119"/>
      <c r="GST43" s="119"/>
      <c r="GSU43" s="119"/>
      <c r="GSV43" s="119"/>
      <c r="GSW43" s="119"/>
      <c r="GSX43" s="119"/>
      <c r="GSY43" s="119"/>
      <c r="GSZ43" s="119"/>
      <c r="GTA43" s="119"/>
      <c r="GTB43" s="119"/>
      <c r="GTC43" s="119"/>
      <c r="GTD43" s="119"/>
      <c r="GTE43" s="119"/>
      <c r="GTF43" s="119"/>
      <c r="GTG43" s="119"/>
      <c r="GTH43" s="119"/>
      <c r="GTI43" s="119"/>
      <c r="GTJ43" s="119"/>
      <c r="GTK43" s="119"/>
      <c r="GTL43" s="119"/>
      <c r="GTM43" s="119"/>
      <c r="GTN43" s="119"/>
      <c r="GTO43" s="119"/>
      <c r="GTP43" s="119"/>
      <c r="GTQ43" s="119"/>
      <c r="GTR43" s="119"/>
      <c r="GTS43" s="119"/>
      <c r="GTT43" s="119"/>
      <c r="GTU43" s="119"/>
      <c r="GTV43" s="119"/>
      <c r="GTW43" s="119"/>
      <c r="GTX43" s="119"/>
      <c r="GTY43" s="119"/>
      <c r="GTZ43" s="119"/>
      <c r="GUA43" s="119"/>
      <c r="GUB43" s="119"/>
      <c r="GUC43" s="119"/>
      <c r="GUD43" s="119"/>
      <c r="GUE43" s="119"/>
      <c r="GUF43" s="119"/>
      <c r="GUG43" s="119"/>
      <c r="GUH43" s="119"/>
      <c r="GUI43" s="119"/>
      <c r="GUJ43" s="119"/>
      <c r="GUK43" s="119"/>
      <c r="GUL43" s="119"/>
      <c r="GUM43" s="119"/>
      <c r="GUN43" s="119"/>
      <c r="GUO43" s="119"/>
      <c r="GUP43" s="119"/>
      <c r="GUQ43" s="119"/>
      <c r="GUR43" s="119"/>
      <c r="GUS43" s="119"/>
      <c r="GUT43" s="119"/>
      <c r="GUU43" s="119"/>
      <c r="GUV43" s="119"/>
      <c r="GUW43" s="119"/>
      <c r="GUX43" s="119"/>
      <c r="GUY43" s="119"/>
      <c r="GUZ43" s="119"/>
      <c r="GVA43" s="119"/>
      <c r="GVB43" s="119"/>
      <c r="GVC43" s="119"/>
      <c r="GVD43" s="119"/>
      <c r="GVE43" s="119"/>
      <c r="GVF43" s="119"/>
      <c r="GVG43" s="119"/>
      <c r="GVH43" s="119"/>
      <c r="GVI43" s="119"/>
      <c r="GVJ43" s="119"/>
      <c r="GVK43" s="119"/>
      <c r="GVL43" s="119"/>
      <c r="GVM43" s="119"/>
      <c r="GVN43" s="119"/>
      <c r="GVO43" s="119"/>
      <c r="GVP43" s="119"/>
      <c r="GVQ43" s="119"/>
      <c r="GVR43" s="119"/>
      <c r="GVS43" s="119"/>
      <c r="GVT43" s="119"/>
      <c r="GVU43" s="119"/>
      <c r="GVV43" s="119"/>
      <c r="GVW43" s="119"/>
      <c r="GVX43" s="119"/>
      <c r="GVY43" s="119"/>
      <c r="GVZ43" s="119"/>
      <c r="GWA43" s="119"/>
      <c r="GWB43" s="119"/>
      <c r="GWC43" s="119"/>
      <c r="GWD43" s="119"/>
      <c r="GWE43" s="119"/>
      <c r="GWF43" s="119"/>
      <c r="GWG43" s="119"/>
      <c r="GWH43" s="119"/>
      <c r="GWI43" s="119"/>
      <c r="GWJ43" s="119"/>
      <c r="GWK43" s="119"/>
      <c r="GWL43" s="119"/>
      <c r="GWM43" s="119"/>
      <c r="GWN43" s="119"/>
      <c r="GWO43" s="119"/>
      <c r="GWP43" s="119"/>
      <c r="GWQ43" s="119"/>
      <c r="GWR43" s="119"/>
      <c r="GWS43" s="119"/>
      <c r="GWT43" s="119"/>
      <c r="GWU43" s="119"/>
      <c r="GWV43" s="119"/>
      <c r="GWW43" s="119"/>
      <c r="GWX43" s="119"/>
      <c r="GWY43" s="119"/>
      <c r="GWZ43" s="119"/>
      <c r="GXA43" s="119"/>
      <c r="GXB43" s="119"/>
      <c r="GXC43" s="119"/>
      <c r="GXD43" s="119"/>
      <c r="GXE43" s="119"/>
      <c r="GXF43" s="119"/>
      <c r="GXG43" s="119"/>
      <c r="GXH43" s="119"/>
      <c r="GXI43" s="119"/>
      <c r="GXJ43" s="119"/>
      <c r="GXK43" s="119"/>
      <c r="GXL43" s="119"/>
      <c r="GXM43" s="119"/>
      <c r="GXN43" s="119"/>
      <c r="GXO43" s="119"/>
      <c r="GXP43" s="119"/>
      <c r="GXQ43" s="119"/>
      <c r="GXR43" s="119"/>
      <c r="GXS43" s="119"/>
      <c r="GXT43" s="119"/>
      <c r="GXU43" s="119"/>
      <c r="GXV43" s="119"/>
      <c r="GXW43" s="119"/>
      <c r="GXX43" s="119"/>
      <c r="GXY43" s="119"/>
      <c r="GXZ43" s="119"/>
      <c r="GYA43" s="119"/>
      <c r="GYB43" s="119"/>
      <c r="GYC43" s="119"/>
      <c r="GYD43" s="119"/>
      <c r="GYE43" s="119"/>
      <c r="GYF43" s="119"/>
      <c r="GYG43" s="119"/>
      <c r="GYH43" s="119"/>
      <c r="GYI43" s="119"/>
      <c r="GYJ43" s="119"/>
      <c r="GYK43" s="119"/>
      <c r="GYL43" s="119"/>
      <c r="GYM43" s="119"/>
      <c r="GYN43" s="119"/>
      <c r="GYO43" s="119"/>
      <c r="GYP43" s="119"/>
      <c r="GYQ43" s="119"/>
      <c r="GYR43" s="119"/>
      <c r="GYS43" s="119"/>
      <c r="GYT43" s="119"/>
      <c r="GYU43" s="119"/>
      <c r="GYV43" s="119"/>
      <c r="GYW43" s="119"/>
      <c r="GYX43" s="119"/>
      <c r="GYY43" s="119"/>
      <c r="GYZ43" s="119"/>
      <c r="GZA43" s="119"/>
      <c r="GZB43" s="119"/>
      <c r="GZC43" s="119"/>
      <c r="GZD43" s="119"/>
      <c r="GZE43" s="119"/>
      <c r="GZF43" s="119"/>
      <c r="GZG43" s="119"/>
      <c r="GZH43" s="119"/>
      <c r="GZI43" s="119"/>
      <c r="GZJ43" s="119"/>
      <c r="GZK43" s="119"/>
      <c r="GZL43" s="119"/>
      <c r="GZM43" s="119"/>
      <c r="GZN43" s="119"/>
      <c r="GZO43" s="119"/>
      <c r="GZP43" s="119"/>
      <c r="GZQ43" s="119"/>
      <c r="GZR43" s="119"/>
      <c r="GZS43" s="119"/>
      <c r="GZT43" s="119"/>
      <c r="GZU43" s="119"/>
      <c r="GZV43" s="119"/>
      <c r="GZW43" s="119"/>
      <c r="GZX43" s="119"/>
      <c r="GZY43" s="119"/>
      <c r="GZZ43" s="119"/>
      <c r="HAA43" s="119"/>
      <c r="HAB43" s="119"/>
      <c r="HAC43" s="119"/>
      <c r="HAD43" s="119"/>
      <c r="HAE43" s="119"/>
      <c r="HAF43" s="119"/>
      <c r="HAG43" s="119"/>
      <c r="HAH43" s="119"/>
      <c r="HAI43" s="119"/>
      <c r="HAJ43" s="119"/>
      <c r="HAK43" s="119"/>
      <c r="HAL43" s="119"/>
      <c r="HAM43" s="119"/>
      <c r="HAN43" s="119"/>
      <c r="HAO43" s="119"/>
      <c r="HAP43" s="119"/>
      <c r="HAQ43" s="119"/>
      <c r="HAR43" s="119"/>
      <c r="HAS43" s="119"/>
      <c r="HAT43" s="119"/>
      <c r="HAU43" s="119"/>
      <c r="HAV43" s="119"/>
      <c r="HAW43" s="119"/>
      <c r="HAX43" s="119"/>
      <c r="HAY43" s="119"/>
      <c r="HAZ43" s="119"/>
      <c r="HBA43" s="119"/>
      <c r="HBB43" s="119"/>
      <c r="HBC43" s="119"/>
      <c r="HBD43" s="119"/>
      <c r="HBE43" s="119"/>
      <c r="HBF43" s="119"/>
      <c r="HBG43" s="119"/>
      <c r="HBH43" s="119"/>
      <c r="HBI43" s="119"/>
      <c r="HBJ43" s="119"/>
      <c r="HBK43" s="119"/>
      <c r="HBL43" s="119"/>
      <c r="HBM43" s="119"/>
      <c r="HBN43" s="119"/>
      <c r="HBO43" s="119"/>
      <c r="HBP43" s="119"/>
      <c r="HBQ43" s="119"/>
      <c r="HBR43" s="119"/>
      <c r="HBS43" s="119"/>
      <c r="HBT43" s="119"/>
      <c r="HBU43" s="119"/>
      <c r="HBV43" s="119"/>
      <c r="HBW43" s="119"/>
      <c r="HBX43" s="119"/>
      <c r="HBY43" s="119"/>
      <c r="HBZ43" s="119"/>
      <c r="HCA43" s="119"/>
      <c r="HCB43" s="119"/>
      <c r="HCC43" s="119"/>
      <c r="HCD43" s="119"/>
      <c r="HCE43" s="119"/>
      <c r="HCF43" s="119"/>
      <c r="HCG43" s="119"/>
      <c r="HCH43" s="119"/>
      <c r="HCI43" s="119"/>
      <c r="HCJ43" s="119"/>
      <c r="HCK43" s="119"/>
      <c r="HCL43" s="119"/>
      <c r="HCM43" s="119"/>
      <c r="HCN43" s="119"/>
      <c r="HCO43" s="119"/>
      <c r="HCP43" s="119"/>
      <c r="HCQ43" s="119"/>
      <c r="HCR43" s="119"/>
      <c r="HCS43" s="119"/>
      <c r="HCT43" s="119"/>
      <c r="HCU43" s="119"/>
      <c r="HCV43" s="119"/>
      <c r="HCW43" s="119"/>
      <c r="HCX43" s="119"/>
      <c r="HCY43" s="119"/>
      <c r="HCZ43" s="119"/>
      <c r="HDA43" s="119"/>
      <c r="HDB43" s="119"/>
      <c r="HDC43" s="119"/>
      <c r="HDD43" s="119"/>
      <c r="HDE43" s="119"/>
      <c r="HDF43" s="119"/>
      <c r="HDG43" s="119"/>
      <c r="HDH43" s="119"/>
      <c r="HDI43" s="119"/>
      <c r="HDJ43" s="119"/>
      <c r="HDK43" s="119"/>
      <c r="HDL43" s="119"/>
      <c r="HDM43" s="119"/>
      <c r="HDN43" s="119"/>
      <c r="HDO43" s="119"/>
      <c r="HDP43" s="119"/>
      <c r="HDQ43" s="119"/>
      <c r="HDR43" s="119"/>
      <c r="HDS43" s="119"/>
      <c r="HDT43" s="119"/>
      <c r="HDU43" s="119"/>
      <c r="HDV43" s="119"/>
      <c r="HDW43" s="119"/>
      <c r="HDX43" s="119"/>
      <c r="HDY43" s="119"/>
      <c r="HDZ43" s="119"/>
      <c r="HEA43" s="119"/>
      <c r="HEB43" s="119"/>
      <c r="HEC43" s="119"/>
      <c r="HED43" s="119"/>
      <c r="HEE43" s="119"/>
      <c r="HEF43" s="119"/>
      <c r="HEG43" s="119"/>
      <c r="HEH43" s="119"/>
      <c r="HEI43" s="119"/>
      <c r="HEJ43" s="119"/>
      <c r="HEK43" s="119"/>
      <c r="HEL43" s="119"/>
      <c r="HEM43" s="119"/>
      <c r="HEN43" s="119"/>
      <c r="HEO43" s="119"/>
      <c r="HEP43" s="119"/>
      <c r="HEQ43" s="119"/>
      <c r="HER43" s="119"/>
      <c r="HES43" s="119"/>
      <c r="HET43" s="119"/>
      <c r="HEU43" s="119"/>
      <c r="HEV43" s="119"/>
      <c r="HEW43" s="119"/>
      <c r="HEX43" s="119"/>
      <c r="HEY43" s="119"/>
      <c r="HEZ43" s="119"/>
      <c r="HFA43" s="119"/>
      <c r="HFB43" s="119"/>
      <c r="HFC43" s="119"/>
      <c r="HFD43" s="119"/>
      <c r="HFE43" s="119"/>
      <c r="HFF43" s="119"/>
      <c r="HFG43" s="119"/>
      <c r="HFH43" s="119"/>
      <c r="HFI43" s="119"/>
      <c r="HFJ43" s="119"/>
      <c r="HFK43" s="119"/>
      <c r="HFL43" s="119"/>
      <c r="HFM43" s="119"/>
      <c r="HFN43" s="119"/>
      <c r="HFO43" s="119"/>
      <c r="HFP43" s="119"/>
      <c r="HFQ43" s="119"/>
      <c r="HFR43" s="119"/>
      <c r="HFS43" s="119"/>
      <c r="HFT43" s="119"/>
      <c r="HFU43" s="119"/>
      <c r="HFV43" s="119"/>
      <c r="HFW43" s="119"/>
      <c r="HFX43" s="119"/>
      <c r="HFY43" s="119"/>
      <c r="HFZ43" s="119"/>
      <c r="HGA43" s="119"/>
      <c r="HGB43" s="119"/>
      <c r="HGC43" s="119"/>
      <c r="HGD43" s="119"/>
      <c r="HGE43" s="119"/>
      <c r="HGF43" s="119"/>
      <c r="HGG43" s="119"/>
      <c r="HGH43" s="119"/>
      <c r="HGI43" s="119"/>
      <c r="HGJ43" s="119"/>
      <c r="HGK43" s="119"/>
      <c r="HGL43" s="119"/>
      <c r="HGM43" s="119"/>
      <c r="HGN43" s="119"/>
      <c r="HGO43" s="119"/>
      <c r="HGP43" s="119"/>
      <c r="HGQ43" s="119"/>
      <c r="HGR43" s="119"/>
      <c r="HGS43" s="119"/>
      <c r="HGT43" s="119"/>
      <c r="HGU43" s="119"/>
      <c r="HGV43" s="119"/>
      <c r="HGW43" s="119"/>
      <c r="HGX43" s="119"/>
      <c r="HGY43" s="119"/>
      <c r="HGZ43" s="119"/>
      <c r="HHA43" s="119"/>
      <c r="HHB43" s="119"/>
      <c r="HHC43" s="119"/>
      <c r="HHD43" s="119"/>
      <c r="HHE43" s="119"/>
      <c r="HHF43" s="119"/>
      <c r="HHG43" s="119"/>
      <c r="HHH43" s="119"/>
      <c r="HHI43" s="119"/>
      <c r="HHJ43" s="119"/>
      <c r="HHK43" s="119"/>
      <c r="HHL43" s="119"/>
      <c r="HHM43" s="119"/>
      <c r="HHN43" s="119"/>
      <c r="HHO43" s="119"/>
      <c r="HHP43" s="119"/>
      <c r="HHQ43" s="119"/>
      <c r="HHR43" s="119"/>
      <c r="HHS43" s="119"/>
      <c r="HHT43" s="119"/>
      <c r="HHU43" s="119"/>
      <c r="HHV43" s="119"/>
      <c r="HHW43" s="119"/>
      <c r="HHX43" s="119"/>
      <c r="HHY43" s="119"/>
      <c r="HHZ43" s="119"/>
      <c r="HIA43" s="119"/>
      <c r="HIB43" s="119"/>
      <c r="HIC43" s="119"/>
      <c r="HID43" s="119"/>
      <c r="HIE43" s="119"/>
      <c r="HIF43" s="119"/>
      <c r="HIG43" s="119"/>
      <c r="HIH43" s="119"/>
      <c r="HII43" s="119"/>
      <c r="HIJ43" s="119"/>
      <c r="HIK43" s="119"/>
      <c r="HIL43" s="119"/>
      <c r="HIM43" s="119"/>
      <c r="HIN43" s="119"/>
      <c r="HIO43" s="119"/>
      <c r="HIP43" s="119"/>
      <c r="HIQ43" s="119"/>
      <c r="HIR43" s="119"/>
      <c r="HIS43" s="119"/>
      <c r="HIT43" s="119"/>
      <c r="HIU43" s="119"/>
      <c r="HIV43" s="119"/>
      <c r="HIW43" s="119"/>
      <c r="HIX43" s="119"/>
      <c r="HIY43" s="119"/>
      <c r="HIZ43" s="119"/>
      <c r="HJA43" s="119"/>
      <c r="HJB43" s="119"/>
      <c r="HJC43" s="119"/>
      <c r="HJD43" s="119"/>
      <c r="HJE43" s="119"/>
      <c r="HJF43" s="119"/>
      <c r="HJG43" s="119"/>
      <c r="HJH43" s="119"/>
      <c r="HJI43" s="119"/>
      <c r="HJJ43" s="119"/>
      <c r="HJK43" s="119"/>
      <c r="HJL43" s="119"/>
      <c r="HJM43" s="119"/>
      <c r="HJN43" s="119"/>
      <c r="HJO43" s="119"/>
      <c r="HJP43" s="119"/>
      <c r="HJQ43" s="119"/>
      <c r="HJR43" s="119"/>
      <c r="HJS43" s="119"/>
      <c r="HJT43" s="119"/>
      <c r="HJU43" s="119"/>
      <c r="HJV43" s="119"/>
      <c r="HJW43" s="119"/>
      <c r="HJX43" s="119"/>
      <c r="HJY43" s="119"/>
      <c r="HJZ43" s="119"/>
      <c r="HKA43" s="119"/>
      <c r="HKB43" s="119"/>
      <c r="HKC43" s="119"/>
      <c r="HKD43" s="119"/>
      <c r="HKE43" s="119"/>
      <c r="HKF43" s="119"/>
      <c r="HKG43" s="119"/>
      <c r="HKH43" s="119"/>
      <c r="HKI43" s="119"/>
      <c r="HKJ43" s="119"/>
      <c r="HKK43" s="119"/>
      <c r="HKL43" s="119"/>
      <c r="HKM43" s="119"/>
      <c r="HKN43" s="119"/>
      <c r="HKO43" s="119"/>
      <c r="HKP43" s="119"/>
      <c r="HKQ43" s="119"/>
      <c r="HKR43" s="119"/>
      <c r="HKS43" s="119"/>
      <c r="HKT43" s="119"/>
      <c r="HKU43" s="119"/>
      <c r="HKV43" s="119"/>
      <c r="HKW43" s="119"/>
      <c r="HKX43" s="119"/>
      <c r="HKY43" s="119"/>
      <c r="HKZ43" s="119"/>
      <c r="HLA43" s="119"/>
      <c r="HLB43" s="119"/>
      <c r="HLC43" s="119"/>
      <c r="HLD43" s="119"/>
      <c r="HLE43" s="119"/>
      <c r="HLF43" s="119"/>
      <c r="HLG43" s="119"/>
      <c r="HLH43" s="119"/>
      <c r="HLI43" s="119"/>
      <c r="HLJ43" s="119"/>
      <c r="HLK43" s="119"/>
      <c r="HLL43" s="119"/>
      <c r="HLM43" s="119"/>
      <c r="HLN43" s="119"/>
      <c r="HLO43" s="119"/>
      <c r="HLP43" s="119"/>
      <c r="HLQ43" s="119"/>
      <c r="HLR43" s="119"/>
      <c r="HLS43" s="119"/>
      <c r="HLT43" s="119"/>
      <c r="HLU43" s="119"/>
      <c r="HLV43" s="119"/>
      <c r="HLW43" s="119"/>
      <c r="HLX43" s="119"/>
      <c r="HLY43" s="119"/>
      <c r="HLZ43" s="119"/>
      <c r="HMA43" s="119"/>
      <c r="HMB43" s="119"/>
      <c r="HMC43" s="119"/>
      <c r="HMD43" s="119"/>
      <c r="HME43" s="119"/>
      <c r="HMF43" s="119"/>
      <c r="HMG43" s="119"/>
      <c r="HMH43" s="119"/>
      <c r="HMI43" s="119"/>
      <c r="HMJ43" s="119"/>
      <c r="HMK43" s="119"/>
      <c r="HML43" s="119"/>
      <c r="HMM43" s="119"/>
      <c r="HMN43" s="119"/>
      <c r="HMO43" s="119"/>
      <c r="HMP43" s="119"/>
      <c r="HMQ43" s="119"/>
      <c r="HMR43" s="119"/>
      <c r="HMS43" s="119"/>
      <c r="HMT43" s="119"/>
      <c r="HMU43" s="119"/>
      <c r="HMV43" s="119"/>
      <c r="HMW43" s="119"/>
      <c r="HMX43" s="119"/>
      <c r="HMY43" s="119"/>
      <c r="HMZ43" s="119"/>
      <c r="HNA43" s="119"/>
      <c r="HNB43" s="119"/>
      <c r="HNC43" s="119"/>
      <c r="HND43" s="119"/>
      <c r="HNE43" s="119"/>
      <c r="HNF43" s="119"/>
      <c r="HNG43" s="119"/>
      <c r="HNH43" s="119"/>
      <c r="HNI43" s="119"/>
      <c r="HNJ43" s="119"/>
      <c r="HNK43" s="119"/>
      <c r="HNL43" s="119"/>
      <c r="HNM43" s="119"/>
      <c r="HNN43" s="119"/>
      <c r="HNO43" s="119"/>
      <c r="HNP43" s="119"/>
      <c r="HNQ43" s="119"/>
      <c r="HNR43" s="119"/>
      <c r="HNS43" s="119"/>
      <c r="HNT43" s="119"/>
      <c r="HNU43" s="119"/>
      <c r="HNV43" s="119"/>
      <c r="HNW43" s="119"/>
      <c r="HNX43" s="119"/>
      <c r="HNY43" s="119"/>
      <c r="HNZ43" s="119"/>
      <c r="HOA43" s="119"/>
      <c r="HOB43" s="119"/>
      <c r="HOC43" s="119"/>
      <c r="HOD43" s="119"/>
      <c r="HOE43" s="119"/>
      <c r="HOF43" s="119"/>
      <c r="HOG43" s="119"/>
      <c r="HOH43" s="119"/>
      <c r="HOI43" s="119"/>
      <c r="HOJ43" s="119"/>
      <c r="HOK43" s="119"/>
      <c r="HOL43" s="119"/>
      <c r="HOM43" s="119"/>
      <c r="HON43" s="119"/>
      <c r="HOO43" s="119"/>
      <c r="HOP43" s="119"/>
      <c r="HOQ43" s="119"/>
      <c r="HOR43" s="119"/>
      <c r="HOS43" s="119"/>
      <c r="HOT43" s="119"/>
      <c r="HOU43" s="119"/>
      <c r="HOV43" s="119"/>
      <c r="HOW43" s="119"/>
      <c r="HOX43" s="119"/>
      <c r="HOY43" s="119"/>
      <c r="HOZ43" s="119"/>
      <c r="HPA43" s="119"/>
      <c r="HPB43" s="119"/>
      <c r="HPC43" s="119"/>
      <c r="HPD43" s="119"/>
      <c r="HPE43" s="119"/>
      <c r="HPF43" s="119"/>
      <c r="HPG43" s="119"/>
      <c r="HPH43" s="119"/>
      <c r="HPI43" s="119"/>
      <c r="HPJ43" s="119"/>
      <c r="HPK43" s="119"/>
      <c r="HPL43" s="119"/>
      <c r="HPM43" s="119"/>
      <c r="HPN43" s="119"/>
      <c r="HPO43" s="119"/>
      <c r="HPP43" s="119"/>
      <c r="HPQ43" s="119"/>
      <c r="HPR43" s="119"/>
      <c r="HPS43" s="119"/>
      <c r="HPT43" s="119"/>
      <c r="HPU43" s="119"/>
      <c r="HPV43" s="119"/>
      <c r="HPW43" s="119"/>
      <c r="HPX43" s="119"/>
      <c r="HPY43" s="119"/>
      <c r="HPZ43" s="119"/>
      <c r="HQA43" s="119"/>
      <c r="HQB43" s="119"/>
      <c r="HQC43" s="119"/>
      <c r="HQD43" s="119"/>
      <c r="HQE43" s="119"/>
      <c r="HQF43" s="119"/>
      <c r="HQG43" s="119"/>
      <c r="HQH43" s="119"/>
      <c r="HQI43" s="119"/>
      <c r="HQJ43" s="119"/>
      <c r="HQK43" s="119"/>
      <c r="HQL43" s="119"/>
      <c r="HQM43" s="119"/>
      <c r="HQN43" s="119"/>
      <c r="HQO43" s="119"/>
      <c r="HQP43" s="119"/>
      <c r="HQQ43" s="119"/>
      <c r="HQR43" s="119"/>
      <c r="HQS43" s="119"/>
      <c r="HQT43" s="119"/>
      <c r="HQU43" s="119"/>
      <c r="HQV43" s="119"/>
      <c r="HQW43" s="119"/>
      <c r="HQX43" s="119"/>
      <c r="HQY43" s="119"/>
      <c r="HQZ43" s="119"/>
      <c r="HRA43" s="119"/>
      <c r="HRB43" s="119"/>
      <c r="HRC43" s="119"/>
      <c r="HRD43" s="119"/>
      <c r="HRE43" s="119"/>
      <c r="HRF43" s="119"/>
      <c r="HRG43" s="119"/>
      <c r="HRH43" s="119"/>
      <c r="HRI43" s="119"/>
      <c r="HRJ43" s="119"/>
      <c r="HRK43" s="119"/>
      <c r="HRL43" s="119"/>
      <c r="HRM43" s="119"/>
      <c r="HRN43" s="119"/>
      <c r="HRO43" s="119"/>
      <c r="HRP43" s="119"/>
      <c r="HRQ43" s="119"/>
      <c r="HRR43" s="119"/>
      <c r="HRS43" s="119"/>
      <c r="HRT43" s="119"/>
      <c r="HRU43" s="119"/>
      <c r="HRV43" s="119"/>
      <c r="HRW43" s="119"/>
      <c r="HRX43" s="119"/>
      <c r="HRY43" s="119"/>
      <c r="HRZ43" s="119"/>
      <c r="HSA43" s="119"/>
      <c r="HSB43" s="119"/>
      <c r="HSC43" s="119"/>
      <c r="HSD43" s="119"/>
      <c r="HSE43" s="119"/>
      <c r="HSF43" s="119"/>
      <c r="HSG43" s="119"/>
      <c r="HSH43" s="119"/>
      <c r="HSI43" s="119"/>
      <c r="HSJ43" s="119"/>
      <c r="HSK43" s="119"/>
      <c r="HSL43" s="119"/>
      <c r="HSM43" s="119"/>
      <c r="HSN43" s="119"/>
      <c r="HSO43" s="119"/>
      <c r="HSP43" s="119"/>
      <c r="HSQ43" s="119"/>
      <c r="HSR43" s="119"/>
      <c r="HSS43" s="119"/>
      <c r="HST43" s="119"/>
      <c r="HSU43" s="119"/>
      <c r="HSV43" s="119"/>
      <c r="HSW43" s="119"/>
      <c r="HSX43" s="119"/>
      <c r="HSY43" s="119"/>
      <c r="HSZ43" s="119"/>
      <c r="HTA43" s="119"/>
      <c r="HTB43" s="119"/>
      <c r="HTC43" s="119"/>
      <c r="HTD43" s="119"/>
      <c r="HTE43" s="119"/>
      <c r="HTF43" s="119"/>
      <c r="HTG43" s="119"/>
      <c r="HTH43" s="119"/>
      <c r="HTI43" s="119"/>
      <c r="HTJ43" s="119"/>
      <c r="HTK43" s="119"/>
      <c r="HTL43" s="119"/>
      <c r="HTM43" s="119"/>
      <c r="HTN43" s="119"/>
      <c r="HTO43" s="119"/>
      <c r="HTP43" s="119"/>
      <c r="HTQ43" s="119"/>
      <c r="HTR43" s="119"/>
      <c r="HTS43" s="119"/>
      <c r="HTT43" s="119"/>
      <c r="HTU43" s="119"/>
      <c r="HTV43" s="119"/>
      <c r="HTW43" s="119"/>
      <c r="HTX43" s="119"/>
      <c r="HTY43" s="119"/>
      <c r="HTZ43" s="119"/>
      <c r="HUA43" s="119"/>
      <c r="HUB43" s="119"/>
      <c r="HUC43" s="119"/>
      <c r="HUD43" s="119"/>
      <c r="HUE43" s="119"/>
      <c r="HUF43" s="119"/>
      <c r="HUG43" s="119"/>
      <c r="HUH43" s="119"/>
      <c r="HUI43" s="119"/>
      <c r="HUJ43" s="119"/>
      <c r="HUK43" s="119"/>
      <c r="HUL43" s="119"/>
      <c r="HUM43" s="119"/>
      <c r="HUN43" s="119"/>
      <c r="HUO43" s="119"/>
      <c r="HUP43" s="119"/>
      <c r="HUQ43" s="119"/>
      <c r="HUR43" s="119"/>
      <c r="HUS43" s="119"/>
      <c r="HUT43" s="119"/>
      <c r="HUU43" s="119"/>
      <c r="HUV43" s="119"/>
      <c r="HUW43" s="119"/>
      <c r="HUX43" s="119"/>
      <c r="HUY43" s="119"/>
      <c r="HUZ43" s="119"/>
      <c r="HVA43" s="119"/>
      <c r="HVB43" s="119"/>
      <c r="HVC43" s="119"/>
      <c r="HVD43" s="119"/>
      <c r="HVE43" s="119"/>
      <c r="HVF43" s="119"/>
      <c r="HVG43" s="119"/>
      <c r="HVH43" s="119"/>
      <c r="HVI43" s="119"/>
      <c r="HVJ43" s="119"/>
      <c r="HVK43" s="119"/>
      <c r="HVL43" s="119"/>
      <c r="HVM43" s="119"/>
      <c r="HVN43" s="119"/>
      <c r="HVO43" s="119"/>
      <c r="HVP43" s="119"/>
      <c r="HVQ43" s="119"/>
      <c r="HVR43" s="119"/>
      <c r="HVS43" s="119"/>
      <c r="HVT43" s="119"/>
      <c r="HVU43" s="119"/>
      <c r="HVV43" s="119"/>
      <c r="HVW43" s="119"/>
      <c r="HVX43" s="119"/>
      <c r="HVY43" s="119"/>
      <c r="HVZ43" s="119"/>
      <c r="HWA43" s="119"/>
      <c r="HWB43" s="119"/>
      <c r="HWC43" s="119"/>
      <c r="HWD43" s="119"/>
      <c r="HWE43" s="119"/>
      <c r="HWF43" s="119"/>
      <c r="HWG43" s="119"/>
      <c r="HWH43" s="119"/>
      <c r="HWI43" s="119"/>
      <c r="HWJ43" s="119"/>
      <c r="HWK43" s="119"/>
      <c r="HWL43" s="119"/>
      <c r="HWM43" s="119"/>
      <c r="HWN43" s="119"/>
      <c r="HWO43" s="119"/>
      <c r="HWP43" s="119"/>
      <c r="HWQ43" s="119"/>
      <c r="HWR43" s="119"/>
      <c r="HWS43" s="119"/>
      <c r="HWT43" s="119"/>
      <c r="HWU43" s="119"/>
      <c r="HWV43" s="119"/>
      <c r="HWW43" s="119"/>
      <c r="HWX43" s="119"/>
      <c r="HWY43" s="119"/>
      <c r="HWZ43" s="119"/>
      <c r="HXA43" s="119"/>
      <c r="HXB43" s="119"/>
      <c r="HXC43" s="119"/>
      <c r="HXD43" s="119"/>
      <c r="HXE43" s="119"/>
      <c r="HXF43" s="119"/>
      <c r="HXG43" s="119"/>
      <c r="HXH43" s="119"/>
      <c r="HXI43" s="119"/>
      <c r="HXJ43" s="119"/>
      <c r="HXK43" s="119"/>
      <c r="HXL43" s="119"/>
      <c r="HXM43" s="119"/>
      <c r="HXN43" s="119"/>
      <c r="HXO43" s="119"/>
      <c r="HXP43" s="119"/>
      <c r="HXQ43" s="119"/>
      <c r="HXR43" s="119"/>
      <c r="HXS43" s="119"/>
      <c r="HXT43" s="119"/>
      <c r="HXU43" s="119"/>
      <c r="HXV43" s="119"/>
      <c r="HXW43" s="119"/>
      <c r="HXX43" s="119"/>
      <c r="HXY43" s="119"/>
      <c r="HXZ43" s="119"/>
      <c r="HYA43" s="119"/>
      <c r="HYB43" s="119"/>
      <c r="HYC43" s="119"/>
      <c r="HYD43" s="119"/>
      <c r="HYE43" s="119"/>
      <c r="HYF43" s="119"/>
      <c r="HYG43" s="119"/>
      <c r="HYH43" s="119"/>
      <c r="HYI43" s="119"/>
      <c r="HYJ43" s="119"/>
      <c r="HYK43" s="119"/>
      <c r="HYL43" s="119"/>
      <c r="HYM43" s="119"/>
      <c r="HYN43" s="119"/>
      <c r="HYO43" s="119"/>
      <c r="HYP43" s="119"/>
      <c r="HYQ43" s="119"/>
      <c r="HYR43" s="119"/>
      <c r="HYS43" s="119"/>
      <c r="HYT43" s="119"/>
      <c r="HYU43" s="119"/>
      <c r="HYV43" s="119"/>
      <c r="HYW43" s="119"/>
      <c r="HYX43" s="119"/>
      <c r="HYY43" s="119"/>
      <c r="HYZ43" s="119"/>
      <c r="HZA43" s="119"/>
      <c r="HZB43" s="119"/>
      <c r="HZC43" s="119"/>
      <c r="HZD43" s="119"/>
      <c r="HZE43" s="119"/>
      <c r="HZF43" s="119"/>
      <c r="HZG43" s="119"/>
      <c r="HZH43" s="119"/>
      <c r="HZI43" s="119"/>
      <c r="HZJ43" s="119"/>
      <c r="HZK43" s="119"/>
      <c r="HZL43" s="119"/>
      <c r="HZM43" s="119"/>
      <c r="HZN43" s="119"/>
      <c r="HZO43" s="119"/>
      <c r="HZP43" s="119"/>
      <c r="HZQ43" s="119"/>
      <c r="HZR43" s="119"/>
      <c r="HZS43" s="119"/>
      <c r="HZT43" s="119"/>
      <c r="HZU43" s="119"/>
      <c r="HZV43" s="119"/>
      <c r="HZW43" s="119"/>
      <c r="HZX43" s="119"/>
      <c r="HZY43" s="119"/>
      <c r="HZZ43" s="119"/>
      <c r="IAA43" s="119"/>
      <c r="IAB43" s="119"/>
      <c r="IAC43" s="119"/>
      <c r="IAD43" s="119"/>
      <c r="IAE43" s="119"/>
      <c r="IAF43" s="119"/>
      <c r="IAG43" s="119"/>
      <c r="IAH43" s="119"/>
      <c r="IAI43" s="119"/>
      <c r="IAJ43" s="119"/>
      <c r="IAK43" s="119"/>
      <c r="IAL43" s="119"/>
      <c r="IAM43" s="119"/>
      <c r="IAN43" s="119"/>
      <c r="IAO43" s="119"/>
      <c r="IAP43" s="119"/>
      <c r="IAQ43" s="119"/>
      <c r="IAR43" s="119"/>
      <c r="IAS43" s="119"/>
      <c r="IAT43" s="119"/>
      <c r="IAU43" s="119"/>
      <c r="IAV43" s="119"/>
      <c r="IAW43" s="119"/>
      <c r="IAX43" s="119"/>
      <c r="IAY43" s="119"/>
      <c r="IAZ43" s="119"/>
      <c r="IBA43" s="119"/>
      <c r="IBB43" s="119"/>
      <c r="IBC43" s="119"/>
      <c r="IBD43" s="119"/>
      <c r="IBE43" s="119"/>
      <c r="IBF43" s="119"/>
      <c r="IBG43" s="119"/>
      <c r="IBH43" s="119"/>
      <c r="IBI43" s="119"/>
      <c r="IBJ43" s="119"/>
      <c r="IBK43" s="119"/>
      <c r="IBL43" s="119"/>
      <c r="IBM43" s="119"/>
      <c r="IBN43" s="119"/>
      <c r="IBO43" s="119"/>
      <c r="IBP43" s="119"/>
      <c r="IBQ43" s="119"/>
      <c r="IBR43" s="119"/>
      <c r="IBS43" s="119"/>
      <c r="IBT43" s="119"/>
      <c r="IBU43" s="119"/>
      <c r="IBV43" s="119"/>
      <c r="IBW43" s="119"/>
      <c r="IBX43" s="119"/>
      <c r="IBY43" s="119"/>
      <c r="IBZ43" s="119"/>
      <c r="ICA43" s="119"/>
      <c r="ICB43" s="119"/>
      <c r="ICC43" s="119"/>
      <c r="ICD43" s="119"/>
      <c r="ICE43" s="119"/>
      <c r="ICF43" s="119"/>
      <c r="ICG43" s="119"/>
      <c r="ICH43" s="119"/>
      <c r="ICI43" s="119"/>
      <c r="ICJ43" s="119"/>
      <c r="ICK43" s="119"/>
      <c r="ICL43" s="119"/>
      <c r="ICM43" s="119"/>
      <c r="ICN43" s="119"/>
      <c r="ICO43" s="119"/>
      <c r="ICP43" s="119"/>
      <c r="ICQ43" s="119"/>
      <c r="ICR43" s="119"/>
      <c r="ICS43" s="119"/>
      <c r="ICT43" s="119"/>
      <c r="ICU43" s="119"/>
      <c r="ICV43" s="119"/>
      <c r="ICW43" s="119"/>
      <c r="ICX43" s="119"/>
      <c r="ICY43" s="119"/>
      <c r="ICZ43" s="119"/>
      <c r="IDA43" s="119"/>
      <c r="IDB43" s="119"/>
      <c r="IDC43" s="119"/>
      <c r="IDD43" s="119"/>
      <c r="IDE43" s="119"/>
      <c r="IDF43" s="119"/>
      <c r="IDG43" s="119"/>
      <c r="IDH43" s="119"/>
      <c r="IDI43" s="119"/>
      <c r="IDJ43" s="119"/>
      <c r="IDK43" s="119"/>
      <c r="IDL43" s="119"/>
      <c r="IDM43" s="119"/>
      <c r="IDN43" s="119"/>
      <c r="IDO43" s="119"/>
      <c r="IDP43" s="119"/>
      <c r="IDQ43" s="119"/>
      <c r="IDR43" s="119"/>
      <c r="IDS43" s="119"/>
      <c r="IDT43" s="119"/>
      <c r="IDU43" s="119"/>
      <c r="IDV43" s="119"/>
      <c r="IDW43" s="119"/>
      <c r="IDX43" s="119"/>
      <c r="IDY43" s="119"/>
      <c r="IDZ43" s="119"/>
      <c r="IEA43" s="119"/>
      <c r="IEB43" s="119"/>
      <c r="IEC43" s="119"/>
      <c r="IED43" s="119"/>
      <c r="IEE43" s="119"/>
      <c r="IEF43" s="119"/>
      <c r="IEG43" s="119"/>
      <c r="IEH43" s="119"/>
      <c r="IEI43" s="119"/>
      <c r="IEJ43" s="119"/>
      <c r="IEK43" s="119"/>
      <c r="IEL43" s="119"/>
      <c r="IEM43" s="119"/>
      <c r="IEN43" s="119"/>
      <c r="IEO43" s="119"/>
      <c r="IEP43" s="119"/>
      <c r="IEQ43" s="119"/>
      <c r="IER43" s="119"/>
      <c r="IES43" s="119"/>
      <c r="IET43" s="119"/>
      <c r="IEU43" s="119"/>
      <c r="IEV43" s="119"/>
      <c r="IEW43" s="119"/>
      <c r="IEX43" s="119"/>
      <c r="IEY43" s="119"/>
      <c r="IEZ43" s="119"/>
      <c r="IFA43" s="119"/>
      <c r="IFB43" s="119"/>
      <c r="IFC43" s="119"/>
      <c r="IFD43" s="119"/>
      <c r="IFE43" s="119"/>
      <c r="IFF43" s="119"/>
      <c r="IFG43" s="119"/>
      <c r="IFH43" s="119"/>
      <c r="IFI43" s="119"/>
      <c r="IFJ43" s="119"/>
      <c r="IFK43" s="119"/>
      <c r="IFL43" s="119"/>
      <c r="IFM43" s="119"/>
      <c r="IFN43" s="119"/>
      <c r="IFO43" s="119"/>
      <c r="IFP43" s="119"/>
      <c r="IFQ43" s="119"/>
      <c r="IFR43" s="119"/>
      <c r="IFS43" s="119"/>
      <c r="IFT43" s="119"/>
      <c r="IFU43" s="119"/>
      <c r="IFV43" s="119"/>
      <c r="IFW43" s="119"/>
      <c r="IFX43" s="119"/>
      <c r="IFY43" s="119"/>
      <c r="IFZ43" s="119"/>
      <c r="IGA43" s="119"/>
      <c r="IGB43" s="119"/>
      <c r="IGC43" s="119"/>
      <c r="IGD43" s="119"/>
      <c r="IGE43" s="119"/>
      <c r="IGF43" s="119"/>
      <c r="IGG43" s="119"/>
      <c r="IGH43" s="119"/>
      <c r="IGI43" s="119"/>
      <c r="IGJ43" s="119"/>
      <c r="IGK43" s="119"/>
      <c r="IGL43" s="119"/>
      <c r="IGM43" s="119"/>
      <c r="IGN43" s="119"/>
      <c r="IGO43" s="119"/>
      <c r="IGP43" s="119"/>
      <c r="IGQ43" s="119"/>
      <c r="IGR43" s="119"/>
      <c r="IGS43" s="119"/>
      <c r="IGT43" s="119"/>
      <c r="IGU43" s="119"/>
      <c r="IGV43" s="119"/>
      <c r="IGW43" s="119"/>
      <c r="IGX43" s="119"/>
      <c r="IGY43" s="119"/>
      <c r="IGZ43" s="119"/>
      <c r="IHA43" s="119"/>
      <c r="IHB43" s="119"/>
      <c r="IHC43" s="119"/>
      <c r="IHD43" s="119"/>
      <c r="IHE43" s="119"/>
      <c r="IHF43" s="119"/>
      <c r="IHG43" s="119"/>
      <c r="IHH43" s="119"/>
      <c r="IHI43" s="119"/>
      <c r="IHJ43" s="119"/>
      <c r="IHK43" s="119"/>
      <c r="IHL43" s="119"/>
      <c r="IHM43" s="119"/>
      <c r="IHN43" s="119"/>
      <c r="IHO43" s="119"/>
      <c r="IHP43" s="119"/>
      <c r="IHQ43" s="119"/>
      <c r="IHR43" s="119"/>
      <c r="IHS43" s="119"/>
      <c r="IHT43" s="119"/>
      <c r="IHU43" s="119"/>
      <c r="IHV43" s="119"/>
      <c r="IHW43" s="119"/>
      <c r="IHX43" s="119"/>
      <c r="IHY43" s="119"/>
      <c r="IHZ43" s="119"/>
      <c r="IIA43" s="119"/>
      <c r="IIB43" s="119"/>
      <c r="IIC43" s="119"/>
      <c r="IID43" s="119"/>
      <c r="IIE43" s="119"/>
      <c r="IIF43" s="119"/>
      <c r="IIG43" s="119"/>
      <c r="IIH43" s="119"/>
      <c r="III43" s="119"/>
      <c r="IIJ43" s="119"/>
      <c r="IIK43" s="119"/>
      <c r="IIL43" s="119"/>
      <c r="IIM43" s="119"/>
      <c r="IIN43" s="119"/>
      <c r="IIO43" s="119"/>
      <c r="IIP43" s="119"/>
      <c r="IIQ43" s="119"/>
      <c r="IIR43" s="119"/>
      <c r="IIS43" s="119"/>
      <c r="IIT43" s="119"/>
      <c r="IIU43" s="119"/>
      <c r="IIV43" s="119"/>
      <c r="IIW43" s="119"/>
      <c r="IIX43" s="119"/>
      <c r="IIY43" s="119"/>
      <c r="IIZ43" s="119"/>
      <c r="IJA43" s="119"/>
      <c r="IJB43" s="119"/>
      <c r="IJC43" s="119"/>
      <c r="IJD43" s="119"/>
      <c r="IJE43" s="119"/>
      <c r="IJF43" s="119"/>
      <c r="IJG43" s="119"/>
      <c r="IJH43" s="119"/>
      <c r="IJI43" s="119"/>
      <c r="IJJ43" s="119"/>
      <c r="IJK43" s="119"/>
      <c r="IJL43" s="119"/>
      <c r="IJM43" s="119"/>
      <c r="IJN43" s="119"/>
      <c r="IJO43" s="119"/>
      <c r="IJP43" s="119"/>
      <c r="IJQ43" s="119"/>
      <c r="IJR43" s="119"/>
      <c r="IJS43" s="119"/>
      <c r="IJT43" s="119"/>
      <c r="IJU43" s="119"/>
      <c r="IJV43" s="119"/>
      <c r="IJW43" s="119"/>
      <c r="IJX43" s="119"/>
      <c r="IJY43" s="119"/>
      <c r="IJZ43" s="119"/>
      <c r="IKA43" s="119"/>
      <c r="IKB43" s="119"/>
      <c r="IKC43" s="119"/>
      <c r="IKD43" s="119"/>
      <c r="IKE43" s="119"/>
      <c r="IKF43" s="119"/>
      <c r="IKG43" s="119"/>
      <c r="IKH43" s="119"/>
      <c r="IKI43" s="119"/>
      <c r="IKJ43" s="119"/>
      <c r="IKK43" s="119"/>
      <c r="IKL43" s="119"/>
      <c r="IKM43" s="119"/>
      <c r="IKN43" s="119"/>
      <c r="IKO43" s="119"/>
      <c r="IKP43" s="119"/>
      <c r="IKQ43" s="119"/>
      <c r="IKR43" s="119"/>
      <c r="IKS43" s="119"/>
      <c r="IKT43" s="119"/>
      <c r="IKU43" s="119"/>
      <c r="IKV43" s="119"/>
      <c r="IKW43" s="119"/>
      <c r="IKX43" s="119"/>
      <c r="IKY43" s="119"/>
      <c r="IKZ43" s="119"/>
      <c r="ILA43" s="119"/>
      <c r="ILB43" s="119"/>
      <c r="ILC43" s="119"/>
      <c r="ILD43" s="119"/>
      <c r="ILE43" s="119"/>
      <c r="ILF43" s="119"/>
      <c r="ILG43" s="119"/>
      <c r="ILH43" s="119"/>
      <c r="ILI43" s="119"/>
      <c r="ILJ43" s="119"/>
      <c r="ILK43" s="119"/>
      <c r="ILL43" s="119"/>
      <c r="ILM43" s="119"/>
      <c r="ILN43" s="119"/>
      <c r="ILO43" s="119"/>
      <c r="ILP43" s="119"/>
      <c r="ILQ43" s="119"/>
      <c r="ILR43" s="119"/>
      <c r="ILS43" s="119"/>
      <c r="ILT43" s="119"/>
      <c r="ILU43" s="119"/>
      <c r="ILV43" s="119"/>
      <c r="ILW43" s="119"/>
      <c r="ILX43" s="119"/>
      <c r="ILY43" s="119"/>
      <c r="ILZ43" s="119"/>
      <c r="IMA43" s="119"/>
      <c r="IMB43" s="119"/>
      <c r="IMC43" s="119"/>
      <c r="IMD43" s="119"/>
      <c r="IME43" s="119"/>
      <c r="IMF43" s="119"/>
      <c r="IMG43" s="119"/>
      <c r="IMH43" s="119"/>
      <c r="IMI43" s="119"/>
      <c r="IMJ43" s="119"/>
      <c r="IMK43" s="119"/>
      <c r="IML43" s="119"/>
      <c r="IMM43" s="119"/>
      <c r="IMN43" s="119"/>
      <c r="IMO43" s="119"/>
      <c r="IMP43" s="119"/>
      <c r="IMQ43" s="119"/>
      <c r="IMR43" s="119"/>
      <c r="IMS43" s="119"/>
      <c r="IMT43" s="119"/>
      <c r="IMU43" s="119"/>
      <c r="IMV43" s="119"/>
      <c r="IMW43" s="119"/>
      <c r="IMX43" s="119"/>
      <c r="IMY43" s="119"/>
      <c r="IMZ43" s="119"/>
      <c r="INA43" s="119"/>
      <c r="INB43" s="119"/>
      <c r="INC43" s="119"/>
      <c r="IND43" s="119"/>
      <c r="INE43" s="119"/>
      <c r="INF43" s="119"/>
      <c r="ING43" s="119"/>
      <c r="INH43" s="119"/>
      <c r="INI43" s="119"/>
      <c r="INJ43" s="119"/>
      <c r="INK43" s="119"/>
      <c r="INL43" s="119"/>
      <c r="INM43" s="119"/>
      <c r="INN43" s="119"/>
      <c r="INO43" s="119"/>
      <c r="INP43" s="119"/>
      <c r="INQ43" s="119"/>
      <c r="INR43" s="119"/>
      <c r="INS43" s="119"/>
      <c r="INT43" s="119"/>
      <c r="INU43" s="119"/>
      <c r="INV43" s="119"/>
      <c r="INW43" s="119"/>
      <c r="INX43" s="119"/>
      <c r="INY43" s="119"/>
      <c r="INZ43" s="119"/>
      <c r="IOA43" s="119"/>
      <c r="IOB43" s="119"/>
      <c r="IOC43" s="119"/>
      <c r="IOD43" s="119"/>
      <c r="IOE43" s="119"/>
      <c r="IOF43" s="119"/>
      <c r="IOG43" s="119"/>
      <c r="IOH43" s="119"/>
      <c r="IOI43" s="119"/>
      <c r="IOJ43" s="119"/>
      <c r="IOK43" s="119"/>
      <c r="IOL43" s="119"/>
      <c r="IOM43" s="119"/>
      <c r="ION43" s="119"/>
      <c r="IOO43" s="119"/>
      <c r="IOP43" s="119"/>
      <c r="IOQ43" s="119"/>
      <c r="IOR43" s="119"/>
      <c r="IOS43" s="119"/>
      <c r="IOT43" s="119"/>
      <c r="IOU43" s="119"/>
      <c r="IOV43" s="119"/>
      <c r="IOW43" s="119"/>
      <c r="IOX43" s="119"/>
      <c r="IOY43" s="119"/>
      <c r="IOZ43" s="119"/>
      <c r="IPA43" s="119"/>
      <c r="IPB43" s="119"/>
      <c r="IPC43" s="119"/>
      <c r="IPD43" s="119"/>
      <c r="IPE43" s="119"/>
      <c r="IPF43" s="119"/>
      <c r="IPG43" s="119"/>
      <c r="IPH43" s="119"/>
      <c r="IPI43" s="119"/>
      <c r="IPJ43" s="119"/>
      <c r="IPK43" s="119"/>
      <c r="IPL43" s="119"/>
      <c r="IPM43" s="119"/>
      <c r="IPN43" s="119"/>
      <c r="IPO43" s="119"/>
      <c r="IPP43" s="119"/>
      <c r="IPQ43" s="119"/>
      <c r="IPR43" s="119"/>
      <c r="IPS43" s="119"/>
      <c r="IPT43" s="119"/>
      <c r="IPU43" s="119"/>
      <c r="IPV43" s="119"/>
      <c r="IPW43" s="119"/>
      <c r="IPX43" s="119"/>
      <c r="IPY43" s="119"/>
      <c r="IPZ43" s="119"/>
      <c r="IQA43" s="119"/>
      <c r="IQB43" s="119"/>
      <c r="IQC43" s="119"/>
      <c r="IQD43" s="119"/>
      <c r="IQE43" s="119"/>
      <c r="IQF43" s="119"/>
      <c r="IQG43" s="119"/>
      <c r="IQH43" s="119"/>
      <c r="IQI43" s="119"/>
      <c r="IQJ43" s="119"/>
      <c r="IQK43" s="119"/>
      <c r="IQL43" s="119"/>
      <c r="IQM43" s="119"/>
      <c r="IQN43" s="119"/>
      <c r="IQO43" s="119"/>
      <c r="IQP43" s="119"/>
      <c r="IQQ43" s="119"/>
      <c r="IQR43" s="119"/>
      <c r="IQS43" s="119"/>
      <c r="IQT43" s="119"/>
      <c r="IQU43" s="119"/>
      <c r="IQV43" s="119"/>
      <c r="IQW43" s="119"/>
      <c r="IQX43" s="119"/>
      <c r="IQY43" s="119"/>
      <c r="IQZ43" s="119"/>
      <c r="IRA43" s="119"/>
      <c r="IRB43" s="119"/>
      <c r="IRC43" s="119"/>
      <c r="IRD43" s="119"/>
      <c r="IRE43" s="119"/>
      <c r="IRF43" s="119"/>
      <c r="IRG43" s="119"/>
      <c r="IRH43" s="119"/>
      <c r="IRI43" s="119"/>
      <c r="IRJ43" s="119"/>
      <c r="IRK43" s="119"/>
      <c r="IRL43" s="119"/>
      <c r="IRM43" s="119"/>
      <c r="IRN43" s="119"/>
      <c r="IRO43" s="119"/>
      <c r="IRP43" s="119"/>
      <c r="IRQ43" s="119"/>
      <c r="IRR43" s="119"/>
      <c r="IRS43" s="119"/>
      <c r="IRT43" s="119"/>
      <c r="IRU43" s="119"/>
      <c r="IRV43" s="119"/>
      <c r="IRW43" s="119"/>
      <c r="IRX43" s="119"/>
      <c r="IRY43" s="119"/>
      <c r="IRZ43" s="119"/>
      <c r="ISA43" s="119"/>
      <c r="ISB43" s="119"/>
      <c r="ISC43" s="119"/>
      <c r="ISD43" s="119"/>
      <c r="ISE43" s="119"/>
      <c r="ISF43" s="119"/>
      <c r="ISG43" s="119"/>
      <c r="ISH43" s="119"/>
      <c r="ISI43" s="119"/>
      <c r="ISJ43" s="119"/>
      <c r="ISK43" s="119"/>
      <c r="ISL43" s="119"/>
      <c r="ISM43" s="119"/>
      <c r="ISN43" s="119"/>
      <c r="ISO43" s="119"/>
      <c r="ISP43" s="119"/>
      <c r="ISQ43" s="119"/>
      <c r="ISR43" s="119"/>
      <c r="ISS43" s="119"/>
      <c r="IST43" s="119"/>
      <c r="ISU43" s="119"/>
      <c r="ISV43" s="119"/>
      <c r="ISW43" s="119"/>
      <c r="ISX43" s="119"/>
      <c r="ISY43" s="119"/>
      <c r="ISZ43" s="119"/>
      <c r="ITA43" s="119"/>
      <c r="ITB43" s="119"/>
      <c r="ITC43" s="119"/>
      <c r="ITD43" s="119"/>
      <c r="ITE43" s="119"/>
      <c r="ITF43" s="119"/>
      <c r="ITG43" s="119"/>
      <c r="ITH43" s="119"/>
      <c r="ITI43" s="119"/>
      <c r="ITJ43" s="119"/>
      <c r="ITK43" s="119"/>
      <c r="ITL43" s="119"/>
      <c r="ITM43" s="119"/>
      <c r="ITN43" s="119"/>
      <c r="ITO43" s="119"/>
      <c r="ITP43" s="119"/>
      <c r="ITQ43" s="119"/>
      <c r="ITR43" s="119"/>
      <c r="ITS43" s="119"/>
      <c r="ITT43" s="119"/>
      <c r="ITU43" s="119"/>
      <c r="ITV43" s="119"/>
      <c r="ITW43" s="119"/>
      <c r="ITX43" s="119"/>
      <c r="ITY43" s="119"/>
      <c r="ITZ43" s="119"/>
      <c r="IUA43" s="119"/>
      <c r="IUB43" s="119"/>
      <c r="IUC43" s="119"/>
      <c r="IUD43" s="119"/>
      <c r="IUE43" s="119"/>
      <c r="IUF43" s="119"/>
      <c r="IUG43" s="119"/>
      <c r="IUH43" s="119"/>
      <c r="IUI43" s="119"/>
      <c r="IUJ43" s="119"/>
      <c r="IUK43" s="119"/>
      <c r="IUL43" s="119"/>
      <c r="IUM43" s="119"/>
      <c r="IUN43" s="119"/>
      <c r="IUO43" s="119"/>
      <c r="IUP43" s="119"/>
      <c r="IUQ43" s="119"/>
      <c r="IUR43" s="119"/>
      <c r="IUS43" s="119"/>
      <c r="IUT43" s="119"/>
      <c r="IUU43" s="119"/>
      <c r="IUV43" s="119"/>
      <c r="IUW43" s="119"/>
      <c r="IUX43" s="119"/>
      <c r="IUY43" s="119"/>
      <c r="IUZ43" s="119"/>
      <c r="IVA43" s="119"/>
      <c r="IVB43" s="119"/>
      <c r="IVC43" s="119"/>
      <c r="IVD43" s="119"/>
      <c r="IVE43" s="119"/>
      <c r="IVF43" s="119"/>
      <c r="IVG43" s="119"/>
      <c r="IVH43" s="119"/>
      <c r="IVI43" s="119"/>
      <c r="IVJ43" s="119"/>
      <c r="IVK43" s="119"/>
      <c r="IVL43" s="119"/>
      <c r="IVM43" s="119"/>
      <c r="IVN43" s="119"/>
      <c r="IVO43" s="119"/>
      <c r="IVP43" s="119"/>
      <c r="IVQ43" s="119"/>
      <c r="IVR43" s="119"/>
      <c r="IVS43" s="119"/>
      <c r="IVT43" s="119"/>
      <c r="IVU43" s="119"/>
      <c r="IVV43" s="119"/>
      <c r="IVW43" s="119"/>
      <c r="IVX43" s="119"/>
      <c r="IVY43" s="119"/>
      <c r="IVZ43" s="119"/>
      <c r="IWA43" s="119"/>
      <c r="IWB43" s="119"/>
      <c r="IWC43" s="119"/>
      <c r="IWD43" s="119"/>
      <c r="IWE43" s="119"/>
      <c r="IWF43" s="119"/>
      <c r="IWG43" s="119"/>
      <c r="IWH43" s="119"/>
      <c r="IWI43" s="119"/>
      <c r="IWJ43" s="119"/>
      <c r="IWK43" s="119"/>
      <c r="IWL43" s="119"/>
      <c r="IWM43" s="119"/>
      <c r="IWN43" s="119"/>
      <c r="IWO43" s="119"/>
      <c r="IWP43" s="119"/>
      <c r="IWQ43" s="119"/>
      <c r="IWR43" s="119"/>
      <c r="IWS43" s="119"/>
      <c r="IWT43" s="119"/>
      <c r="IWU43" s="119"/>
      <c r="IWV43" s="119"/>
      <c r="IWW43" s="119"/>
      <c r="IWX43" s="119"/>
      <c r="IWY43" s="119"/>
      <c r="IWZ43" s="119"/>
      <c r="IXA43" s="119"/>
      <c r="IXB43" s="119"/>
      <c r="IXC43" s="119"/>
      <c r="IXD43" s="119"/>
      <c r="IXE43" s="119"/>
      <c r="IXF43" s="119"/>
      <c r="IXG43" s="119"/>
      <c r="IXH43" s="119"/>
      <c r="IXI43" s="119"/>
      <c r="IXJ43" s="119"/>
      <c r="IXK43" s="119"/>
      <c r="IXL43" s="119"/>
      <c r="IXM43" s="119"/>
      <c r="IXN43" s="119"/>
      <c r="IXO43" s="119"/>
      <c r="IXP43" s="119"/>
      <c r="IXQ43" s="119"/>
      <c r="IXR43" s="119"/>
      <c r="IXS43" s="119"/>
      <c r="IXT43" s="119"/>
      <c r="IXU43" s="119"/>
      <c r="IXV43" s="119"/>
      <c r="IXW43" s="119"/>
      <c r="IXX43" s="119"/>
      <c r="IXY43" s="119"/>
      <c r="IXZ43" s="119"/>
      <c r="IYA43" s="119"/>
      <c r="IYB43" s="119"/>
      <c r="IYC43" s="119"/>
      <c r="IYD43" s="119"/>
      <c r="IYE43" s="119"/>
      <c r="IYF43" s="119"/>
      <c r="IYG43" s="119"/>
      <c r="IYH43" s="119"/>
      <c r="IYI43" s="119"/>
      <c r="IYJ43" s="119"/>
      <c r="IYK43" s="119"/>
      <c r="IYL43" s="119"/>
      <c r="IYM43" s="119"/>
      <c r="IYN43" s="119"/>
      <c r="IYO43" s="119"/>
      <c r="IYP43" s="119"/>
      <c r="IYQ43" s="119"/>
      <c r="IYR43" s="119"/>
      <c r="IYS43" s="119"/>
      <c r="IYT43" s="119"/>
      <c r="IYU43" s="119"/>
      <c r="IYV43" s="119"/>
      <c r="IYW43" s="119"/>
      <c r="IYX43" s="119"/>
      <c r="IYY43" s="119"/>
      <c r="IYZ43" s="119"/>
      <c r="IZA43" s="119"/>
      <c r="IZB43" s="119"/>
      <c r="IZC43" s="119"/>
      <c r="IZD43" s="119"/>
      <c r="IZE43" s="119"/>
      <c r="IZF43" s="119"/>
      <c r="IZG43" s="119"/>
      <c r="IZH43" s="119"/>
      <c r="IZI43" s="119"/>
      <c r="IZJ43" s="119"/>
      <c r="IZK43" s="119"/>
      <c r="IZL43" s="119"/>
      <c r="IZM43" s="119"/>
      <c r="IZN43" s="119"/>
      <c r="IZO43" s="119"/>
      <c r="IZP43" s="119"/>
      <c r="IZQ43" s="119"/>
      <c r="IZR43" s="119"/>
      <c r="IZS43" s="119"/>
      <c r="IZT43" s="119"/>
      <c r="IZU43" s="119"/>
      <c r="IZV43" s="119"/>
      <c r="IZW43" s="119"/>
      <c r="IZX43" s="119"/>
      <c r="IZY43" s="119"/>
      <c r="IZZ43" s="119"/>
      <c r="JAA43" s="119"/>
      <c r="JAB43" s="119"/>
      <c r="JAC43" s="119"/>
      <c r="JAD43" s="119"/>
      <c r="JAE43" s="119"/>
      <c r="JAF43" s="119"/>
      <c r="JAG43" s="119"/>
      <c r="JAH43" s="119"/>
      <c r="JAI43" s="119"/>
      <c r="JAJ43" s="119"/>
      <c r="JAK43" s="119"/>
      <c r="JAL43" s="119"/>
      <c r="JAM43" s="119"/>
      <c r="JAN43" s="119"/>
      <c r="JAO43" s="119"/>
      <c r="JAP43" s="119"/>
      <c r="JAQ43" s="119"/>
      <c r="JAR43" s="119"/>
      <c r="JAS43" s="119"/>
      <c r="JAT43" s="119"/>
      <c r="JAU43" s="119"/>
      <c r="JAV43" s="119"/>
      <c r="JAW43" s="119"/>
      <c r="JAX43" s="119"/>
      <c r="JAY43" s="119"/>
      <c r="JAZ43" s="119"/>
      <c r="JBA43" s="119"/>
      <c r="JBB43" s="119"/>
      <c r="JBC43" s="119"/>
      <c r="JBD43" s="119"/>
      <c r="JBE43" s="119"/>
      <c r="JBF43" s="119"/>
      <c r="JBG43" s="119"/>
      <c r="JBH43" s="119"/>
      <c r="JBI43" s="119"/>
      <c r="JBJ43" s="119"/>
      <c r="JBK43" s="119"/>
      <c r="JBL43" s="119"/>
      <c r="JBM43" s="119"/>
      <c r="JBN43" s="119"/>
      <c r="JBO43" s="119"/>
      <c r="JBP43" s="119"/>
      <c r="JBQ43" s="119"/>
      <c r="JBR43" s="119"/>
      <c r="JBS43" s="119"/>
      <c r="JBT43" s="119"/>
      <c r="JBU43" s="119"/>
      <c r="JBV43" s="119"/>
      <c r="JBW43" s="119"/>
      <c r="JBX43" s="119"/>
      <c r="JBY43" s="119"/>
      <c r="JBZ43" s="119"/>
      <c r="JCA43" s="119"/>
      <c r="JCB43" s="119"/>
      <c r="JCC43" s="119"/>
      <c r="JCD43" s="119"/>
      <c r="JCE43" s="119"/>
      <c r="JCF43" s="119"/>
      <c r="JCG43" s="119"/>
      <c r="JCH43" s="119"/>
      <c r="JCI43" s="119"/>
      <c r="JCJ43" s="119"/>
      <c r="JCK43" s="119"/>
      <c r="JCL43" s="119"/>
      <c r="JCM43" s="119"/>
      <c r="JCN43" s="119"/>
      <c r="JCO43" s="119"/>
      <c r="JCP43" s="119"/>
      <c r="JCQ43" s="119"/>
      <c r="JCR43" s="119"/>
      <c r="JCS43" s="119"/>
      <c r="JCT43" s="119"/>
      <c r="JCU43" s="119"/>
      <c r="JCV43" s="119"/>
      <c r="JCW43" s="119"/>
      <c r="JCX43" s="119"/>
      <c r="JCY43" s="119"/>
      <c r="JCZ43" s="119"/>
      <c r="JDA43" s="119"/>
      <c r="JDB43" s="119"/>
      <c r="JDC43" s="119"/>
      <c r="JDD43" s="119"/>
      <c r="JDE43" s="119"/>
      <c r="JDF43" s="119"/>
      <c r="JDG43" s="119"/>
      <c r="JDH43" s="119"/>
      <c r="JDI43" s="119"/>
      <c r="JDJ43" s="119"/>
      <c r="JDK43" s="119"/>
      <c r="JDL43" s="119"/>
      <c r="JDM43" s="119"/>
      <c r="JDN43" s="119"/>
      <c r="JDO43" s="119"/>
      <c r="JDP43" s="119"/>
      <c r="JDQ43" s="119"/>
      <c r="JDR43" s="119"/>
      <c r="JDS43" s="119"/>
      <c r="JDT43" s="119"/>
      <c r="JDU43" s="119"/>
      <c r="JDV43" s="119"/>
      <c r="JDW43" s="119"/>
      <c r="JDX43" s="119"/>
      <c r="JDY43" s="119"/>
      <c r="JDZ43" s="119"/>
      <c r="JEA43" s="119"/>
      <c r="JEB43" s="119"/>
      <c r="JEC43" s="119"/>
      <c r="JED43" s="119"/>
      <c r="JEE43" s="119"/>
      <c r="JEF43" s="119"/>
      <c r="JEG43" s="119"/>
      <c r="JEH43" s="119"/>
      <c r="JEI43" s="119"/>
      <c r="JEJ43" s="119"/>
      <c r="JEK43" s="119"/>
      <c r="JEL43" s="119"/>
      <c r="JEM43" s="119"/>
      <c r="JEN43" s="119"/>
      <c r="JEO43" s="119"/>
      <c r="JEP43" s="119"/>
      <c r="JEQ43" s="119"/>
      <c r="JER43" s="119"/>
      <c r="JES43" s="119"/>
      <c r="JET43" s="119"/>
      <c r="JEU43" s="119"/>
      <c r="JEV43" s="119"/>
      <c r="JEW43" s="119"/>
      <c r="JEX43" s="119"/>
      <c r="JEY43" s="119"/>
      <c r="JEZ43" s="119"/>
      <c r="JFA43" s="119"/>
      <c r="JFB43" s="119"/>
      <c r="JFC43" s="119"/>
      <c r="JFD43" s="119"/>
      <c r="JFE43" s="119"/>
      <c r="JFF43" s="119"/>
      <c r="JFG43" s="119"/>
      <c r="JFH43" s="119"/>
      <c r="JFI43" s="119"/>
      <c r="JFJ43" s="119"/>
      <c r="JFK43" s="119"/>
      <c r="JFL43" s="119"/>
      <c r="JFM43" s="119"/>
      <c r="JFN43" s="119"/>
      <c r="JFO43" s="119"/>
      <c r="JFP43" s="119"/>
      <c r="JFQ43" s="119"/>
      <c r="JFR43" s="119"/>
      <c r="JFS43" s="119"/>
      <c r="JFT43" s="119"/>
      <c r="JFU43" s="119"/>
      <c r="JFV43" s="119"/>
      <c r="JFW43" s="119"/>
      <c r="JFX43" s="119"/>
      <c r="JFY43" s="119"/>
      <c r="JFZ43" s="119"/>
      <c r="JGA43" s="119"/>
      <c r="JGB43" s="119"/>
      <c r="JGC43" s="119"/>
      <c r="JGD43" s="119"/>
      <c r="JGE43" s="119"/>
      <c r="JGF43" s="119"/>
      <c r="JGG43" s="119"/>
      <c r="JGH43" s="119"/>
      <c r="JGI43" s="119"/>
      <c r="JGJ43" s="119"/>
      <c r="JGK43" s="119"/>
      <c r="JGL43" s="119"/>
      <c r="JGM43" s="119"/>
      <c r="JGN43" s="119"/>
      <c r="JGO43" s="119"/>
      <c r="JGP43" s="119"/>
      <c r="JGQ43" s="119"/>
      <c r="JGR43" s="119"/>
      <c r="JGS43" s="119"/>
      <c r="JGT43" s="119"/>
      <c r="JGU43" s="119"/>
      <c r="JGV43" s="119"/>
      <c r="JGW43" s="119"/>
      <c r="JGX43" s="119"/>
      <c r="JGY43" s="119"/>
      <c r="JGZ43" s="119"/>
      <c r="JHA43" s="119"/>
      <c r="JHB43" s="119"/>
      <c r="JHC43" s="119"/>
      <c r="JHD43" s="119"/>
      <c r="JHE43" s="119"/>
      <c r="JHF43" s="119"/>
      <c r="JHG43" s="119"/>
      <c r="JHH43" s="119"/>
      <c r="JHI43" s="119"/>
      <c r="JHJ43" s="119"/>
      <c r="JHK43" s="119"/>
      <c r="JHL43" s="119"/>
      <c r="JHM43" s="119"/>
      <c r="JHN43" s="119"/>
      <c r="JHO43" s="119"/>
      <c r="JHP43" s="119"/>
      <c r="JHQ43" s="119"/>
      <c r="JHR43" s="119"/>
      <c r="JHS43" s="119"/>
      <c r="JHT43" s="119"/>
      <c r="JHU43" s="119"/>
      <c r="JHV43" s="119"/>
      <c r="JHW43" s="119"/>
      <c r="JHX43" s="119"/>
      <c r="JHY43" s="119"/>
      <c r="JHZ43" s="119"/>
      <c r="JIA43" s="119"/>
      <c r="JIB43" s="119"/>
      <c r="JIC43" s="119"/>
      <c r="JID43" s="119"/>
      <c r="JIE43" s="119"/>
      <c r="JIF43" s="119"/>
      <c r="JIG43" s="119"/>
      <c r="JIH43" s="119"/>
      <c r="JII43" s="119"/>
      <c r="JIJ43" s="119"/>
      <c r="JIK43" s="119"/>
      <c r="JIL43" s="119"/>
      <c r="JIM43" s="119"/>
      <c r="JIN43" s="119"/>
      <c r="JIO43" s="119"/>
      <c r="JIP43" s="119"/>
      <c r="JIQ43" s="119"/>
      <c r="JIR43" s="119"/>
      <c r="JIS43" s="119"/>
      <c r="JIT43" s="119"/>
      <c r="JIU43" s="119"/>
      <c r="JIV43" s="119"/>
      <c r="JIW43" s="119"/>
      <c r="JIX43" s="119"/>
      <c r="JIY43" s="119"/>
      <c r="JIZ43" s="119"/>
      <c r="JJA43" s="119"/>
      <c r="JJB43" s="119"/>
      <c r="JJC43" s="119"/>
      <c r="JJD43" s="119"/>
      <c r="JJE43" s="119"/>
      <c r="JJF43" s="119"/>
      <c r="JJG43" s="119"/>
      <c r="JJH43" s="119"/>
      <c r="JJI43" s="119"/>
      <c r="JJJ43" s="119"/>
      <c r="JJK43" s="119"/>
      <c r="JJL43" s="119"/>
      <c r="JJM43" s="119"/>
      <c r="JJN43" s="119"/>
      <c r="JJO43" s="119"/>
      <c r="JJP43" s="119"/>
      <c r="JJQ43" s="119"/>
      <c r="JJR43" s="119"/>
      <c r="JJS43" s="119"/>
      <c r="JJT43" s="119"/>
      <c r="JJU43" s="119"/>
      <c r="JJV43" s="119"/>
      <c r="JJW43" s="119"/>
      <c r="JJX43" s="119"/>
      <c r="JJY43" s="119"/>
      <c r="JJZ43" s="119"/>
      <c r="JKA43" s="119"/>
      <c r="JKB43" s="119"/>
      <c r="JKC43" s="119"/>
      <c r="JKD43" s="119"/>
      <c r="JKE43" s="119"/>
      <c r="JKF43" s="119"/>
      <c r="JKG43" s="119"/>
      <c r="JKH43" s="119"/>
      <c r="JKI43" s="119"/>
      <c r="JKJ43" s="119"/>
      <c r="JKK43" s="119"/>
      <c r="JKL43" s="119"/>
      <c r="JKM43" s="119"/>
      <c r="JKN43" s="119"/>
      <c r="JKO43" s="119"/>
      <c r="JKP43" s="119"/>
      <c r="JKQ43" s="119"/>
      <c r="JKR43" s="119"/>
      <c r="JKS43" s="119"/>
      <c r="JKT43" s="119"/>
      <c r="JKU43" s="119"/>
      <c r="JKV43" s="119"/>
      <c r="JKW43" s="119"/>
      <c r="JKX43" s="119"/>
      <c r="JKY43" s="119"/>
      <c r="JKZ43" s="119"/>
      <c r="JLA43" s="119"/>
      <c r="JLB43" s="119"/>
      <c r="JLC43" s="119"/>
      <c r="JLD43" s="119"/>
      <c r="JLE43" s="119"/>
      <c r="JLF43" s="119"/>
      <c r="JLG43" s="119"/>
      <c r="JLH43" s="119"/>
      <c r="JLI43" s="119"/>
      <c r="JLJ43" s="119"/>
      <c r="JLK43" s="119"/>
      <c r="JLL43" s="119"/>
      <c r="JLM43" s="119"/>
      <c r="JLN43" s="119"/>
      <c r="JLO43" s="119"/>
      <c r="JLP43" s="119"/>
      <c r="JLQ43" s="119"/>
      <c r="JLR43" s="119"/>
      <c r="JLS43" s="119"/>
      <c r="JLT43" s="119"/>
      <c r="JLU43" s="119"/>
      <c r="JLV43" s="119"/>
      <c r="JLW43" s="119"/>
      <c r="JLX43" s="119"/>
      <c r="JLY43" s="119"/>
      <c r="JLZ43" s="119"/>
      <c r="JMA43" s="119"/>
      <c r="JMB43" s="119"/>
      <c r="JMC43" s="119"/>
      <c r="JMD43" s="119"/>
      <c r="JME43" s="119"/>
      <c r="JMF43" s="119"/>
      <c r="JMG43" s="119"/>
      <c r="JMH43" s="119"/>
      <c r="JMI43" s="119"/>
      <c r="JMJ43" s="119"/>
      <c r="JMK43" s="119"/>
      <c r="JML43" s="119"/>
      <c r="JMM43" s="119"/>
      <c r="JMN43" s="119"/>
      <c r="JMO43" s="119"/>
      <c r="JMP43" s="119"/>
      <c r="JMQ43" s="119"/>
      <c r="JMR43" s="119"/>
      <c r="JMS43" s="119"/>
      <c r="JMT43" s="119"/>
      <c r="JMU43" s="119"/>
      <c r="JMV43" s="119"/>
      <c r="JMW43" s="119"/>
      <c r="JMX43" s="119"/>
      <c r="JMY43" s="119"/>
      <c r="JMZ43" s="119"/>
      <c r="JNA43" s="119"/>
      <c r="JNB43" s="119"/>
      <c r="JNC43" s="119"/>
      <c r="JND43" s="119"/>
      <c r="JNE43" s="119"/>
      <c r="JNF43" s="119"/>
      <c r="JNG43" s="119"/>
      <c r="JNH43" s="119"/>
      <c r="JNI43" s="119"/>
      <c r="JNJ43" s="119"/>
      <c r="JNK43" s="119"/>
      <c r="JNL43" s="119"/>
      <c r="JNM43" s="119"/>
      <c r="JNN43" s="119"/>
      <c r="JNO43" s="119"/>
      <c r="JNP43" s="119"/>
      <c r="JNQ43" s="119"/>
      <c r="JNR43" s="119"/>
      <c r="JNS43" s="119"/>
      <c r="JNT43" s="119"/>
      <c r="JNU43" s="119"/>
      <c r="JNV43" s="119"/>
      <c r="JNW43" s="119"/>
      <c r="JNX43" s="119"/>
      <c r="JNY43" s="119"/>
      <c r="JNZ43" s="119"/>
      <c r="JOA43" s="119"/>
      <c r="JOB43" s="119"/>
      <c r="JOC43" s="119"/>
      <c r="JOD43" s="119"/>
      <c r="JOE43" s="119"/>
      <c r="JOF43" s="119"/>
      <c r="JOG43" s="119"/>
      <c r="JOH43" s="119"/>
      <c r="JOI43" s="119"/>
      <c r="JOJ43" s="119"/>
      <c r="JOK43" s="119"/>
      <c r="JOL43" s="119"/>
      <c r="JOM43" s="119"/>
      <c r="JON43" s="119"/>
      <c r="JOO43" s="119"/>
      <c r="JOP43" s="119"/>
      <c r="JOQ43" s="119"/>
      <c r="JOR43" s="119"/>
      <c r="JOS43" s="119"/>
      <c r="JOT43" s="119"/>
      <c r="JOU43" s="119"/>
      <c r="JOV43" s="119"/>
      <c r="JOW43" s="119"/>
      <c r="JOX43" s="119"/>
      <c r="JOY43" s="119"/>
      <c r="JOZ43" s="119"/>
      <c r="JPA43" s="119"/>
      <c r="JPB43" s="119"/>
      <c r="JPC43" s="119"/>
      <c r="JPD43" s="119"/>
      <c r="JPE43" s="119"/>
      <c r="JPF43" s="119"/>
      <c r="JPG43" s="119"/>
      <c r="JPH43" s="119"/>
      <c r="JPI43" s="119"/>
      <c r="JPJ43" s="119"/>
      <c r="JPK43" s="119"/>
      <c r="JPL43" s="119"/>
      <c r="JPM43" s="119"/>
      <c r="JPN43" s="119"/>
      <c r="JPO43" s="119"/>
      <c r="JPP43" s="119"/>
      <c r="JPQ43" s="119"/>
      <c r="JPR43" s="119"/>
      <c r="JPS43" s="119"/>
      <c r="JPT43" s="119"/>
      <c r="JPU43" s="119"/>
      <c r="JPV43" s="119"/>
      <c r="JPW43" s="119"/>
      <c r="JPX43" s="119"/>
      <c r="JPY43" s="119"/>
      <c r="JPZ43" s="119"/>
      <c r="JQA43" s="119"/>
      <c r="JQB43" s="119"/>
      <c r="JQC43" s="119"/>
      <c r="JQD43" s="119"/>
      <c r="JQE43" s="119"/>
      <c r="JQF43" s="119"/>
      <c r="JQG43" s="119"/>
      <c r="JQH43" s="119"/>
      <c r="JQI43" s="119"/>
      <c r="JQJ43" s="119"/>
      <c r="JQK43" s="119"/>
      <c r="JQL43" s="119"/>
      <c r="JQM43" s="119"/>
      <c r="JQN43" s="119"/>
      <c r="JQO43" s="119"/>
      <c r="JQP43" s="119"/>
      <c r="JQQ43" s="119"/>
      <c r="JQR43" s="119"/>
      <c r="JQS43" s="119"/>
      <c r="JQT43" s="119"/>
      <c r="JQU43" s="119"/>
      <c r="JQV43" s="119"/>
      <c r="JQW43" s="119"/>
      <c r="JQX43" s="119"/>
      <c r="JQY43" s="119"/>
      <c r="JQZ43" s="119"/>
      <c r="JRA43" s="119"/>
      <c r="JRB43" s="119"/>
      <c r="JRC43" s="119"/>
      <c r="JRD43" s="119"/>
      <c r="JRE43" s="119"/>
      <c r="JRF43" s="119"/>
      <c r="JRG43" s="119"/>
      <c r="JRH43" s="119"/>
      <c r="JRI43" s="119"/>
      <c r="JRJ43" s="119"/>
      <c r="JRK43" s="119"/>
      <c r="JRL43" s="119"/>
      <c r="JRM43" s="119"/>
      <c r="JRN43" s="119"/>
      <c r="JRO43" s="119"/>
      <c r="JRP43" s="119"/>
      <c r="JRQ43" s="119"/>
      <c r="JRR43" s="119"/>
      <c r="JRS43" s="119"/>
      <c r="JRT43" s="119"/>
      <c r="JRU43" s="119"/>
      <c r="JRV43" s="119"/>
      <c r="JRW43" s="119"/>
      <c r="JRX43" s="119"/>
      <c r="JRY43" s="119"/>
      <c r="JRZ43" s="119"/>
      <c r="JSA43" s="119"/>
      <c r="JSB43" s="119"/>
      <c r="JSC43" s="119"/>
      <c r="JSD43" s="119"/>
      <c r="JSE43" s="119"/>
      <c r="JSF43" s="119"/>
      <c r="JSG43" s="119"/>
      <c r="JSH43" s="119"/>
      <c r="JSI43" s="119"/>
      <c r="JSJ43" s="119"/>
      <c r="JSK43" s="119"/>
      <c r="JSL43" s="119"/>
      <c r="JSM43" s="119"/>
      <c r="JSN43" s="119"/>
      <c r="JSO43" s="119"/>
      <c r="JSP43" s="119"/>
      <c r="JSQ43" s="119"/>
      <c r="JSR43" s="119"/>
      <c r="JSS43" s="119"/>
      <c r="JST43" s="119"/>
      <c r="JSU43" s="119"/>
      <c r="JSV43" s="119"/>
      <c r="JSW43" s="119"/>
      <c r="JSX43" s="119"/>
      <c r="JSY43" s="119"/>
      <c r="JSZ43" s="119"/>
      <c r="JTA43" s="119"/>
      <c r="JTB43" s="119"/>
      <c r="JTC43" s="119"/>
      <c r="JTD43" s="119"/>
      <c r="JTE43" s="119"/>
      <c r="JTF43" s="119"/>
      <c r="JTG43" s="119"/>
      <c r="JTH43" s="119"/>
      <c r="JTI43" s="119"/>
      <c r="JTJ43" s="119"/>
      <c r="JTK43" s="119"/>
      <c r="JTL43" s="119"/>
      <c r="JTM43" s="119"/>
      <c r="JTN43" s="119"/>
      <c r="JTO43" s="119"/>
      <c r="JTP43" s="119"/>
      <c r="JTQ43" s="119"/>
      <c r="JTR43" s="119"/>
      <c r="JTS43" s="119"/>
      <c r="JTT43" s="119"/>
      <c r="JTU43" s="119"/>
      <c r="JTV43" s="119"/>
      <c r="JTW43" s="119"/>
      <c r="JTX43" s="119"/>
      <c r="JTY43" s="119"/>
      <c r="JTZ43" s="119"/>
      <c r="JUA43" s="119"/>
      <c r="JUB43" s="119"/>
      <c r="JUC43" s="119"/>
      <c r="JUD43" s="119"/>
      <c r="JUE43" s="119"/>
      <c r="JUF43" s="119"/>
      <c r="JUG43" s="119"/>
      <c r="JUH43" s="119"/>
      <c r="JUI43" s="119"/>
      <c r="JUJ43" s="119"/>
      <c r="JUK43" s="119"/>
      <c r="JUL43" s="119"/>
      <c r="JUM43" s="119"/>
      <c r="JUN43" s="119"/>
      <c r="JUO43" s="119"/>
      <c r="JUP43" s="119"/>
      <c r="JUQ43" s="119"/>
      <c r="JUR43" s="119"/>
      <c r="JUS43" s="119"/>
      <c r="JUT43" s="119"/>
      <c r="JUU43" s="119"/>
      <c r="JUV43" s="119"/>
      <c r="JUW43" s="119"/>
      <c r="JUX43" s="119"/>
      <c r="JUY43" s="119"/>
      <c r="JUZ43" s="119"/>
      <c r="JVA43" s="119"/>
      <c r="JVB43" s="119"/>
      <c r="JVC43" s="119"/>
      <c r="JVD43" s="119"/>
      <c r="JVE43" s="119"/>
      <c r="JVF43" s="119"/>
      <c r="JVG43" s="119"/>
      <c r="JVH43" s="119"/>
      <c r="JVI43" s="119"/>
      <c r="JVJ43" s="119"/>
      <c r="JVK43" s="119"/>
      <c r="JVL43" s="119"/>
      <c r="JVM43" s="119"/>
      <c r="JVN43" s="119"/>
      <c r="JVO43" s="119"/>
      <c r="JVP43" s="119"/>
      <c r="JVQ43" s="119"/>
      <c r="JVR43" s="119"/>
      <c r="JVS43" s="119"/>
      <c r="JVT43" s="119"/>
      <c r="JVU43" s="119"/>
      <c r="JVV43" s="119"/>
      <c r="JVW43" s="119"/>
      <c r="JVX43" s="119"/>
      <c r="JVY43" s="119"/>
      <c r="JVZ43" s="119"/>
      <c r="JWA43" s="119"/>
      <c r="JWB43" s="119"/>
      <c r="JWC43" s="119"/>
      <c r="JWD43" s="119"/>
      <c r="JWE43" s="119"/>
      <c r="JWF43" s="119"/>
      <c r="JWG43" s="119"/>
      <c r="JWH43" s="119"/>
      <c r="JWI43" s="119"/>
      <c r="JWJ43" s="119"/>
      <c r="JWK43" s="119"/>
      <c r="JWL43" s="119"/>
      <c r="JWM43" s="119"/>
      <c r="JWN43" s="119"/>
      <c r="JWO43" s="119"/>
      <c r="JWP43" s="119"/>
      <c r="JWQ43" s="119"/>
      <c r="JWR43" s="119"/>
      <c r="JWS43" s="119"/>
      <c r="JWT43" s="119"/>
      <c r="JWU43" s="119"/>
      <c r="JWV43" s="119"/>
      <c r="JWW43" s="119"/>
      <c r="JWX43" s="119"/>
      <c r="JWY43" s="119"/>
      <c r="JWZ43" s="119"/>
      <c r="JXA43" s="119"/>
      <c r="JXB43" s="119"/>
      <c r="JXC43" s="119"/>
      <c r="JXD43" s="119"/>
      <c r="JXE43" s="119"/>
      <c r="JXF43" s="119"/>
      <c r="JXG43" s="119"/>
      <c r="JXH43" s="119"/>
      <c r="JXI43" s="119"/>
      <c r="JXJ43" s="119"/>
      <c r="JXK43" s="119"/>
      <c r="JXL43" s="119"/>
      <c r="JXM43" s="119"/>
      <c r="JXN43" s="119"/>
      <c r="JXO43" s="119"/>
      <c r="JXP43" s="119"/>
      <c r="JXQ43" s="119"/>
      <c r="JXR43" s="119"/>
      <c r="JXS43" s="119"/>
      <c r="JXT43" s="119"/>
      <c r="JXU43" s="119"/>
      <c r="JXV43" s="119"/>
      <c r="JXW43" s="119"/>
      <c r="JXX43" s="119"/>
      <c r="JXY43" s="119"/>
      <c r="JXZ43" s="119"/>
      <c r="JYA43" s="119"/>
      <c r="JYB43" s="119"/>
      <c r="JYC43" s="119"/>
      <c r="JYD43" s="119"/>
      <c r="JYE43" s="119"/>
      <c r="JYF43" s="119"/>
      <c r="JYG43" s="119"/>
      <c r="JYH43" s="119"/>
      <c r="JYI43" s="119"/>
      <c r="JYJ43" s="119"/>
      <c r="JYK43" s="119"/>
      <c r="JYL43" s="119"/>
      <c r="JYM43" s="119"/>
      <c r="JYN43" s="119"/>
      <c r="JYO43" s="119"/>
      <c r="JYP43" s="119"/>
      <c r="JYQ43" s="119"/>
      <c r="JYR43" s="119"/>
      <c r="JYS43" s="119"/>
      <c r="JYT43" s="119"/>
      <c r="JYU43" s="119"/>
      <c r="JYV43" s="119"/>
      <c r="JYW43" s="119"/>
      <c r="JYX43" s="119"/>
      <c r="JYY43" s="119"/>
      <c r="JYZ43" s="119"/>
      <c r="JZA43" s="119"/>
      <c r="JZB43" s="119"/>
      <c r="JZC43" s="119"/>
      <c r="JZD43" s="119"/>
      <c r="JZE43" s="119"/>
      <c r="JZF43" s="119"/>
      <c r="JZG43" s="119"/>
      <c r="JZH43" s="119"/>
      <c r="JZI43" s="119"/>
      <c r="JZJ43" s="119"/>
      <c r="JZK43" s="119"/>
      <c r="JZL43" s="119"/>
      <c r="JZM43" s="119"/>
      <c r="JZN43" s="119"/>
      <c r="JZO43" s="119"/>
      <c r="JZP43" s="119"/>
      <c r="JZQ43" s="119"/>
      <c r="JZR43" s="119"/>
      <c r="JZS43" s="119"/>
      <c r="JZT43" s="119"/>
      <c r="JZU43" s="119"/>
      <c r="JZV43" s="119"/>
      <c r="JZW43" s="119"/>
      <c r="JZX43" s="119"/>
      <c r="JZY43" s="119"/>
      <c r="JZZ43" s="119"/>
      <c r="KAA43" s="119"/>
      <c r="KAB43" s="119"/>
      <c r="KAC43" s="119"/>
      <c r="KAD43" s="119"/>
      <c r="KAE43" s="119"/>
      <c r="KAF43" s="119"/>
      <c r="KAG43" s="119"/>
      <c r="KAH43" s="119"/>
      <c r="KAI43" s="119"/>
      <c r="KAJ43" s="119"/>
      <c r="KAK43" s="119"/>
      <c r="KAL43" s="119"/>
      <c r="KAM43" s="119"/>
      <c r="KAN43" s="119"/>
      <c r="KAO43" s="119"/>
      <c r="KAP43" s="119"/>
      <c r="KAQ43" s="119"/>
      <c r="KAR43" s="119"/>
      <c r="KAS43" s="119"/>
      <c r="KAT43" s="119"/>
      <c r="KAU43" s="119"/>
      <c r="KAV43" s="119"/>
      <c r="KAW43" s="119"/>
      <c r="KAX43" s="119"/>
      <c r="KAY43" s="119"/>
      <c r="KAZ43" s="119"/>
      <c r="KBA43" s="119"/>
      <c r="KBB43" s="119"/>
      <c r="KBC43" s="119"/>
      <c r="KBD43" s="119"/>
      <c r="KBE43" s="119"/>
      <c r="KBF43" s="119"/>
      <c r="KBG43" s="119"/>
      <c r="KBH43" s="119"/>
      <c r="KBI43" s="119"/>
      <c r="KBJ43" s="119"/>
      <c r="KBK43" s="119"/>
      <c r="KBL43" s="119"/>
      <c r="KBM43" s="119"/>
      <c r="KBN43" s="119"/>
      <c r="KBO43" s="119"/>
      <c r="KBP43" s="119"/>
      <c r="KBQ43" s="119"/>
      <c r="KBR43" s="119"/>
      <c r="KBS43" s="119"/>
      <c r="KBT43" s="119"/>
      <c r="KBU43" s="119"/>
      <c r="KBV43" s="119"/>
      <c r="KBW43" s="119"/>
      <c r="KBX43" s="119"/>
      <c r="KBY43" s="119"/>
      <c r="KBZ43" s="119"/>
      <c r="KCA43" s="119"/>
      <c r="KCB43" s="119"/>
      <c r="KCC43" s="119"/>
      <c r="KCD43" s="119"/>
      <c r="KCE43" s="119"/>
      <c r="KCF43" s="119"/>
      <c r="KCG43" s="119"/>
      <c r="KCH43" s="119"/>
      <c r="KCI43" s="119"/>
      <c r="KCJ43" s="119"/>
      <c r="KCK43" s="119"/>
      <c r="KCL43" s="119"/>
      <c r="KCM43" s="119"/>
      <c r="KCN43" s="119"/>
      <c r="KCO43" s="119"/>
      <c r="KCP43" s="119"/>
      <c r="KCQ43" s="119"/>
      <c r="KCR43" s="119"/>
      <c r="KCS43" s="119"/>
      <c r="KCT43" s="119"/>
      <c r="KCU43" s="119"/>
      <c r="KCV43" s="119"/>
      <c r="KCW43" s="119"/>
      <c r="KCX43" s="119"/>
      <c r="KCY43" s="119"/>
      <c r="KCZ43" s="119"/>
      <c r="KDA43" s="119"/>
      <c r="KDB43" s="119"/>
      <c r="KDC43" s="119"/>
      <c r="KDD43" s="119"/>
      <c r="KDE43" s="119"/>
      <c r="KDF43" s="119"/>
      <c r="KDG43" s="119"/>
      <c r="KDH43" s="119"/>
      <c r="KDI43" s="119"/>
      <c r="KDJ43" s="119"/>
      <c r="KDK43" s="119"/>
      <c r="KDL43" s="119"/>
      <c r="KDM43" s="119"/>
      <c r="KDN43" s="119"/>
      <c r="KDO43" s="119"/>
      <c r="KDP43" s="119"/>
      <c r="KDQ43" s="119"/>
      <c r="KDR43" s="119"/>
      <c r="KDS43" s="119"/>
      <c r="KDT43" s="119"/>
      <c r="KDU43" s="119"/>
      <c r="KDV43" s="119"/>
      <c r="KDW43" s="119"/>
      <c r="KDX43" s="119"/>
      <c r="KDY43" s="119"/>
      <c r="KDZ43" s="119"/>
      <c r="KEA43" s="119"/>
      <c r="KEB43" s="119"/>
      <c r="KEC43" s="119"/>
      <c r="KED43" s="119"/>
      <c r="KEE43" s="119"/>
      <c r="KEF43" s="119"/>
      <c r="KEG43" s="119"/>
      <c r="KEH43" s="119"/>
      <c r="KEI43" s="119"/>
      <c r="KEJ43" s="119"/>
      <c r="KEK43" s="119"/>
      <c r="KEL43" s="119"/>
      <c r="KEM43" s="119"/>
      <c r="KEN43" s="119"/>
      <c r="KEO43" s="119"/>
      <c r="KEP43" s="119"/>
      <c r="KEQ43" s="119"/>
      <c r="KER43" s="119"/>
      <c r="KES43" s="119"/>
      <c r="KET43" s="119"/>
      <c r="KEU43" s="119"/>
      <c r="KEV43" s="119"/>
      <c r="KEW43" s="119"/>
      <c r="KEX43" s="119"/>
      <c r="KEY43" s="119"/>
      <c r="KEZ43" s="119"/>
      <c r="KFA43" s="119"/>
      <c r="KFB43" s="119"/>
      <c r="KFC43" s="119"/>
      <c r="KFD43" s="119"/>
      <c r="KFE43" s="119"/>
      <c r="KFF43" s="119"/>
      <c r="KFG43" s="119"/>
      <c r="KFH43" s="119"/>
      <c r="KFI43" s="119"/>
      <c r="KFJ43" s="119"/>
      <c r="KFK43" s="119"/>
      <c r="KFL43" s="119"/>
      <c r="KFM43" s="119"/>
      <c r="KFN43" s="119"/>
      <c r="KFO43" s="119"/>
      <c r="KFP43" s="119"/>
      <c r="KFQ43" s="119"/>
      <c r="KFR43" s="119"/>
      <c r="KFS43" s="119"/>
      <c r="KFT43" s="119"/>
      <c r="KFU43" s="119"/>
      <c r="KFV43" s="119"/>
      <c r="KFW43" s="119"/>
      <c r="KFX43" s="119"/>
      <c r="KFY43" s="119"/>
      <c r="KFZ43" s="119"/>
      <c r="KGA43" s="119"/>
      <c r="KGB43" s="119"/>
      <c r="KGC43" s="119"/>
      <c r="KGD43" s="119"/>
      <c r="KGE43" s="119"/>
      <c r="KGF43" s="119"/>
      <c r="KGG43" s="119"/>
      <c r="KGH43" s="119"/>
      <c r="KGI43" s="119"/>
      <c r="KGJ43" s="119"/>
      <c r="KGK43" s="119"/>
      <c r="KGL43" s="119"/>
      <c r="KGM43" s="119"/>
      <c r="KGN43" s="119"/>
      <c r="KGO43" s="119"/>
      <c r="KGP43" s="119"/>
      <c r="KGQ43" s="119"/>
      <c r="KGR43" s="119"/>
      <c r="KGS43" s="119"/>
      <c r="KGT43" s="119"/>
      <c r="KGU43" s="119"/>
      <c r="KGV43" s="119"/>
      <c r="KGW43" s="119"/>
      <c r="KGX43" s="119"/>
      <c r="KGY43" s="119"/>
      <c r="KGZ43" s="119"/>
      <c r="KHA43" s="119"/>
      <c r="KHB43" s="119"/>
      <c r="KHC43" s="119"/>
      <c r="KHD43" s="119"/>
      <c r="KHE43" s="119"/>
      <c r="KHF43" s="119"/>
      <c r="KHG43" s="119"/>
      <c r="KHH43" s="119"/>
      <c r="KHI43" s="119"/>
      <c r="KHJ43" s="119"/>
      <c r="KHK43" s="119"/>
      <c r="KHL43" s="119"/>
      <c r="KHM43" s="119"/>
      <c r="KHN43" s="119"/>
      <c r="KHO43" s="119"/>
      <c r="KHP43" s="119"/>
      <c r="KHQ43" s="119"/>
      <c r="KHR43" s="119"/>
      <c r="KHS43" s="119"/>
      <c r="KHT43" s="119"/>
      <c r="KHU43" s="119"/>
      <c r="KHV43" s="119"/>
      <c r="KHW43" s="119"/>
      <c r="KHX43" s="119"/>
      <c r="KHY43" s="119"/>
      <c r="KHZ43" s="119"/>
      <c r="KIA43" s="119"/>
      <c r="KIB43" s="119"/>
      <c r="KIC43" s="119"/>
      <c r="KID43" s="119"/>
      <c r="KIE43" s="119"/>
      <c r="KIF43" s="119"/>
      <c r="KIG43" s="119"/>
      <c r="KIH43" s="119"/>
      <c r="KII43" s="119"/>
      <c r="KIJ43" s="119"/>
      <c r="KIK43" s="119"/>
      <c r="KIL43" s="119"/>
      <c r="KIM43" s="119"/>
      <c r="KIN43" s="119"/>
      <c r="KIO43" s="119"/>
      <c r="KIP43" s="119"/>
      <c r="KIQ43" s="119"/>
      <c r="KIR43" s="119"/>
      <c r="KIS43" s="119"/>
      <c r="KIT43" s="119"/>
      <c r="KIU43" s="119"/>
      <c r="KIV43" s="119"/>
      <c r="KIW43" s="119"/>
      <c r="KIX43" s="119"/>
      <c r="KIY43" s="119"/>
      <c r="KIZ43" s="119"/>
      <c r="KJA43" s="119"/>
      <c r="KJB43" s="119"/>
      <c r="KJC43" s="119"/>
      <c r="KJD43" s="119"/>
      <c r="KJE43" s="119"/>
      <c r="KJF43" s="119"/>
      <c r="KJG43" s="119"/>
      <c r="KJH43" s="119"/>
      <c r="KJI43" s="119"/>
      <c r="KJJ43" s="119"/>
      <c r="KJK43" s="119"/>
      <c r="KJL43" s="119"/>
      <c r="KJM43" s="119"/>
      <c r="KJN43" s="119"/>
      <c r="KJO43" s="119"/>
      <c r="KJP43" s="119"/>
      <c r="KJQ43" s="119"/>
      <c r="KJR43" s="119"/>
      <c r="KJS43" s="119"/>
      <c r="KJT43" s="119"/>
      <c r="KJU43" s="119"/>
      <c r="KJV43" s="119"/>
      <c r="KJW43" s="119"/>
      <c r="KJX43" s="119"/>
      <c r="KJY43" s="119"/>
      <c r="KJZ43" s="119"/>
      <c r="KKA43" s="119"/>
      <c r="KKB43" s="119"/>
      <c r="KKC43" s="119"/>
      <c r="KKD43" s="119"/>
      <c r="KKE43" s="119"/>
      <c r="KKF43" s="119"/>
      <c r="KKG43" s="119"/>
      <c r="KKH43" s="119"/>
      <c r="KKI43" s="119"/>
      <c r="KKJ43" s="119"/>
      <c r="KKK43" s="119"/>
      <c r="KKL43" s="119"/>
      <c r="KKM43" s="119"/>
      <c r="KKN43" s="119"/>
      <c r="KKO43" s="119"/>
      <c r="KKP43" s="119"/>
      <c r="KKQ43" s="119"/>
      <c r="KKR43" s="119"/>
      <c r="KKS43" s="119"/>
      <c r="KKT43" s="119"/>
      <c r="KKU43" s="119"/>
      <c r="KKV43" s="119"/>
      <c r="KKW43" s="119"/>
      <c r="KKX43" s="119"/>
      <c r="KKY43" s="119"/>
      <c r="KKZ43" s="119"/>
      <c r="KLA43" s="119"/>
      <c r="KLB43" s="119"/>
      <c r="KLC43" s="119"/>
      <c r="KLD43" s="119"/>
      <c r="KLE43" s="119"/>
      <c r="KLF43" s="119"/>
      <c r="KLG43" s="119"/>
      <c r="KLH43" s="119"/>
      <c r="KLI43" s="119"/>
      <c r="KLJ43" s="119"/>
      <c r="KLK43" s="119"/>
      <c r="KLL43" s="119"/>
      <c r="KLM43" s="119"/>
      <c r="KLN43" s="119"/>
      <c r="KLO43" s="119"/>
      <c r="KLP43" s="119"/>
      <c r="KLQ43" s="119"/>
      <c r="KLR43" s="119"/>
      <c r="KLS43" s="119"/>
      <c r="KLT43" s="119"/>
      <c r="KLU43" s="119"/>
      <c r="KLV43" s="119"/>
      <c r="KLW43" s="119"/>
      <c r="KLX43" s="119"/>
      <c r="KLY43" s="119"/>
      <c r="KLZ43" s="119"/>
      <c r="KMA43" s="119"/>
      <c r="KMB43" s="119"/>
      <c r="KMC43" s="119"/>
      <c r="KMD43" s="119"/>
      <c r="KME43" s="119"/>
      <c r="KMF43" s="119"/>
      <c r="KMG43" s="119"/>
      <c r="KMH43" s="119"/>
      <c r="KMI43" s="119"/>
      <c r="KMJ43" s="119"/>
      <c r="KMK43" s="119"/>
      <c r="KML43" s="119"/>
      <c r="KMM43" s="119"/>
      <c r="KMN43" s="119"/>
      <c r="KMO43" s="119"/>
      <c r="KMP43" s="119"/>
      <c r="KMQ43" s="119"/>
      <c r="KMR43" s="119"/>
      <c r="KMS43" s="119"/>
      <c r="KMT43" s="119"/>
      <c r="KMU43" s="119"/>
      <c r="KMV43" s="119"/>
      <c r="KMW43" s="119"/>
      <c r="KMX43" s="119"/>
      <c r="KMY43" s="119"/>
      <c r="KMZ43" s="119"/>
      <c r="KNA43" s="119"/>
      <c r="KNB43" s="119"/>
      <c r="KNC43" s="119"/>
      <c r="KND43" s="119"/>
      <c r="KNE43" s="119"/>
      <c r="KNF43" s="119"/>
      <c r="KNG43" s="119"/>
      <c r="KNH43" s="119"/>
      <c r="KNI43" s="119"/>
      <c r="KNJ43" s="119"/>
      <c r="KNK43" s="119"/>
      <c r="KNL43" s="119"/>
      <c r="KNM43" s="119"/>
      <c r="KNN43" s="119"/>
      <c r="KNO43" s="119"/>
      <c r="KNP43" s="119"/>
      <c r="KNQ43" s="119"/>
      <c r="KNR43" s="119"/>
      <c r="KNS43" s="119"/>
      <c r="KNT43" s="119"/>
      <c r="KNU43" s="119"/>
      <c r="KNV43" s="119"/>
      <c r="KNW43" s="119"/>
      <c r="KNX43" s="119"/>
      <c r="KNY43" s="119"/>
      <c r="KNZ43" s="119"/>
      <c r="KOA43" s="119"/>
      <c r="KOB43" s="119"/>
      <c r="KOC43" s="119"/>
      <c r="KOD43" s="119"/>
      <c r="KOE43" s="119"/>
      <c r="KOF43" s="119"/>
      <c r="KOG43" s="119"/>
      <c r="KOH43" s="119"/>
      <c r="KOI43" s="119"/>
      <c r="KOJ43" s="119"/>
      <c r="KOK43" s="119"/>
      <c r="KOL43" s="119"/>
      <c r="KOM43" s="119"/>
      <c r="KON43" s="119"/>
      <c r="KOO43" s="119"/>
      <c r="KOP43" s="119"/>
      <c r="KOQ43" s="119"/>
      <c r="KOR43" s="119"/>
      <c r="KOS43" s="119"/>
      <c r="KOT43" s="119"/>
      <c r="KOU43" s="119"/>
      <c r="KOV43" s="119"/>
      <c r="KOW43" s="119"/>
      <c r="KOX43" s="119"/>
      <c r="KOY43" s="119"/>
      <c r="KOZ43" s="119"/>
      <c r="KPA43" s="119"/>
      <c r="KPB43" s="119"/>
      <c r="KPC43" s="119"/>
      <c r="KPD43" s="119"/>
      <c r="KPE43" s="119"/>
      <c r="KPF43" s="119"/>
      <c r="KPG43" s="119"/>
      <c r="KPH43" s="119"/>
      <c r="KPI43" s="119"/>
      <c r="KPJ43" s="119"/>
      <c r="KPK43" s="119"/>
      <c r="KPL43" s="119"/>
      <c r="KPM43" s="119"/>
      <c r="KPN43" s="119"/>
      <c r="KPO43" s="119"/>
      <c r="KPP43" s="119"/>
      <c r="KPQ43" s="119"/>
      <c r="KPR43" s="119"/>
      <c r="KPS43" s="119"/>
      <c r="KPT43" s="119"/>
      <c r="KPU43" s="119"/>
      <c r="KPV43" s="119"/>
      <c r="KPW43" s="119"/>
      <c r="KPX43" s="119"/>
      <c r="KPY43" s="119"/>
      <c r="KPZ43" s="119"/>
      <c r="KQA43" s="119"/>
      <c r="KQB43" s="119"/>
      <c r="KQC43" s="119"/>
      <c r="KQD43" s="119"/>
      <c r="KQE43" s="119"/>
      <c r="KQF43" s="119"/>
      <c r="KQG43" s="119"/>
      <c r="KQH43" s="119"/>
      <c r="KQI43" s="119"/>
      <c r="KQJ43" s="119"/>
      <c r="KQK43" s="119"/>
      <c r="KQL43" s="119"/>
      <c r="KQM43" s="119"/>
      <c r="KQN43" s="119"/>
      <c r="KQO43" s="119"/>
      <c r="KQP43" s="119"/>
      <c r="KQQ43" s="119"/>
      <c r="KQR43" s="119"/>
      <c r="KQS43" s="119"/>
      <c r="KQT43" s="119"/>
      <c r="KQU43" s="119"/>
      <c r="KQV43" s="119"/>
      <c r="KQW43" s="119"/>
      <c r="KQX43" s="119"/>
      <c r="KQY43" s="119"/>
      <c r="KQZ43" s="119"/>
      <c r="KRA43" s="119"/>
      <c r="KRB43" s="119"/>
      <c r="KRC43" s="119"/>
      <c r="KRD43" s="119"/>
      <c r="KRE43" s="119"/>
      <c r="KRF43" s="119"/>
      <c r="KRG43" s="119"/>
      <c r="KRH43" s="119"/>
      <c r="KRI43" s="119"/>
      <c r="KRJ43" s="119"/>
      <c r="KRK43" s="119"/>
      <c r="KRL43" s="119"/>
      <c r="KRM43" s="119"/>
      <c r="KRN43" s="119"/>
      <c r="KRO43" s="119"/>
      <c r="KRP43" s="119"/>
      <c r="KRQ43" s="119"/>
      <c r="KRR43" s="119"/>
      <c r="KRS43" s="119"/>
      <c r="KRT43" s="119"/>
      <c r="KRU43" s="119"/>
      <c r="KRV43" s="119"/>
      <c r="KRW43" s="119"/>
      <c r="KRX43" s="119"/>
      <c r="KRY43" s="119"/>
      <c r="KRZ43" s="119"/>
      <c r="KSA43" s="119"/>
      <c r="KSB43" s="119"/>
      <c r="KSC43" s="119"/>
      <c r="KSD43" s="119"/>
      <c r="KSE43" s="119"/>
      <c r="KSF43" s="119"/>
      <c r="KSG43" s="119"/>
      <c r="KSH43" s="119"/>
      <c r="KSI43" s="119"/>
      <c r="KSJ43" s="119"/>
      <c r="KSK43" s="119"/>
      <c r="KSL43" s="119"/>
      <c r="KSM43" s="119"/>
      <c r="KSN43" s="119"/>
      <c r="KSO43" s="119"/>
      <c r="KSP43" s="119"/>
      <c r="KSQ43" s="119"/>
      <c r="KSR43" s="119"/>
      <c r="KSS43" s="119"/>
      <c r="KST43" s="119"/>
      <c r="KSU43" s="119"/>
      <c r="KSV43" s="119"/>
      <c r="KSW43" s="119"/>
      <c r="KSX43" s="119"/>
      <c r="KSY43" s="119"/>
      <c r="KSZ43" s="119"/>
      <c r="KTA43" s="119"/>
      <c r="KTB43" s="119"/>
      <c r="KTC43" s="119"/>
      <c r="KTD43" s="119"/>
      <c r="KTE43" s="119"/>
      <c r="KTF43" s="119"/>
      <c r="KTG43" s="119"/>
      <c r="KTH43" s="119"/>
      <c r="KTI43" s="119"/>
      <c r="KTJ43" s="119"/>
      <c r="KTK43" s="119"/>
      <c r="KTL43" s="119"/>
      <c r="KTM43" s="119"/>
      <c r="KTN43" s="119"/>
      <c r="KTO43" s="119"/>
      <c r="KTP43" s="119"/>
      <c r="KTQ43" s="119"/>
      <c r="KTR43" s="119"/>
      <c r="KTS43" s="119"/>
      <c r="KTT43" s="119"/>
      <c r="KTU43" s="119"/>
      <c r="KTV43" s="119"/>
      <c r="KTW43" s="119"/>
      <c r="KTX43" s="119"/>
      <c r="KTY43" s="119"/>
      <c r="KTZ43" s="119"/>
      <c r="KUA43" s="119"/>
      <c r="KUB43" s="119"/>
      <c r="KUC43" s="119"/>
      <c r="KUD43" s="119"/>
      <c r="KUE43" s="119"/>
      <c r="KUF43" s="119"/>
      <c r="KUG43" s="119"/>
      <c r="KUH43" s="119"/>
      <c r="KUI43" s="119"/>
      <c r="KUJ43" s="119"/>
      <c r="KUK43" s="119"/>
      <c r="KUL43" s="119"/>
      <c r="KUM43" s="119"/>
      <c r="KUN43" s="119"/>
      <c r="KUO43" s="119"/>
      <c r="KUP43" s="119"/>
      <c r="KUQ43" s="119"/>
      <c r="KUR43" s="119"/>
      <c r="KUS43" s="119"/>
      <c r="KUT43" s="119"/>
      <c r="KUU43" s="119"/>
      <c r="KUV43" s="119"/>
      <c r="KUW43" s="119"/>
      <c r="KUX43" s="119"/>
      <c r="KUY43" s="119"/>
      <c r="KUZ43" s="119"/>
      <c r="KVA43" s="119"/>
      <c r="KVB43" s="119"/>
      <c r="KVC43" s="119"/>
      <c r="KVD43" s="119"/>
      <c r="KVE43" s="119"/>
      <c r="KVF43" s="119"/>
      <c r="KVG43" s="119"/>
      <c r="KVH43" s="119"/>
      <c r="KVI43" s="119"/>
      <c r="KVJ43" s="119"/>
      <c r="KVK43" s="119"/>
      <c r="KVL43" s="119"/>
      <c r="KVM43" s="119"/>
      <c r="KVN43" s="119"/>
      <c r="KVO43" s="119"/>
      <c r="KVP43" s="119"/>
      <c r="KVQ43" s="119"/>
      <c r="KVR43" s="119"/>
      <c r="KVS43" s="119"/>
      <c r="KVT43" s="119"/>
      <c r="KVU43" s="119"/>
      <c r="KVV43" s="119"/>
      <c r="KVW43" s="119"/>
      <c r="KVX43" s="119"/>
      <c r="KVY43" s="119"/>
      <c r="KVZ43" s="119"/>
      <c r="KWA43" s="119"/>
      <c r="KWB43" s="119"/>
      <c r="KWC43" s="119"/>
      <c r="KWD43" s="119"/>
      <c r="KWE43" s="119"/>
      <c r="KWF43" s="119"/>
      <c r="KWG43" s="119"/>
      <c r="KWH43" s="119"/>
      <c r="KWI43" s="119"/>
      <c r="KWJ43" s="119"/>
      <c r="KWK43" s="119"/>
      <c r="KWL43" s="119"/>
      <c r="KWM43" s="119"/>
      <c r="KWN43" s="119"/>
      <c r="KWO43" s="119"/>
      <c r="KWP43" s="119"/>
      <c r="KWQ43" s="119"/>
      <c r="KWR43" s="119"/>
      <c r="KWS43" s="119"/>
      <c r="KWT43" s="119"/>
      <c r="KWU43" s="119"/>
      <c r="KWV43" s="119"/>
      <c r="KWW43" s="119"/>
      <c r="KWX43" s="119"/>
      <c r="KWY43" s="119"/>
      <c r="KWZ43" s="119"/>
      <c r="KXA43" s="119"/>
      <c r="KXB43" s="119"/>
      <c r="KXC43" s="119"/>
      <c r="KXD43" s="119"/>
      <c r="KXE43" s="119"/>
      <c r="KXF43" s="119"/>
      <c r="KXG43" s="119"/>
      <c r="KXH43" s="119"/>
      <c r="KXI43" s="119"/>
      <c r="KXJ43" s="119"/>
      <c r="KXK43" s="119"/>
      <c r="KXL43" s="119"/>
      <c r="KXM43" s="119"/>
      <c r="KXN43" s="119"/>
      <c r="KXO43" s="119"/>
      <c r="KXP43" s="119"/>
      <c r="KXQ43" s="119"/>
      <c r="KXR43" s="119"/>
      <c r="KXS43" s="119"/>
      <c r="KXT43" s="119"/>
      <c r="KXU43" s="119"/>
      <c r="KXV43" s="119"/>
      <c r="KXW43" s="119"/>
      <c r="KXX43" s="119"/>
      <c r="KXY43" s="119"/>
      <c r="KXZ43" s="119"/>
      <c r="KYA43" s="119"/>
      <c r="KYB43" s="119"/>
      <c r="KYC43" s="119"/>
      <c r="KYD43" s="119"/>
      <c r="KYE43" s="119"/>
      <c r="KYF43" s="119"/>
      <c r="KYG43" s="119"/>
      <c r="KYH43" s="119"/>
      <c r="KYI43" s="119"/>
      <c r="KYJ43" s="119"/>
      <c r="KYK43" s="119"/>
      <c r="KYL43" s="119"/>
      <c r="KYM43" s="119"/>
      <c r="KYN43" s="119"/>
      <c r="KYO43" s="119"/>
      <c r="KYP43" s="119"/>
      <c r="KYQ43" s="119"/>
      <c r="KYR43" s="119"/>
      <c r="KYS43" s="119"/>
      <c r="KYT43" s="119"/>
      <c r="KYU43" s="119"/>
      <c r="KYV43" s="119"/>
      <c r="KYW43" s="119"/>
      <c r="KYX43" s="119"/>
      <c r="KYY43" s="119"/>
      <c r="KYZ43" s="119"/>
      <c r="KZA43" s="119"/>
      <c r="KZB43" s="119"/>
      <c r="KZC43" s="119"/>
      <c r="KZD43" s="119"/>
      <c r="KZE43" s="119"/>
      <c r="KZF43" s="119"/>
      <c r="KZG43" s="119"/>
      <c r="KZH43" s="119"/>
      <c r="KZI43" s="119"/>
      <c r="KZJ43" s="119"/>
      <c r="KZK43" s="119"/>
      <c r="KZL43" s="119"/>
      <c r="KZM43" s="119"/>
      <c r="KZN43" s="119"/>
      <c r="KZO43" s="119"/>
      <c r="KZP43" s="119"/>
      <c r="KZQ43" s="119"/>
      <c r="KZR43" s="119"/>
      <c r="KZS43" s="119"/>
      <c r="KZT43" s="119"/>
      <c r="KZU43" s="119"/>
      <c r="KZV43" s="119"/>
      <c r="KZW43" s="119"/>
      <c r="KZX43" s="119"/>
      <c r="KZY43" s="119"/>
      <c r="KZZ43" s="119"/>
      <c r="LAA43" s="119"/>
      <c r="LAB43" s="119"/>
      <c r="LAC43" s="119"/>
      <c r="LAD43" s="119"/>
      <c r="LAE43" s="119"/>
      <c r="LAF43" s="119"/>
      <c r="LAG43" s="119"/>
      <c r="LAH43" s="119"/>
      <c r="LAI43" s="119"/>
      <c r="LAJ43" s="119"/>
      <c r="LAK43" s="119"/>
      <c r="LAL43" s="119"/>
      <c r="LAM43" s="119"/>
      <c r="LAN43" s="119"/>
      <c r="LAO43" s="119"/>
      <c r="LAP43" s="119"/>
      <c r="LAQ43" s="119"/>
      <c r="LAR43" s="119"/>
      <c r="LAS43" s="119"/>
      <c r="LAT43" s="119"/>
      <c r="LAU43" s="119"/>
      <c r="LAV43" s="119"/>
      <c r="LAW43" s="119"/>
      <c r="LAX43" s="119"/>
      <c r="LAY43" s="119"/>
      <c r="LAZ43" s="119"/>
      <c r="LBA43" s="119"/>
      <c r="LBB43" s="119"/>
      <c r="LBC43" s="119"/>
      <c r="LBD43" s="119"/>
      <c r="LBE43" s="119"/>
      <c r="LBF43" s="119"/>
      <c r="LBG43" s="119"/>
      <c r="LBH43" s="119"/>
      <c r="LBI43" s="119"/>
      <c r="LBJ43" s="119"/>
      <c r="LBK43" s="119"/>
      <c r="LBL43" s="119"/>
      <c r="LBM43" s="119"/>
      <c r="LBN43" s="119"/>
      <c r="LBO43" s="119"/>
      <c r="LBP43" s="119"/>
      <c r="LBQ43" s="119"/>
      <c r="LBR43" s="119"/>
      <c r="LBS43" s="119"/>
      <c r="LBT43" s="119"/>
      <c r="LBU43" s="119"/>
      <c r="LBV43" s="119"/>
      <c r="LBW43" s="119"/>
      <c r="LBX43" s="119"/>
      <c r="LBY43" s="119"/>
      <c r="LBZ43" s="119"/>
      <c r="LCA43" s="119"/>
      <c r="LCB43" s="119"/>
      <c r="LCC43" s="119"/>
      <c r="LCD43" s="119"/>
      <c r="LCE43" s="119"/>
      <c r="LCF43" s="119"/>
      <c r="LCG43" s="119"/>
      <c r="LCH43" s="119"/>
      <c r="LCI43" s="119"/>
      <c r="LCJ43" s="119"/>
      <c r="LCK43" s="119"/>
      <c r="LCL43" s="119"/>
      <c r="LCM43" s="119"/>
      <c r="LCN43" s="119"/>
      <c r="LCO43" s="119"/>
      <c r="LCP43" s="119"/>
      <c r="LCQ43" s="119"/>
      <c r="LCR43" s="119"/>
      <c r="LCS43" s="119"/>
      <c r="LCT43" s="119"/>
      <c r="LCU43" s="119"/>
      <c r="LCV43" s="119"/>
      <c r="LCW43" s="119"/>
      <c r="LCX43" s="119"/>
      <c r="LCY43" s="119"/>
      <c r="LCZ43" s="119"/>
      <c r="LDA43" s="119"/>
      <c r="LDB43" s="119"/>
      <c r="LDC43" s="119"/>
      <c r="LDD43" s="119"/>
      <c r="LDE43" s="119"/>
      <c r="LDF43" s="119"/>
      <c r="LDG43" s="119"/>
      <c r="LDH43" s="119"/>
      <c r="LDI43" s="119"/>
      <c r="LDJ43" s="119"/>
      <c r="LDK43" s="119"/>
      <c r="LDL43" s="119"/>
      <c r="LDM43" s="119"/>
      <c r="LDN43" s="119"/>
      <c r="LDO43" s="119"/>
      <c r="LDP43" s="119"/>
      <c r="LDQ43" s="119"/>
      <c r="LDR43" s="119"/>
      <c r="LDS43" s="119"/>
      <c r="LDT43" s="119"/>
      <c r="LDU43" s="119"/>
      <c r="LDV43" s="119"/>
      <c r="LDW43" s="119"/>
      <c r="LDX43" s="119"/>
      <c r="LDY43" s="119"/>
      <c r="LDZ43" s="119"/>
      <c r="LEA43" s="119"/>
      <c r="LEB43" s="119"/>
      <c r="LEC43" s="119"/>
      <c r="LED43" s="119"/>
      <c r="LEE43" s="119"/>
      <c r="LEF43" s="119"/>
      <c r="LEG43" s="119"/>
      <c r="LEH43" s="119"/>
      <c r="LEI43" s="119"/>
      <c r="LEJ43" s="119"/>
      <c r="LEK43" s="119"/>
      <c r="LEL43" s="119"/>
      <c r="LEM43" s="119"/>
      <c r="LEN43" s="119"/>
      <c r="LEO43" s="119"/>
      <c r="LEP43" s="119"/>
      <c r="LEQ43" s="119"/>
      <c r="LER43" s="119"/>
      <c r="LES43" s="119"/>
      <c r="LET43" s="119"/>
      <c r="LEU43" s="119"/>
      <c r="LEV43" s="119"/>
      <c r="LEW43" s="119"/>
      <c r="LEX43" s="119"/>
      <c r="LEY43" s="119"/>
      <c r="LEZ43" s="119"/>
      <c r="LFA43" s="119"/>
      <c r="LFB43" s="119"/>
      <c r="LFC43" s="119"/>
      <c r="LFD43" s="119"/>
      <c r="LFE43" s="119"/>
      <c r="LFF43" s="119"/>
      <c r="LFG43" s="119"/>
      <c r="LFH43" s="119"/>
      <c r="LFI43" s="119"/>
      <c r="LFJ43" s="119"/>
      <c r="LFK43" s="119"/>
      <c r="LFL43" s="119"/>
      <c r="LFM43" s="119"/>
      <c r="LFN43" s="119"/>
      <c r="LFO43" s="119"/>
      <c r="LFP43" s="119"/>
      <c r="LFQ43" s="119"/>
      <c r="LFR43" s="119"/>
      <c r="LFS43" s="119"/>
      <c r="LFT43" s="119"/>
      <c r="LFU43" s="119"/>
      <c r="LFV43" s="119"/>
      <c r="LFW43" s="119"/>
      <c r="LFX43" s="119"/>
      <c r="LFY43" s="119"/>
      <c r="LFZ43" s="119"/>
      <c r="LGA43" s="119"/>
      <c r="LGB43" s="119"/>
      <c r="LGC43" s="119"/>
      <c r="LGD43" s="119"/>
      <c r="LGE43" s="119"/>
      <c r="LGF43" s="119"/>
      <c r="LGG43" s="119"/>
      <c r="LGH43" s="119"/>
      <c r="LGI43" s="119"/>
      <c r="LGJ43" s="119"/>
      <c r="LGK43" s="119"/>
      <c r="LGL43" s="119"/>
      <c r="LGM43" s="119"/>
      <c r="LGN43" s="119"/>
      <c r="LGO43" s="119"/>
      <c r="LGP43" s="119"/>
      <c r="LGQ43" s="119"/>
      <c r="LGR43" s="119"/>
      <c r="LGS43" s="119"/>
      <c r="LGT43" s="119"/>
      <c r="LGU43" s="119"/>
      <c r="LGV43" s="119"/>
      <c r="LGW43" s="119"/>
      <c r="LGX43" s="119"/>
      <c r="LGY43" s="119"/>
      <c r="LGZ43" s="119"/>
      <c r="LHA43" s="119"/>
      <c r="LHB43" s="119"/>
      <c r="LHC43" s="119"/>
      <c r="LHD43" s="119"/>
      <c r="LHE43" s="119"/>
      <c r="LHF43" s="119"/>
      <c r="LHG43" s="119"/>
      <c r="LHH43" s="119"/>
      <c r="LHI43" s="119"/>
      <c r="LHJ43" s="119"/>
      <c r="LHK43" s="119"/>
      <c r="LHL43" s="119"/>
      <c r="LHM43" s="119"/>
      <c r="LHN43" s="119"/>
      <c r="LHO43" s="119"/>
      <c r="LHP43" s="119"/>
      <c r="LHQ43" s="119"/>
      <c r="LHR43" s="119"/>
      <c r="LHS43" s="119"/>
      <c r="LHT43" s="119"/>
      <c r="LHU43" s="119"/>
      <c r="LHV43" s="119"/>
      <c r="LHW43" s="119"/>
      <c r="LHX43" s="119"/>
      <c r="LHY43" s="119"/>
      <c r="LHZ43" s="119"/>
      <c r="LIA43" s="119"/>
      <c r="LIB43" s="119"/>
      <c r="LIC43" s="119"/>
      <c r="LID43" s="119"/>
      <c r="LIE43" s="119"/>
      <c r="LIF43" s="119"/>
      <c r="LIG43" s="119"/>
      <c r="LIH43" s="119"/>
      <c r="LII43" s="119"/>
      <c r="LIJ43" s="119"/>
      <c r="LIK43" s="119"/>
      <c r="LIL43" s="119"/>
      <c r="LIM43" s="119"/>
      <c r="LIN43" s="119"/>
      <c r="LIO43" s="119"/>
      <c r="LIP43" s="119"/>
      <c r="LIQ43" s="119"/>
      <c r="LIR43" s="119"/>
      <c r="LIS43" s="119"/>
      <c r="LIT43" s="119"/>
      <c r="LIU43" s="119"/>
      <c r="LIV43" s="119"/>
      <c r="LIW43" s="119"/>
      <c r="LIX43" s="119"/>
      <c r="LIY43" s="119"/>
      <c r="LIZ43" s="119"/>
      <c r="LJA43" s="119"/>
      <c r="LJB43" s="119"/>
      <c r="LJC43" s="119"/>
      <c r="LJD43" s="119"/>
      <c r="LJE43" s="119"/>
      <c r="LJF43" s="119"/>
      <c r="LJG43" s="119"/>
      <c r="LJH43" s="119"/>
      <c r="LJI43" s="119"/>
      <c r="LJJ43" s="119"/>
      <c r="LJK43" s="119"/>
      <c r="LJL43" s="119"/>
      <c r="LJM43" s="119"/>
      <c r="LJN43" s="119"/>
      <c r="LJO43" s="119"/>
      <c r="LJP43" s="119"/>
      <c r="LJQ43" s="119"/>
      <c r="LJR43" s="119"/>
      <c r="LJS43" s="119"/>
      <c r="LJT43" s="119"/>
      <c r="LJU43" s="119"/>
      <c r="LJV43" s="119"/>
      <c r="LJW43" s="119"/>
      <c r="LJX43" s="119"/>
      <c r="LJY43" s="119"/>
      <c r="LJZ43" s="119"/>
      <c r="LKA43" s="119"/>
      <c r="LKB43" s="119"/>
      <c r="LKC43" s="119"/>
      <c r="LKD43" s="119"/>
      <c r="LKE43" s="119"/>
      <c r="LKF43" s="119"/>
      <c r="LKG43" s="119"/>
      <c r="LKH43" s="119"/>
      <c r="LKI43" s="119"/>
      <c r="LKJ43" s="119"/>
      <c r="LKK43" s="119"/>
      <c r="LKL43" s="119"/>
      <c r="LKM43" s="119"/>
      <c r="LKN43" s="119"/>
      <c r="LKO43" s="119"/>
      <c r="LKP43" s="119"/>
      <c r="LKQ43" s="119"/>
      <c r="LKR43" s="119"/>
      <c r="LKS43" s="119"/>
      <c r="LKT43" s="119"/>
      <c r="LKU43" s="119"/>
      <c r="LKV43" s="119"/>
      <c r="LKW43" s="119"/>
      <c r="LKX43" s="119"/>
      <c r="LKY43" s="119"/>
      <c r="LKZ43" s="119"/>
      <c r="LLA43" s="119"/>
      <c r="LLB43" s="119"/>
      <c r="LLC43" s="119"/>
      <c r="LLD43" s="119"/>
      <c r="LLE43" s="119"/>
      <c r="LLF43" s="119"/>
      <c r="LLG43" s="119"/>
      <c r="LLH43" s="119"/>
      <c r="LLI43" s="119"/>
      <c r="LLJ43" s="119"/>
      <c r="LLK43" s="119"/>
      <c r="LLL43" s="119"/>
      <c r="LLM43" s="119"/>
      <c r="LLN43" s="119"/>
      <c r="LLO43" s="119"/>
      <c r="LLP43" s="119"/>
      <c r="LLQ43" s="119"/>
      <c r="LLR43" s="119"/>
      <c r="LLS43" s="119"/>
      <c r="LLT43" s="119"/>
      <c r="LLU43" s="119"/>
      <c r="LLV43" s="119"/>
      <c r="LLW43" s="119"/>
      <c r="LLX43" s="119"/>
      <c r="LLY43" s="119"/>
      <c r="LLZ43" s="119"/>
      <c r="LMA43" s="119"/>
      <c r="LMB43" s="119"/>
      <c r="LMC43" s="119"/>
      <c r="LMD43" s="119"/>
      <c r="LME43" s="119"/>
      <c r="LMF43" s="119"/>
      <c r="LMG43" s="119"/>
      <c r="LMH43" s="119"/>
      <c r="LMI43" s="119"/>
      <c r="LMJ43" s="119"/>
      <c r="LMK43" s="119"/>
      <c r="LML43" s="119"/>
      <c r="LMM43" s="119"/>
      <c r="LMN43" s="119"/>
      <c r="LMO43" s="119"/>
      <c r="LMP43" s="119"/>
      <c r="LMQ43" s="119"/>
      <c r="LMR43" s="119"/>
      <c r="LMS43" s="119"/>
      <c r="LMT43" s="119"/>
      <c r="LMU43" s="119"/>
      <c r="LMV43" s="119"/>
      <c r="LMW43" s="119"/>
      <c r="LMX43" s="119"/>
      <c r="LMY43" s="119"/>
      <c r="LMZ43" s="119"/>
      <c r="LNA43" s="119"/>
      <c r="LNB43" s="119"/>
      <c r="LNC43" s="119"/>
      <c r="LND43" s="119"/>
      <c r="LNE43" s="119"/>
      <c r="LNF43" s="119"/>
      <c r="LNG43" s="119"/>
      <c r="LNH43" s="119"/>
      <c r="LNI43" s="119"/>
      <c r="LNJ43" s="119"/>
      <c r="LNK43" s="119"/>
      <c r="LNL43" s="119"/>
      <c r="LNM43" s="119"/>
      <c r="LNN43" s="119"/>
      <c r="LNO43" s="119"/>
      <c r="LNP43" s="119"/>
      <c r="LNQ43" s="119"/>
      <c r="LNR43" s="119"/>
      <c r="LNS43" s="119"/>
      <c r="LNT43" s="119"/>
      <c r="LNU43" s="119"/>
      <c r="LNV43" s="119"/>
      <c r="LNW43" s="119"/>
      <c r="LNX43" s="119"/>
      <c r="LNY43" s="119"/>
      <c r="LNZ43" s="119"/>
      <c r="LOA43" s="119"/>
      <c r="LOB43" s="119"/>
      <c r="LOC43" s="119"/>
      <c r="LOD43" s="119"/>
      <c r="LOE43" s="119"/>
      <c r="LOF43" s="119"/>
      <c r="LOG43" s="119"/>
      <c r="LOH43" s="119"/>
      <c r="LOI43" s="119"/>
      <c r="LOJ43" s="119"/>
      <c r="LOK43" s="119"/>
      <c r="LOL43" s="119"/>
      <c r="LOM43" s="119"/>
      <c r="LON43" s="119"/>
      <c r="LOO43" s="119"/>
      <c r="LOP43" s="119"/>
      <c r="LOQ43" s="119"/>
      <c r="LOR43" s="119"/>
      <c r="LOS43" s="119"/>
      <c r="LOT43" s="119"/>
      <c r="LOU43" s="119"/>
      <c r="LOV43" s="119"/>
      <c r="LOW43" s="119"/>
      <c r="LOX43" s="119"/>
      <c r="LOY43" s="119"/>
      <c r="LOZ43" s="119"/>
      <c r="LPA43" s="119"/>
      <c r="LPB43" s="119"/>
      <c r="LPC43" s="119"/>
      <c r="LPD43" s="119"/>
      <c r="LPE43" s="119"/>
      <c r="LPF43" s="119"/>
      <c r="LPG43" s="119"/>
      <c r="LPH43" s="119"/>
      <c r="LPI43" s="119"/>
      <c r="LPJ43" s="119"/>
      <c r="LPK43" s="119"/>
      <c r="LPL43" s="119"/>
      <c r="LPM43" s="119"/>
      <c r="LPN43" s="119"/>
      <c r="LPO43" s="119"/>
      <c r="LPP43" s="119"/>
      <c r="LPQ43" s="119"/>
      <c r="LPR43" s="119"/>
      <c r="LPS43" s="119"/>
      <c r="LPT43" s="119"/>
      <c r="LPU43" s="119"/>
      <c r="LPV43" s="119"/>
      <c r="LPW43" s="119"/>
      <c r="LPX43" s="119"/>
      <c r="LPY43" s="119"/>
      <c r="LPZ43" s="119"/>
      <c r="LQA43" s="119"/>
      <c r="LQB43" s="119"/>
      <c r="LQC43" s="119"/>
      <c r="LQD43" s="119"/>
      <c r="LQE43" s="119"/>
      <c r="LQF43" s="119"/>
      <c r="LQG43" s="119"/>
      <c r="LQH43" s="119"/>
      <c r="LQI43" s="119"/>
      <c r="LQJ43" s="119"/>
      <c r="LQK43" s="119"/>
      <c r="LQL43" s="119"/>
      <c r="LQM43" s="119"/>
      <c r="LQN43" s="119"/>
      <c r="LQO43" s="119"/>
      <c r="LQP43" s="119"/>
      <c r="LQQ43" s="119"/>
      <c r="LQR43" s="119"/>
      <c r="LQS43" s="119"/>
      <c r="LQT43" s="119"/>
      <c r="LQU43" s="119"/>
      <c r="LQV43" s="119"/>
      <c r="LQW43" s="119"/>
      <c r="LQX43" s="119"/>
      <c r="LQY43" s="119"/>
      <c r="LQZ43" s="119"/>
      <c r="LRA43" s="119"/>
      <c r="LRB43" s="119"/>
      <c r="LRC43" s="119"/>
      <c r="LRD43" s="119"/>
      <c r="LRE43" s="119"/>
      <c r="LRF43" s="119"/>
      <c r="LRG43" s="119"/>
      <c r="LRH43" s="119"/>
      <c r="LRI43" s="119"/>
      <c r="LRJ43" s="119"/>
      <c r="LRK43" s="119"/>
      <c r="LRL43" s="119"/>
      <c r="LRM43" s="119"/>
      <c r="LRN43" s="119"/>
      <c r="LRO43" s="119"/>
      <c r="LRP43" s="119"/>
      <c r="LRQ43" s="119"/>
      <c r="LRR43" s="119"/>
      <c r="LRS43" s="119"/>
      <c r="LRT43" s="119"/>
      <c r="LRU43" s="119"/>
      <c r="LRV43" s="119"/>
      <c r="LRW43" s="119"/>
      <c r="LRX43" s="119"/>
      <c r="LRY43" s="119"/>
      <c r="LRZ43" s="119"/>
      <c r="LSA43" s="119"/>
      <c r="LSB43" s="119"/>
      <c r="LSC43" s="119"/>
      <c r="LSD43" s="119"/>
      <c r="LSE43" s="119"/>
      <c r="LSF43" s="119"/>
      <c r="LSG43" s="119"/>
      <c r="LSH43" s="119"/>
      <c r="LSI43" s="119"/>
      <c r="LSJ43" s="119"/>
      <c r="LSK43" s="119"/>
      <c r="LSL43" s="119"/>
      <c r="LSM43" s="119"/>
      <c r="LSN43" s="119"/>
      <c r="LSO43" s="119"/>
      <c r="LSP43" s="119"/>
      <c r="LSQ43" s="119"/>
      <c r="LSR43" s="119"/>
      <c r="LSS43" s="119"/>
      <c r="LST43" s="119"/>
      <c r="LSU43" s="119"/>
      <c r="LSV43" s="119"/>
      <c r="LSW43" s="119"/>
      <c r="LSX43" s="119"/>
      <c r="LSY43" s="119"/>
      <c r="LSZ43" s="119"/>
      <c r="LTA43" s="119"/>
      <c r="LTB43" s="119"/>
      <c r="LTC43" s="119"/>
      <c r="LTD43" s="119"/>
      <c r="LTE43" s="119"/>
      <c r="LTF43" s="119"/>
      <c r="LTG43" s="119"/>
      <c r="LTH43" s="119"/>
      <c r="LTI43" s="119"/>
      <c r="LTJ43" s="119"/>
      <c r="LTK43" s="119"/>
      <c r="LTL43" s="119"/>
      <c r="LTM43" s="119"/>
      <c r="LTN43" s="119"/>
      <c r="LTO43" s="119"/>
      <c r="LTP43" s="119"/>
      <c r="LTQ43" s="119"/>
      <c r="LTR43" s="119"/>
      <c r="LTS43" s="119"/>
      <c r="LTT43" s="119"/>
      <c r="LTU43" s="119"/>
      <c r="LTV43" s="119"/>
      <c r="LTW43" s="119"/>
      <c r="LTX43" s="119"/>
      <c r="LTY43" s="119"/>
      <c r="LTZ43" s="119"/>
      <c r="LUA43" s="119"/>
      <c r="LUB43" s="119"/>
      <c r="LUC43" s="119"/>
      <c r="LUD43" s="119"/>
      <c r="LUE43" s="119"/>
      <c r="LUF43" s="119"/>
      <c r="LUG43" s="119"/>
      <c r="LUH43" s="119"/>
      <c r="LUI43" s="119"/>
      <c r="LUJ43" s="119"/>
      <c r="LUK43" s="119"/>
      <c r="LUL43" s="119"/>
      <c r="LUM43" s="119"/>
      <c r="LUN43" s="119"/>
      <c r="LUO43" s="119"/>
      <c r="LUP43" s="119"/>
      <c r="LUQ43" s="119"/>
      <c r="LUR43" s="119"/>
      <c r="LUS43" s="119"/>
      <c r="LUT43" s="119"/>
      <c r="LUU43" s="119"/>
      <c r="LUV43" s="119"/>
      <c r="LUW43" s="119"/>
      <c r="LUX43" s="119"/>
      <c r="LUY43" s="119"/>
      <c r="LUZ43" s="119"/>
      <c r="LVA43" s="119"/>
      <c r="LVB43" s="119"/>
      <c r="LVC43" s="119"/>
      <c r="LVD43" s="119"/>
      <c r="LVE43" s="119"/>
      <c r="LVF43" s="119"/>
      <c r="LVG43" s="119"/>
      <c r="LVH43" s="119"/>
      <c r="LVI43" s="119"/>
      <c r="LVJ43" s="119"/>
      <c r="LVK43" s="119"/>
      <c r="LVL43" s="119"/>
      <c r="LVM43" s="119"/>
      <c r="LVN43" s="119"/>
      <c r="LVO43" s="119"/>
      <c r="LVP43" s="119"/>
      <c r="LVQ43" s="119"/>
      <c r="LVR43" s="119"/>
      <c r="LVS43" s="119"/>
      <c r="LVT43" s="119"/>
      <c r="LVU43" s="119"/>
      <c r="LVV43" s="119"/>
      <c r="LVW43" s="119"/>
      <c r="LVX43" s="119"/>
      <c r="LVY43" s="119"/>
      <c r="LVZ43" s="119"/>
      <c r="LWA43" s="119"/>
      <c r="LWB43" s="119"/>
      <c r="LWC43" s="119"/>
      <c r="LWD43" s="119"/>
      <c r="LWE43" s="119"/>
      <c r="LWF43" s="119"/>
      <c r="LWG43" s="119"/>
      <c r="LWH43" s="119"/>
      <c r="LWI43" s="119"/>
      <c r="LWJ43" s="119"/>
      <c r="LWK43" s="119"/>
      <c r="LWL43" s="119"/>
      <c r="LWM43" s="119"/>
      <c r="LWN43" s="119"/>
      <c r="LWO43" s="119"/>
      <c r="LWP43" s="119"/>
      <c r="LWQ43" s="119"/>
      <c r="LWR43" s="119"/>
      <c r="LWS43" s="119"/>
      <c r="LWT43" s="119"/>
      <c r="LWU43" s="119"/>
      <c r="LWV43" s="119"/>
      <c r="LWW43" s="119"/>
      <c r="LWX43" s="119"/>
      <c r="LWY43" s="119"/>
      <c r="LWZ43" s="119"/>
      <c r="LXA43" s="119"/>
      <c r="LXB43" s="119"/>
      <c r="LXC43" s="119"/>
      <c r="LXD43" s="119"/>
      <c r="LXE43" s="119"/>
      <c r="LXF43" s="119"/>
      <c r="LXG43" s="119"/>
      <c r="LXH43" s="119"/>
      <c r="LXI43" s="119"/>
      <c r="LXJ43" s="119"/>
      <c r="LXK43" s="119"/>
      <c r="LXL43" s="119"/>
      <c r="LXM43" s="119"/>
      <c r="LXN43" s="119"/>
      <c r="LXO43" s="119"/>
      <c r="LXP43" s="119"/>
      <c r="LXQ43" s="119"/>
      <c r="LXR43" s="119"/>
      <c r="LXS43" s="119"/>
      <c r="LXT43" s="119"/>
      <c r="LXU43" s="119"/>
      <c r="LXV43" s="119"/>
      <c r="LXW43" s="119"/>
      <c r="LXX43" s="119"/>
      <c r="LXY43" s="119"/>
      <c r="LXZ43" s="119"/>
      <c r="LYA43" s="119"/>
      <c r="LYB43" s="119"/>
      <c r="LYC43" s="119"/>
      <c r="LYD43" s="119"/>
      <c r="LYE43" s="119"/>
      <c r="LYF43" s="119"/>
      <c r="LYG43" s="119"/>
      <c r="LYH43" s="119"/>
      <c r="LYI43" s="119"/>
      <c r="LYJ43" s="119"/>
      <c r="LYK43" s="119"/>
      <c r="LYL43" s="119"/>
      <c r="LYM43" s="119"/>
      <c r="LYN43" s="119"/>
      <c r="LYO43" s="119"/>
      <c r="LYP43" s="119"/>
      <c r="LYQ43" s="119"/>
      <c r="LYR43" s="119"/>
      <c r="LYS43" s="119"/>
      <c r="LYT43" s="119"/>
      <c r="LYU43" s="119"/>
      <c r="LYV43" s="119"/>
      <c r="LYW43" s="119"/>
      <c r="LYX43" s="119"/>
      <c r="LYY43" s="119"/>
      <c r="LYZ43" s="119"/>
      <c r="LZA43" s="119"/>
      <c r="LZB43" s="119"/>
      <c r="LZC43" s="119"/>
      <c r="LZD43" s="119"/>
      <c r="LZE43" s="119"/>
      <c r="LZF43" s="119"/>
      <c r="LZG43" s="119"/>
      <c r="LZH43" s="119"/>
      <c r="LZI43" s="119"/>
      <c r="LZJ43" s="119"/>
      <c r="LZK43" s="119"/>
      <c r="LZL43" s="119"/>
      <c r="LZM43" s="119"/>
      <c r="LZN43" s="119"/>
      <c r="LZO43" s="119"/>
      <c r="LZP43" s="119"/>
      <c r="LZQ43" s="119"/>
      <c r="LZR43" s="119"/>
      <c r="LZS43" s="119"/>
      <c r="LZT43" s="119"/>
      <c r="LZU43" s="119"/>
      <c r="LZV43" s="119"/>
      <c r="LZW43" s="119"/>
      <c r="LZX43" s="119"/>
      <c r="LZY43" s="119"/>
      <c r="LZZ43" s="119"/>
      <c r="MAA43" s="119"/>
      <c r="MAB43" s="119"/>
      <c r="MAC43" s="119"/>
      <c r="MAD43" s="119"/>
      <c r="MAE43" s="119"/>
      <c r="MAF43" s="119"/>
      <c r="MAG43" s="119"/>
      <c r="MAH43" s="119"/>
      <c r="MAI43" s="119"/>
      <c r="MAJ43" s="119"/>
      <c r="MAK43" s="119"/>
      <c r="MAL43" s="119"/>
      <c r="MAM43" s="119"/>
      <c r="MAN43" s="119"/>
      <c r="MAO43" s="119"/>
      <c r="MAP43" s="119"/>
      <c r="MAQ43" s="119"/>
      <c r="MAR43" s="119"/>
      <c r="MAS43" s="119"/>
      <c r="MAT43" s="119"/>
      <c r="MAU43" s="119"/>
      <c r="MAV43" s="119"/>
      <c r="MAW43" s="119"/>
      <c r="MAX43" s="119"/>
      <c r="MAY43" s="119"/>
      <c r="MAZ43" s="119"/>
      <c r="MBA43" s="119"/>
      <c r="MBB43" s="119"/>
      <c r="MBC43" s="119"/>
      <c r="MBD43" s="119"/>
      <c r="MBE43" s="119"/>
      <c r="MBF43" s="119"/>
      <c r="MBG43" s="119"/>
      <c r="MBH43" s="119"/>
      <c r="MBI43" s="119"/>
      <c r="MBJ43" s="119"/>
      <c r="MBK43" s="119"/>
      <c r="MBL43" s="119"/>
      <c r="MBM43" s="119"/>
      <c r="MBN43" s="119"/>
      <c r="MBO43" s="119"/>
      <c r="MBP43" s="119"/>
      <c r="MBQ43" s="119"/>
      <c r="MBR43" s="119"/>
      <c r="MBS43" s="119"/>
      <c r="MBT43" s="119"/>
      <c r="MBU43" s="119"/>
      <c r="MBV43" s="119"/>
      <c r="MBW43" s="119"/>
      <c r="MBX43" s="119"/>
      <c r="MBY43" s="119"/>
      <c r="MBZ43" s="119"/>
      <c r="MCA43" s="119"/>
      <c r="MCB43" s="119"/>
      <c r="MCC43" s="119"/>
      <c r="MCD43" s="119"/>
      <c r="MCE43" s="119"/>
      <c r="MCF43" s="119"/>
      <c r="MCG43" s="119"/>
      <c r="MCH43" s="119"/>
      <c r="MCI43" s="119"/>
      <c r="MCJ43" s="119"/>
      <c r="MCK43" s="119"/>
      <c r="MCL43" s="119"/>
      <c r="MCM43" s="119"/>
      <c r="MCN43" s="119"/>
      <c r="MCO43" s="119"/>
      <c r="MCP43" s="119"/>
      <c r="MCQ43" s="119"/>
      <c r="MCR43" s="119"/>
      <c r="MCS43" s="119"/>
      <c r="MCT43" s="119"/>
      <c r="MCU43" s="119"/>
      <c r="MCV43" s="119"/>
      <c r="MCW43" s="119"/>
      <c r="MCX43" s="119"/>
      <c r="MCY43" s="119"/>
      <c r="MCZ43" s="119"/>
      <c r="MDA43" s="119"/>
      <c r="MDB43" s="119"/>
      <c r="MDC43" s="119"/>
      <c r="MDD43" s="119"/>
      <c r="MDE43" s="119"/>
      <c r="MDF43" s="119"/>
      <c r="MDG43" s="119"/>
      <c r="MDH43" s="119"/>
      <c r="MDI43" s="119"/>
      <c r="MDJ43" s="119"/>
      <c r="MDK43" s="119"/>
      <c r="MDL43" s="119"/>
      <c r="MDM43" s="119"/>
      <c r="MDN43" s="119"/>
      <c r="MDO43" s="119"/>
      <c r="MDP43" s="119"/>
      <c r="MDQ43" s="119"/>
      <c r="MDR43" s="119"/>
      <c r="MDS43" s="119"/>
      <c r="MDT43" s="119"/>
      <c r="MDU43" s="119"/>
      <c r="MDV43" s="119"/>
      <c r="MDW43" s="119"/>
      <c r="MDX43" s="119"/>
      <c r="MDY43" s="119"/>
      <c r="MDZ43" s="119"/>
      <c r="MEA43" s="119"/>
      <c r="MEB43" s="119"/>
      <c r="MEC43" s="119"/>
      <c r="MED43" s="119"/>
      <c r="MEE43" s="119"/>
      <c r="MEF43" s="119"/>
      <c r="MEG43" s="119"/>
      <c r="MEH43" s="119"/>
      <c r="MEI43" s="119"/>
      <c r="MEJ43" s="119"/>
      <c r="MEK43" s="119"/>
      <c r="MEL43" s="119"/>
      <c r="MEM43" s="119"/>
      <c r="MEN43" s="119"/>
      <c r="MEO43" s="119"/>
      <c r="MEP43" s="119"/>
      <c r="MEQ43" s="119"/>
      <c r="MER43" s="119"/>
      <c r="MES43" s="119"/>
      <c r="MET43" s="119"/>
      <c r="MEU43" s="119"/>
      <c r="MEV43" s="119"/>
      <c r="MEW43" s="119"/>
      <c r="MEX43" s="119"/>
      <c r="MEY43" s="119"/>
      <c r="MEZ43" s="119"/>
      <c r="MFA43" s="119"/>
      <c r="MFB43" s="119"/>
      <c r="MFC43" s="119"/>
      <c r="MFD43" s="119"/>
      <c r="MFE43" s="119"/>
      <c r="MFF43" s="119"/>
      <c r="MFG43" s="119"/>
      <c r="MFH43" s="119"/>
      <c r="MFI43" s="119"/>
      <c r="MFJ43" s="119"/>
      <c r="MFK43" s="119"/>
      <c r="MFL43" s="119"/>
      <c r="MFM43" s="119"/>
      <c r="MFN43" s="119"/>
      <c r="MFO43" s="119"/>
      <c r="MFP43" s="119"/>
      <c r="MFQ43" s="119"/>
      <c r="MFR43" s="119"/>
      <c r="MFS43" s="119"/>
      <c r="MFT43" s="119"/>
      <c r="MFU43" s="119"/>
      <c r="MFV43" s="119"/>
      <c r="MFW43" s="119"/>
      <c r="MFX43" s="119"/>
      <c r="MFY43" s="119"/>
      <c r="MFZ43" s="119"/>
      <c r="MGA43" s="119"/>
      <c r="MGB43" s="119"/>
      <c r="MGC43" s="119"/>
      <c r="MGD43" s="119"/>
      <c r="MGE43" s="119"/>
      <c r="MGF43" s="119"/>
      <c r="MGG43" s="119"/>
      <c r="MGH43" s="119"/>
      <c r="MGI43" s="119"/>
      <c r="MGJ43" s="119"/>
      <c r="MGK43" s="119"/>
      <c r="MGL43" s="119"/>
      <c r="MGM43" s="119"/>
      <c r="MGN43" s="119"/>
      <c r="MGO43" s="119"/>
      <c r="MGP43" s="119"/>
      <c r="MGQ43" s="119"/>
      <c r="MGR43" s="119"/>
      <c r="MGS43" s="119"/>
      <c r="MGT43" s="119"/>
      <c r="MGU43" s="119"/>
      <c r="MGV43" s="119"/>
      <c r="MGW43" s="119"/>
      <c r="MGX43" s="119"/>
      <c r="MGY43" s="119"/>
      <c r="MGZ43" s="119"/>
      <c r="MHA43" s="119"/>
      <c r="MHB43" s="119"/>
      <c r="MHC43" s="119"/>
      <c r="MHD43" s="119"/>
      <c r="MHE43" s="119"/>
      <c r="MHF43" s="119"/>
      <c r="MHG43" s="119"/>
      <c r="MHH43" s="119"/>
      <c r="MHI43" s="119"/>
      <c r="MHJ43" s="119"/>
      <c r="MHK43" s="119"/>
      <c r="MHL43" s="119"/>
      <c r="MHM43" s="119"/>
      <c r="MHN43" s="119"/>
      <c r="MHO43" s="119"/>
      <c r="MHP43" s="119"/>
      <c r="MHQ43" s="119"/>
      <c r="MHR43" s="119"/>
      <c r="MHS43" s="119"/>
      <c r="MHT43" s="119"/>
      <c r="MHU43" s="119"/>
      <c r="MHV43" s="119"/>
      <c r="MHW43" s="119"/>
      <c r="MHX43" s="119"/>
      <c r="MHY43" s="119"/>
      <c r="MHZ43" s="119"/>
      <c r="MIA43" s="119"/>
      <c r="MIB43" s="119"/>
      <c r="MIC43" s="119"/>
      <c r="MID43" s="119"/>
      <c r="MIE43" s="119"/>
      <c r="MIF43" s="119"/>
      <c r="MIG43" s="119"/>
      <c r="MIH43" s="119"/>
      <c r="MII43" s="119"/>
      <c r="MIJ43" s="119"/>
      <c r="MIK43" s="119"/>
      <c r="MIL43" s="119"/>
      <c r="MIM43" s="119"/>
      <c r="MIN43" s="119"/>
      <c r="MIO43" s="119"/>
      <c r="MIP43" s="119"/>
      <c r="MIQ43" s="119"/>
      <c r="MIR43" s="119"/>
      <c r="MIS43" s="119"/>
      <c r="MIT43" s="119"/>
      <c r="MIU43" s="119"/>
      <c r="MIV43" s="119"/>
      <c r="MIW43" s="119"/>
      <c r="MIX43" s="119"/>
      <c r="MIY43" s="119"/>
      <c r="MIZ43" s="119"/>
      <c r="MJA43" s="119"/>
      <c r="MJB43" s="119"/>
      <c r="MJC43" s="119"/>
      <c r="MJD43" s="119"/>
      <c r="MJE43" s="119"/>
      <c r="MJF43" s="119"/>
      <c r="MJG43" s="119"/>
      <c r="MJH43" s="119"/>
      <c r="MJI43" s="119"/>
      <c r="MJJ43" s="119"/>
      <c r="MJK43" s="119"/>
      <c r="MJL43" s="119"/>
      <c r="MJM43" s="119"/>
      <c r="MJN43" s="119"/>
      <c r="MJO43" s="119"/>
      <c r="MJP43" s="119"/>
      <c r="MJQ43" s="119"/>
      <c r="MJR43" s="119"/>
      <c r="MJS43" s="119"/>
      <c r="MJT43" s="119"/>
      <c r="MJU43" s="119"/>
      <c r="MJV43" s="119"/>
      <c r="MJW43" s="119"/>
      <c r="MJX43" s="119"/>
      <c r="MJY43" s="119"/>
      <c r="MJZ43" s="119"/>
      <c r="MKA43" s="119"/>
      <c r="MKB43" s="119"/>
      <c r="MKC43" s="119"/>
      <c r="MKD43" s="119"/>
      <c r="MKE43" s="119"/>
      <c r="MKF43" s="119"/>
      <c r="MKG43" s="119"/>
      <c r="MKH43" s="119"/>
      <c r="MKI43" s="119"/>
      <c r="MKJ43" s="119"/>
      <c r="MKK43" s="119"/>
      <c r="MKL43" s="119"/>
      <c r="MKM43" s="119"/>
      <c r="MKN43" s="119"/>
      <c r="MKO43" s="119"/>
      <c r="MKP43" s="119"/>
      <c r="MKQ43" s="119"/>
      <c r="MKR43" s="119"/>
      <c r="MKS43" s="119"/>
      <c r="MKT43" s="119"/>
      <c r="MKU43" s="119"/>
      <c r="MKV43" s="119"/>
      <c r="MKW43" s="119"/>
      <c r="MKX43" s="119"/>
      <c r="MKY43" s="119"/>
      <c r="MKZ43" s="119"/>
      <c r="MLA43" s="119"/>
      <c r="MLB43" s="119"/>
      <c r="MLC43" s="119"/>
      <c r="MLD43" s="119"/>
      <c r="MLE43" s="119"/>
      <c r="MLF43" s="119"/>
      <c r="MLG43" s="119"/>
      <c r="MLH43" s="119"/>
      <c r="MLI43" s="119"/>
      <c r="MLJ43" s="119"/>
      <c r="MLK43" s="119"/>
      <c r="MLL43" s="119"/>
      <c r="MLM43" s="119"/>
      <c r="MLN43" s="119"/>
      <c r="MLO43" s="119"/>
      <c r="MLP43" s="119"/>
      <c r="MLQ43" s="119"/>
      <c r="MLR43" s="119"/>
      <c r="MLS43" s="119"/>
      <c r="MLT43" s="119"/>
      <c r="MLU43" s="119"/>
      <c r="MLV43" s="119"/>
      <c r="MLW43" s="119"/>
      <c r="MLX43" s="119"/>
      <c r="MLY43" s="119"/>
      <c r="MLZ43" s="119"/>
      <c r="MMA43" s="119"/>
      <c r="MMB43" s="119"/>
      <c r="MMC43" s="119"/>
      <c r="MMD43" s="119"/>
      <c r="MME43" s="119"/>
      <c r="MMF43" s="119"/>
      <c r="MMG43" s="119"/>
      <c r="MMH43" s="119"/>
      <c r="MMI43" s="119"/>
      <c r="MMJ43" s="119"/>
      <c r="MMK43" s="119"/>
      <c r="MML43" s="119"/>
      <c r="MMM43" s="119"/>
      <c r="MMN43" s="119"/>
      <c r="MMO43" s="119"/>
      <c r="MMP43" s="119"/>
      <c r="MMQ43" s="119"/>
      <c r="MMR43" s="119"/>
      <c r="MMS43" s="119"/>
      <c r="MMT43" s="119"/>
      <c r="MMU43" s="119"/>
      <c r="MMV43" s="119"/>
      <c r="MMW43" s="119"/>
      <c r="MMX43" s="119"/>
      <c r="MMY43" s="119"/>
      <c r="MMZ43" s="119"/>
      <c r="MNA43" s="119"/>
      <c r="MNB43" s="119"/>
      <c r="MNC43" s="119"/>
      <c r="MND43" s="119"/>
      <c r="MNE43" s="119"/>
      <c r="MNF43" s="119"/>
      <c r="MNG43" s="119"/>
      <c r="MNH43" s="119"/>
      <c r="MNI43" s="119"/>
      <c r="MNJ43" s="119"/>
      <c r="MNK43" s="119"/>
      <c r="MNL43" s="119"/>
      <c r="MNM43" s="119"/>
      <c r="MNN43" s="119"/>
      <c r="MNO43" s="119"/>
      <c r="MNP43" s="119"/>
      <c r="MNQ43" s="119"/>
      <c r="MNR43" s="119"/>
      <c r="MNS43" s="119"/>
      <c r="MNT43" s="119"/>
      <c r="MNU43" s="119"/>
      <c r="MNV43" s="119"/>
      <c r="MNW43" s="119"/>
      <c r="MNX43" s="119"/>
      <c r="MNY43" s="119"/>
      <c r="MNZ43" s="119"/>
      <c r="MOA43" s="119"/>
      <c r="MOB43" s="119"/>
      <c r="MOC43" s="119"/>
      <c r="MOD43" s="119"/>
      <c r="MOE43" s="119"/>
      <c r="MOF43" s="119"/>
      <c r="MOG43" s="119"/>
      <c r="MOH43" s="119"/>
      <c r="MOI43" s="119"/>
      <c r="MOJ43" s="119"/>
      <c r="MOK43" s="119"/>
      <c r="MOL43" s="119"/>
      <c r="MOM43" s="119"/>
      <c r="MON43" s="119"/>
      <c r="MOO43" s="119"/>
      <c r="MOP43" s="119"/>
      <c r="MOQ43" s="119"/>
      <c r="MOR43" s="119"/>
      <c r="MOS43" s="119"/>
      <c r="MOT43" s="119"/>
      <c r="MOU43" s="119"/>
      <c r="MOV43" s="119"/>
      <c r="MOW43" s="119"/>
      <c r="MOX43" s="119"/>
      <c r="MOY43" s="119"/>
      <c r="MOZ43" s="119"/>
      <c r="MPA43" s="119"/>
      <c r="MPB43" s="119"/>
      <c r="MPC43" s="119"/>
      <c r="MPD43" s="119"/>
      <c r="MPE43" s="119"/>
      <c r="MPF43" s="119"/>
      <c r="MPG43" s="119"/>
      <c r="MPH43" s="119"/>
      <c r="MPI43" s="119"/>
      <c r="MPJ43" s="119"/>
      <c r="MPK43" s="119"/>
      <c r="MPL43" s="119"/>
      <c r="MPM43" s="119"/>
      <c r="MPN43" s="119"/>
      <c r="MPO43" s="119"/>
      <c r="MPP43" s="119"/>
      <c r="MPQ43" s="119"/>
      <c r="MPR43" s="119"/>
      <c r="MPS43" s="119"/>
      <c r="MPT43" s="119"/>
      <c r="MPU43" s="119"/>
      <c r="MPV43" s="119"/>
      <c r="MPW43" s="119"/>
      <c r="MPX43" s="119"/>
      <c r="MPY43" s="119"/>
      <c r="MPZ43" s="119"/>
      <c r="MQA43" s="119"/>
      <c r="MQB43" s="119"/>
      <c r="MQC43" s="119"/>
      <c r="MQD43" s="119"/>
      <c r="MQE43" s="119"/>
      <c r="MQF43" s="119"/>
      <c r="MQG43" s="119"/>
      <c r="MQH43" s="119"/>
      <c r="MQI43" s="119"/>
      <c r="MQJ43" s="119"/>
      <c r="MQK43" s="119"/>
      <c r="MQL43" s="119"/>
      <c r="MQM43" s="119"/>
      <c r="MQN43" s="119"/>
      <c r="MQO43" s="119"/>
      <c r="MQP43" s="119"/>
      <c r="MQQ43" s="119"/>
      <c r="MQR43" s="119"/>
      <c r="MQS43" s="119"/>
      <c r="MQT43" s="119"/>
      <c r="MQU43" s="119"/>
      <c r="MQV43" s="119"/>
      <c r="MQW43" s="119"/>
      <c r="MQX43" s="119"/>
      <c r="MQY43" s="119"/>
      <c r="MQZ43" s="119"/>
      <c r="MRA43" s="119"/>
      <c r="MRB43" s="119"/>
      <c r="MRC43" s="119"/>
      <c r="MRD43" s="119"/>
      <c r="MRE43" s="119"/>
      <c r="MRF43" s="119"/>
      <c r="MRG43" s="119"/>
      <c r="MRH43" s="119"/>
      <c r="MRI43" s="119"/>
      <c r="MRJ43" s="119"/>
      <c r="MRK43" s="119"/>
      <c r="MRL43" s="119"/>
      <c r="MRM43" s="119"/>
      <c r="MRN43" s="119"/>
      <c r="MRO43" s="119"/>
      <c r="MRP43" s="119"/>
      <c r="MRQ43" s="119"/>
      <c r="MRR43" s="119"/>
      <c r="MRS43" s="119"/>
      <c r="MRT43" s="119"/>
      <c r="MRU43" s="119"/>
      <c r="MRV43" s="119"/>
      <c r="MRW43" s="119"/>
      <c r="MRX43" s="119"/>
      <c r="MRY43" s="119"/>
      <c r="MRZ43" s="119"/>
      <c r="MSA43" s="119"/>
      <c r="MSB43" s="119"/>
      <c r="MSC43" s="119"/>
      <c r="MSD43" s="119"/>
      <c r="MSE43" s="119"/>
      <c r="MSF43" s="119"/>
      <c r="MSG43" s="119"/>
      <c r="MSH43" s="119"/>
      <c r="MSI43" s="119"/>
      <c r="MSJ43" s="119"/>
      <c r="MSK43" s="119"/>
      <c r="MSL43" s="119"/>
      <c r="MSM43" s="119"/>
      <c r="MSN43" s="119"/>
      <c r="MSO43" s="119"/>
      <c r="MSP43" s="119"/>
      <c r="MSQ43" s="119"/>
      <c r="MSR43" s="119"/>
      <c r="MSS43" s="119"/>
      <c r="MST43" s="119"/>
      <c r="MSU43" s="119"/>
      <c r="MSV43" s="119"/>
      <c r="MSW43" s="119"/>
      <c r="MSX43" s="119"/>
      <c r="MSY43" s="119"/>
      <c r="MSZ43" s="119"/>
      <c r="MTA43" s="119"/>
      <c r="MTB43" s="119"/>
      <c r="MTC43" s="119"/>
      <c r="MTD43" s="119"/>
      <c r="MTE43" s="119"/>
      <c r="MTF43" s="119"/>
      <c r="MTG43" s="119"/>
      <c r="MTH43" s="119"/>
      <c r="MTI43" s="119"/>
      <c r="MTJ43" s="119"/>
      <c r="MTK43" s="119"/>
      <c r="MTL43" s="119"/>
      <c r="MTM43" s="119"/>
      <c r="MTN43" s="119"/>
      <c r="MTO43" s="119"/>
      <c r="MTP43" s="119"/>
      <c r="MTQ43" s="119"/>
      <c r="MTR43" s="119"/>
      <c r="MTS43" s="119"/>
      <c r="MTT43" s="119"/>
      <c r="MTU43" s="119"/>
      <c r="MTV43" s="119"/>
      <c r="MTW43" s="119"/>
      <c r="MTX43" s="119"/>
      <c r="MTY43" s="119"/>
      <c r="MTZ43" s="119"/>
      <c r="MUA43" s="119"/>
      <c r="MUB43" s="119"/>
      <c r="MUC43" s="119"/>
      <c r="MUD43" s="119"/>
      <c r="MUE43" s="119"/>
      <c r="MUF43" s="119"/>
      <c r="MUG43" s="119"/>
      <c r="MUH43" s="119"/>
      <c r="MUI43" s="119"/>
      <c r="MUJ43" s="119"/>
      <c r="MUK43" s="119"/>
      <c r="MUL43" s="119"/>
      <c r="MUM43" s="119"/>
      <c r="MUN43" s="119"/>
      <c r="MUO43" s="119"/>
      <c r="MUP43" s="119"/>
      <c r="MUQ43" s="119"/>
      <c r="MUR43" s="119"/>
      <c r="MUS43" s="119"/>
      <c r="MUT43" s="119"/>
      <c r="MUU43" s="119"/>
      <c r="MUV43" s="119"/>
      <c r="MUW43" s="119"/>
      <c r="MUX43" s="119"/>
      <c r="MUY43" s="119"/>
      <c r="MUZ43" s="119"/>
      <c r="MVA43" s="119"/>
      <c r="MVB43" s="119"/>
      <c r="MVC43" s="119"/>
      <c r="MVD43" s="119"/>
      <c r="MVE43" s="119"/>
      <c r="MVF43" s="119"/>
      <c r="MVG43" s="119"/>
      <c r="MVH43" s="119"/>
      <c r="MVI43" s="119"/>
      <c r="MVJ43" s="119"/>
      <c r="MVK43" s="119"/>
      <c r="MVL43" s="119"/>
      <c r="MVM43" s="119"/>
      <c r="MVN43" s="119"/>
      <c r="MVO43" s="119"/>
      <c r="MVP43" s="119"/>
      <c r="MVQ43" s="119"/>
      <c r="MVR43" s="119"/>
      <c r="MVS43" s="119"/>
      <c r="MVT43" s="119"/>
      <c r="MVU43" s="119"/>
      <c r="MVV43" s="119"/>
      <c r="MVW43" s="119"/>
      <c r="MVX43" s="119"/>
      <c r="MVY43" s="119"/>
      <c r="MVZ43" s="119"/>
      <c r="MWA43" s="119"/>
      <c r="MWB43" s="119"/>
      <c r="MWC43" s="119"/>
      <c r="MWD43" s="119"/>
      <c r="MWE43" s="119"/>
      <c r="MWF43" s="119"/>
      <c r="MWG43" s="119"/>
      <c r="MWH43" s="119"/>
      <c r="MWI43" s="119"/>
      <c r="MWJ43" s="119"/>
      <c r="MWK43" s="119"/>
      <c r="MWL43" s="119"/>
      <c r="MWM43" s="119"/>
      <c r="MWN43" s="119"/>
      <c r="MWO43" s="119"/>
      <c r="MWP43" s="119"/>
      <c r="MWQ43" s="119"/>
      <c r="MWR43" s="119"/>
      <c r="MWS43" s="119"/>
      <c r="MWT43" s="119"/>
      <c r="MWU43" s="119"/>
      <c r="MWV43" s="119"/>
      <c r="MWW43" s="119"/>
      <c r="MWX43" s="119"/>
      <c r="MWY43" s="119"/>
      <c r="MWZ43" s="119"/>
      <c r="MXA43" s="119"/>
      <c r="MXB43" s="119"/>
      <c r="MXC43" s="119"/>
      <c r="MXD43" s="119"/>
      <c r="MXE43" s="119"/>
      <c r="MXF43" s="119"/>
      <c r="MXG43" s="119"/>
      <c r="MXH43" s="119"/>
      <c r="MXI43" s="119"/>
      <c r="MXJ43" s="119"/>
      <c r="MXK43" s="119"/>
      <c r="MXL43" s="119"/>
      <c r="MXM43" s="119"/>
      <c r="MXN43" s="119"/>
      <c r="MXO43" s="119"/>
      <c r="MXP43" s="119"/>
      <c r="MXQ43" s="119"/>
      <c r="MXR43" s="119"/>
      <c r="MXS43" s="119"/>
      <c r="MXT43" s="119"/>
      <c r="MXU43" s="119"/>
      <c r="MXV43" s="119"/>
      <c r="MXW43" s="119"/>
      <c r="MXX43" s="119"/>
      <c r="MXY43" s="119"/>
      <c r="MXZ43" s="119"/>
      <c r="MYA43" s="119"/>
      <c r="MYB43" s="119"/>
      <c r="MYC43" s="119"/>
      <c r="MYD43" s="119"/>
      <c r="MYE43" s="119"/>
      <c r="MYF43" s="119"/>
      <c r="MYG43" s="119"/>
      <c r="MYH43" s="119"/>
      <c r="MYI43" s="119"/>
      <c r="MYJ43" s="119"/>
      <c r="MYK43" s="119"/>
      <c r="MYL43" s="119"/>
      <c r="MYM43" s="119"/>
      <c r="MYN43" s="119"/>
      <c r="MYO43" s="119"/>
      <c r="MYP43" s="119"/>
      <c r="MYQ43" s="119"/>
      <c r="MYR43" s="119"/>
      <c r="MYS43" s="119"/>
      <c r="MYT43" s="119"/>
      <c r="MYU43" s="119"/>
      <c r="MYV43" s="119"/>
      <c r="MYW43" s="119"/>
      <c r="MYX43" s="119"/>
      <c r="MYY43" s="119"/>
      <c r="MYZ43" s="119"/>
      <c r="MZA43" s="119"/>
      <c r="MZB43" s="119"/>
      <c r="MZC43" s="119"/>
      <c r="MZD43" s="119"/>
      <c r="MZE43" s="119"/>
      <c r="MZF43" s="119"/>
      <c r="MZG43" s="119"/>
      <c r="MZH43" s="119"/>
      <c r="MZI43" s="119"/>
      <c r="MZJ43" s="119"/>
      <c r="MZK43" s="119"/>
      <c r="MZL43" s="119"/>
      <c r="MZM43" s="119"/>
      <c r="MZN43" s="119"/>
      <c r="MZO43" s="119"/>
      <c r="MZP43" s="119"/>
      <c r="MZQ43" s="119"/>
      <c r="MZR43" s="119"/>
      <c r="MZS43" s="119"/>
      <c r="MZT43" s="119"/>
      <c r="MZU43" s="119"/>
      <c r="MZV43" s="119"/>
      <c r="MZW43" s="119"/>
      <c r="MZX43" s="119"/>
      <c r="MZY43" s="119"/>
      <c r="MZZ43" s="119"/>
      <c r="NAA43" s="119"/>
      <c r="NAB43" s="119"/>
      <c r="NAC43" s="119"/>
      <c r="NAD43" s="119"/>
      <c r="NAE43" s="119"/>
      <c r="NAF43" s="119"/>
      <c r="NAG43" s="119"/>
      <c r="NAH43" s="119"/>
      <c r="NAI43" s="119"/>
      <c r="NAJ43" s="119"/>
      <c r="NAK43" s="119"/>
      <c r="NAL43" s="119"/>
      <c r="NAM43" s="119"/>
      <c r="NAN43" s="119"/>
      <c r="NAO43" s="119"/>
      <c r="NAP43" s="119"/>
      <c r="NAQ43" s="119"/>
      <c r="NAR43" s="119"/>
      <c r="NAS43" s="119"/>
      <c r="NAT43" s="119"/>
      <c r="NAU43" s="119"/>
      <c r="NAV43" s="119"/>
      <c r="NAW43" s="119"/>
      <c r="NAX43" s="119"/>
      <c r="NAY43" s="119"/>
      <c r="NAZ43" s="119"/>
      <c r="NBA43" s="119"/>
      <c r="NBB43" s="119"/>
      <c r="NBC43" s="119"/>
      <c r="NBD43" s="119"/>
      <c r="NBE43" s="119"/>
      <c r="NBF43" s="119"/>
      <c r="NBG43" s="119"/>
      <c r="NBH43" s="119"/>
      <c r="NBI43" s="119"/>
      <c r="NBJ43" s="119"/>
      <c r="NBK43" s="119"/>
      <c r="NBL43" s="119"/>
      <c r="NBM43" s="119"/>
      <c r="NBN43" s="119"/>
      <c r="NBO43" s="119"/>
      <c r="NBP43" s="119"/>
      <c r="NBQ43" s="119"/>
      <c r="NBR43" s="119"/>
      <c r="NBS43" s="119"/>
      <c r="NBT43" s="119"/>
      <c r="NBU43" s="119"/>
      <c r="NBV43" s="119"/>
      <c r="NBW43" s="119"/>
      <c r="NBX43" s="119"/>
      <c r="NBY43" s="119"/>
      <c r="NBZ43" s="119"/>
      <c r="NCA43" s="119"/>
      <c r="NCB43" s="119"/>
      <c r="NCC43" s="119"/>
      <c r="NCD43" s="119"/>
      <c r="NCE43" s="119"/>
      <c r="NCF43" s="119"/>
      <c r="NCG43" s="119"/>
      <c r="NCH43" s="119"/>
      <c r="NCI43" s="119"/>
      <c r="NCJ43" s="119"/>
      <c r="NCK43" s="119"/>
      <c r="NCL43" s="119"/>
      <c r="NCM43" s="119"/>
      <c r="NCN43" s="119"/>
      <c r="NCO43" s="119"/>
      <c r="NCP43" s="119"/>
      <c r="NCQ43" s="119"/>
      <c r="NCR43" s="119"/>
      <c r="NCS43" s="119"/>
      <c r="NCT43" s="119"/>
      <c r="NCU43" s="119"/>
      <c r="NCV43" s="119"/>
      <c r="NCW43" s="119"/>
      <c r="NCX43" s="119"/>
      <c r="NCY43" s="119"/>
      <c r="NCZ43" s="119"/>
      <c r="NDA43" s="119"/>
      <c r="NDB43" s="119"/>
      <c r="NDC43" s="119"/>
      <c r="NDD43" s="119"/>
      <c r="NDE43" s="119"/>
      <c r="NDF43" s="119"/>
      <c r="NDG43" s="119"/>
      <c r="NDH43" s="119"/>
      <c r="NDI43" s="119"/>
      <c r="NDJ43" s="119"/>
      <c r="NDK43" s="119"/>
      <c r="NDL43" s="119"/>
      <c r="NDM43" s="119"/>
      <c r="NDN43" s="119"/>
      <c r="NDO43" s="119"/>
      <c r="NDP43" s="119"/>
      <c r="NDQ43" s="119"/>
      <c r="NDR43" s="119"/>
      <c r="NDS43" s="119"/>
      <c r="NDT43" s="119"/>
      <c r="NDU43" s="119"/>
      <c r="NDV43" s="119"/>
      <c r="NDW43" s="119"/>
      <c r="NDX43" s="119"/>
      <c r="NDY43" s="119"/>
      <c r="NDZ43" s="119"/>
      <c r="NEA43" s="119"/>
      <c r="NEB43" s="119"/>
      <c r="NEC43" s="119"/>
      <c r="NED43" s="119"/>
      <c r="NEE43" s="119"/>
      <c r="NEF43" s="119"/>
      <c r="NEG43" s="119"/>
      <c r="NEH43" s="119"/>
      <c r="NEI43" s="119"/>
      <c r="NEJ43" s="119"/>
      <c r="NEK43" s="119"/>
      <c r="NEL43" s="119"/>
      <c r="NEM43" s="119"/>
      <c r="NEN43" s="119"/>
      <c r="NEO43" s="119"/>
      <c r="NEP43" s="119"/>
      <c r="NEQ43" s="119"/>
      <c r="NER43" s="119"/>
      <c r="NES43" s="119"/>
      <c r="NET43" s="119"/>
      <c r="NEU43" s="119"/>
      <c r="NEV43" s="119"/>
      <c r="NEW43" s="119"/>
      <c r="NEX43" s="119"/>
      <c r="NEY43" s="119"/>
      <c r="NEZ43" s="119"/>
      <c r="NFA43" s="119"/>
      <c r="NFB43" s="119"/>
      <c r="NFC43" s="119"/>
      <c r="NFD43" s="119"/>
      <c r="NFE43" s="119"/>
      <c r="NFF43" s="119"/>
      <c r="NFG43" s="119"/>
      <c r="NFH43" s="119"/>
      <c r="NFI43" s="119"/>
      <c r="NFJ43" s="119"/>
      <c r="NFK43" s="119"/>
      <c r="NFL43" s="119"/>
      <c r="NFM43" s="119"/>
      <c r="NFN43" s="119"/>
      <c r="NFO43" s="119"/>
      <c r="NFP43" s="119"/>
      <c r="NFQ43" s="119"/>
      <c r="NFR43" s="119"/>
      <c r="NFS43" s="119"/>
      <c r="NFT43" s="119"/>
      <c r="NFU43" s="119"/>
      <c r="NFV43" s="119"/>
      <c r="NFW43" s="119"/>
      <c r="NFX43" s="119"/>
      <c r="NFY43" s="119"/>
      <c r="NFZ43" s="119"/>
      <c r="NGA43" s="119"/>
      <c r="NGB43" s="119"/>
      <c r="NGC43" s="119"/>
      <c r="NGD43" s="119"/>
      <c r="NGE43" s="119"/>
      <c r="NGF43" s="119"/>
      <c r="NGG43" s="119"/>
      <c r="NGH43" s="119"/>
      <c r="NGI43" s="119"/>
      <c r="NGJ43" s="119"/>
      <c r="NGK43" s="119"/>
      <c r="NGL43" s="119"/>
      <c r="NGM43" s="119"/>
      <c r="NGN43" s="119"/>
      <c r="NGO43" s="119"/>
      <c r="NGP43" s="119"/>
      <c r="NGQ43" s="119"/>
      <c r="NGR43" s="119"/>
      <c r="NGS43" s="119"/>
      <c r="NGT43" s="119"/>
      <c r="NGU43" s="119"/>
      <c r="NGV43" s="119"/>
      <c r="NGW43" s="119"/>
      <c r="NGX43" s="119"/>
      <c r="NGY43" s="119"/>
      <c r="NGZ43" s="119"/>
      <c r="NHA43" s="119"/>
      <c r="NHB43" s="119"/>
      <c r="NHC43" s="119"/>
      <c r="NHD43" s="119"/>
      <c r="NHE43" s="119"/>
      <c r="NHF43" s="119"/>
      <c r="NHG43" s="119"/>
      <c r="NHH43" s="119"/>
      <c r="NHI43" s="119"/>
      <c r="NHJ43" s="119"/>
      <c r="NHK43" s="119"/>
      <c r="NHL43" s="119"/>
      <c r="NHM43" s="119"/>
      <c r="NHN43" s="119"/>
      <c r="NHO43" s="119"/>
      <c r="NHP43" s="119"/>
      <c r="NHQ43" s="119"/>
      <c r="NHR43" s="119"/>
      <c r="NHS43" s="119"/>
      <c r="NHT43" s="119"/>
      <c r="NHU43" s="119"/>
      <c r="NHV43" s="119"/>
      <c r="NHW43" s="119"/>
      <c r="NHX43" s="119"/>
      <c r="NHY43" s="119"/>
      <c r="NHZ43" s="119"/>
      <c r="NIA43" s="119"/>
      <c r="NIB43" s="119"/>
      <c r="NIC43" s="119"/>
      <c r="NID43" s="119"/>
      <c r="NIE43" s="119"/>
      <c r="NIF43" s="119"/>
      <c r="NIG43" s="119"/>
      <c r="NIH43" s="119"/>
      <c r="NII43" s="119"/>
      <c r="NIJ43" s="119"/>
      <c r="NIK43" s="119"/>
      <c r="NIL43" s="119"/>
      <c r="NIM43" s="119"/>
      <c r="NIN43" s="119"/>
      <c r="NIO43" s="119"/>
      <c r="NIP43" s="119"/>
      <c r="NIQ43" s="119"/>
      <c r="NIR43" s="119"/>
      <c r="NIS43" s="119"/>
      <c r="NIT43" s="119"/>
      <c r="NIU43" s="119"/>
      <c r="NIV43" s="119"/>
      <c r="NIW43" s="119"/>
      <c r="NIX43" s="119"/>
      <c r="NIY43" s="119"/>
      <c r="NIZ43" s="119"/>
      <c r="NJA43" s="119"/>
      <c r="NJB43" s="119"/>
      <c r="NJC43" s="119"/>
      <c r="NJD43" s="119"/>
      <c r="NJE43" s="119"/>
      <c r="NJF43" s="119"/>
      <c r="NJG43" s="119"/>
      <c r="NJH43" s="119"/>
      <c r="NJI43" s="119"/>
      <c r="NJJ43" s="119"/>
      <c r="NJK43" s="119"/>
      <c r="NJL43" s="119"/>
      <c r="NJM43" s="119"/>
      <c r="NJN43" s="119"/>
      <c r="NJO43" s="119"/>
      <c r="NJP43" s="119"/>
      <c r="NJQ43" s="119"/>
      <c r="NJR43" s="119"/>
      <c r="NJS43" s="119"/>
      <c r="NJT43" s="119"/>
      <c r="NJU43" s="119"/>
      <c r="NJV43" s="119"/>
      <c r="NJW43" s="119"/>
      <c r="NJX43" s="119"/>
      <c r="NJY43" s="119"/>
      <c r="NJZ43" s="119"/>
      <c r="NKA43" s="119"/>
      <c r="NKB43" s="119"/>
      <c r="NKC43" s="119"/>
      <c r="NKD43" s="119"/>
      <c r="NKE43" s="119"/>
      <c r="NKF43" s="119"/>
      <c r="NKG43" s="119"/>
      <c r="NKH43" s="119"/>
      <c r="NKI43" s="119"/>
      <c r="NKJ43" s="119"/>
      <c r="NKK43" s="119"/>
      <c r="NKL43" s="119"/>
      <c r="NKM43" s="119"/>
      <c r="NKN43" s="119"/>
      <c r="NKO43" s="119"/>
      <c r="NKP43" s="119"/>
      <c r="NKQ43" s="119"/>
      <c r="NKR43" s="119"/>
      <c r="NKS43" s="119"/>
      <c r="NKT43" s="119"/>
      <c r="NKU43" s="119"/>
      <c r="NKV43" s="119"/>
      <c r="NKW43" s="119"/>
      <c r="NKX43" s="119"/>
      <c r="NKY43" s="119"/>
      <c r="NKZ43" s="119"/>
      <c r="NLA43" s="119"/>
      <c r="NLB43" s="119"/>
      <c r="NLC43" s="119"/>
      <c r="NLD43" s="119"/>
      <c r="NLE43" s="119"/>
      <c r="NLF43" s="119"/>
      <c r="NLG43" s="119"/>
      <c r="NLH43" s="119"/>
      <c r="NLI43" s="119"/>
      <c r="NLJ43" s="119"/>
      <c r="NLK43" s="119"/>
      <c r="NLL43" s="119"/>
      <c r="NLM43" s="119"/>
      <c r="NLN43" s="119"/>
      <c r="NLO43" s="119"/>
      <c r="NLP43" s="119"/>
      <c r="NLQ43" s="119"/>
      <c r="NLR43" s="119"/>
      <c r="NLS43" s="119"/>
      <c r="NLT43" s="119"/>
      <c r="NLU43" s="119"/>
      <c r="NLV43" s="119"/>
      <c r="NLW43" s="119"/>
      <c r="NLX43" s="119"/>
      <c r="NLY43" s="119"/>
      <c r="NLZ43" s="119"/>
      <c r="NMA43" s="119"/>
      <c r="NMB43" s="119"/>
      <c r="NMC43" s="119"/>
      <c r="NMD43" s="119"/>
      <c r="NME43" s="119"/>
      <c r="NMF43" s="119"/>
      <c r="NMG43" s="119"/>
      <c r="NMH43" s="119"/>
      <c r="NMI43" s="119"/>
      <c r="NMJ43" s="119"/>
      <c r="NMK43" s="119"/>
      <c r="NML43" s="119"/>
      <c r="NMM43" s="119"/>
      <c r="NMN43" s="119"/>
      <c r="NMO43" s="119"/>
      <c r="NMP43" s="119"/>
      <c r="NMQ43" s="119"/>
      <c r="NMR43" s="119"/>
      <c r="NMS43" s="119"/>
      <c r="NMT43" s="119"/>
      <c r="NMU43" s="119"/>
      <c r="NMV43" s="119"/>
      <c r="NMW43" s="119"/>
      <c r="NMX43" s="119"/>
      <c r="NMY43" s="119"/>
      <c r="NMZ43" s="119"/>
      <c r="NNA43" s="119"/>
      <c r="NNB43" s="119"/>
      <c r="NNC43" s="119"/>
      <c r="NND43" s="119"/>
      <c r="NNE43" s="119"/>
      <c r="NNF43" s="119"/>
      <c r="NNG43" s="119"/>
      <c r="NNH43" s="119"/>
      <c r="NNI43" s="119"/>
      <c r="NNJ43" s="119"/>
      <c r="NNK43" s="119"/>
      <c r="NNL43" s="119"/>
      <c r="NNM43" s="119"/>
      <c r="NNN43" s="119"/>
      <c r="NNO43" s="119"/>
      <c r="NNP43" s="119"/>
      <c r="NNQ43" s="119"/>
      <c r="NNR43" s="119"/>
      <c r="NNS43" s="119"/>
      <c r="NNT43" s="119"/>
      <c r="NNU43" s="119"/>
      <c r="NNV43" s="119"/>
      <c r="NNW43" s="119"/>
      <c r="NNX43" s="119"/>
      <c r="NNY43" s="119"/>
      <c r="NNZ43" s="119"/>
      <c r="NOA43" s="119"/>
      <c r="NOB43" s="119"/>
      <c r="NOC43" s="119"/>
      <c r="NOD43" s="119"/>
      <c r="NOE43" s="119"/>
      <c r="NOF43" s="119"/>
      <c r="NOG43" s="119"/>
      <c r="NOH43" s="119"/>
      <c r="NOI43" s="119"/>
      <c r="NOJ43" s="119"/>
      <c r="NOK43" s="119"/>
      <c r="NOL43" s="119"/>
      <c r="NOM43" s="119"/>
      <c r="NON43" s="119"/>
      <c r="NOO43" s="119"/>
      <c r="NOP43" s="119"/>
      <c r="NOQ43" s="119"/>
      <c r="NOR43" s="119"/>
      <c r="NOS43" s="119"/>
      <c r="NOT43" s="119"/>
      <c r="NOU43" s="119"/>
      <c r="NOV43" s="119"/>
      <c r="NOW43" s="119"/>
      <c r="NOX43" s="119"/>
      <c r="NOY43" s="119"/>
      <c r="NOZ43" s="119"/>
      <c r="NPA43" s="119"/>
      <c r="NPB43" s="119"/>
      <c r="NPC43" s="119"/>
      <c r="NPD43" s="119"/>
      <c r="NPE43" s="119"/>
      <c r="NPF43" s="119"/>
      <c r="NPG43" s="119"/>
      <c r="NPH43" s="119"/>
      <c r="NPI43" s="119"/>
      <c r="NPJ43" s="119"/>
      <c r="NPK43" s="119"/>
      <c r="NPL43" s="119"/>
      <c r="NPM43" s="119"/>
      <c r="NPN43" s="119"/>
      <c r="NPO43" s="119"/>
      <c r="NPP43" s="119"/>
      <c r="NPQ43" s="119"/>
      <c r="NPR43" s="119"/>
      <c r="NPS43" s="119"/>
      <c r="NPT43" s="119"/>
      <c r="NPU43" s="119"/>
      <c r="NPV43" s="119"/>
      <c r="NPW43" s="119"/>
      <c r="NPX43" s="119"/>
      <c r="NPY43" s="119"/>
      <c r="NPZ43" s="119"/>
      <c r="NQA43" s="119"/>
      <c r="NQB43" s="119"/>
      <c r="NQC43" s="119"/>
      <c r="NQD43" s="119"/>
      <c r="NQE43" s="119"/>
      <c r="NQF43" s="119"/>
      <c r="NQG43" s="119"/>
      <c r="NQH43" s="119"/>
      <c r="NQI43" s="119"/>
      <c r="NQJ43" s="119"/>
      <c r="NQK43" s="119"/>
      <c r="NQL43" s="119"/>
      <c r="NQM43" s="119"/>
      <c r="NQN43" s="119"/>
      <c r="NQO43" s="119"/>
      <c r="NQP43" s="119"/>
      <c r="NQQ43" s="119"/>
      <c r="NQR43" s="119"/>
      <c r="NQS43" s="119"/>
      <c r="NQT43" s="119"/>
      <c r="NQU43" s="119"/>
      <c r="NQV43" s="119"/>
      <c r="NQW43" s="119"/>
      <c r="NQX43" s="119"/>
      <c r="NQY43" s="119"/>
      <c r="NQZ43" s="119"/>
      <c r="NRA43" s="119"/>
      <c r="NRB43" s="119"/>
      <c r="NRC43" s="119"/>
      <c r="NRD43" s="119"/>
      <c r="NRE43" s="119"/>
      <c r="NRF43" s="119"/>
      <c r="NRG43" s="119"/>
      <c r="NRH43" s="119"/>
      <c r="NRI43" s="119"/>
      <c r="NRJ43" s="119"/>
      <c r="NRK43" s="119"/>
      <c r="NRL43" s="119"/>
      <c r="NRM43" s="119"/>
      <c r="NRN43" s="119"/>
      <c r="NRO43" s="119"/>
      <c r="NRP43" s="119"/>
      <c r="NRQ43" s="119"/>
      <c r="NRR43" s="119"/>
      <c r="NRS43" s="119"/>
      <c r="NRT43" s="119"/>
      <c r="NRU43" s="119"/>
      <c r="NRV43" s="119"/>
      <c r="NRW43" s="119"/>
      <c r="NRX43" s="119"/>
      <c r="NRY43" s="119"/>
      <c r="NRZ43" s="119"/>
      <c r="NSA43" s="119"/>
      <c r="NSB43" s="119"/>
      <c r="NSC43" s="119"/>
      <c r="NSD43" s="119"/>
      <c r="NSE43" s="119"/>
      <c r="NSF43" s="119"/>
      <c r="NSG43" s="119"/>
      <c r="NSH43" s="119"/>
      <c r="NSI43" s="119"/>
      <c r="NSJ43" s="119"/>
      <c r="NSK43" s="119"/>
      <c r="NSL43" s="119"/>
      <c r="NSM43" s="119"/>
      <c r="NSN43" s="119"/>
      <c r="NSO43" s="119"/>
      <c r="NSP43" s="119"/>
      <c r="NSQ43" s="119"/>
      <c r="NSR43" s="119"/>
      <c r="NSS43" s="119"/>
      <c r="NST43" s="119"/>
      <c r="NSU43" s="119"/>
      <c r="NSV43" s="119"/>
      <c r="NSW43" s="119"/>
      <c r="NSX43" s="119"/>
      <c r="NSY43" s="119"/>
      <c r="NSZ43" s="119"/>
      <c r="NTA43" s="119"/>
      <c r="NTB43" s="119"/>
      <c r="NTC43" s="119"/>
      <c r="NTD43" s="119"/>
      <c r="NTE43" s="119"/>
      <c r="NTF43" s="119"/>
      <c r="NTG43" s="119"/>
      <c r="NTH43" s="119"/>
      <c r="NTI43" s="119"/>
      <c r="NTJ43" s="119"/>
      <c r="NTK43" s="119"/>
      <c r="NTL43" s="119"/>
      <c r="NTM43" s="119"/>
      <c r="NTN43" s="119"/>
      <c r="NTO43" s="119"/>
      <c r="NTP43" s="119"/>
      <c r="NTQ43" s="119"/>
      <c r="NTR43" s="119"/>
      <c r="NTS43" s="119"/>
      <c r="NTT43" s="119"/>
      <c r="NTU43" s="119"/>
      <c r="NTV43" s="119"/>
      <c r="NTW43" s="119"/>
      <c r="NTX43" s="119"/>
      <c r="NTY43" s="119"/>
      <c r="NTZ43" s="119"/>
      <c r="NUA43" s="119"/>
      <c r="NUB43" s="119"/>
      <c r="NUC43" s="119"/>
      <c r="NUD43" s="119"/>
      <c r="NUE43" s="119"/>
      <c r="NUF43" s="119"/>
      <c r="NUG43" s="119"/>
      <c r="NUH43" s="119"/>
      <c r="NUI43" s="119"/>
      <c r="NUJ43" s="119"/>
      <c r="NUK43" s="119"/>
      <c r="NUL43" s="119"/>
      <c r="NUM43" s="119"/>
      <c r="NUN43" s="119"/>
      <c r="NUO43" s="119"/>
      <c r="NUP43" s="119"/>
      <c r="NUQ43" s="119"/>
      <c r="NUR43" s="119"/>
      <c r="NUS43" s="119"/>
      <c r="NUT43" s="119"/>
      <c r="NUU43" s="119"/>
      <c r="NUV43" s="119"/>
      <c r="NUW43" s="119"/>
      <c r="NUX43" s="119"/>
      <c r="NUY43" s="119"/>
      <c r="NUZ43" s="119"/>
      <c r="NVA43" s="119"/>
      <c r="NVB43" s="119"/>
      <c r="NVC43" s="119"/>
      <c r="NVD43" s="119"/>
      <c r="NVE43" s="119"/>
      <c r="NVF43" s="119"/>
      <c r="NVG43" s="119"/>
      <c r="NVH43" s="119"/>
      <c r="NVI43" s="119"/>
      <c r="NVJ43" s="119"/>
      <c r="NVK43" s="119"/>
      <c r="NVL43" s="119"/>
      <c r="NVM43" s="119"/>
      <c r="NVN43" s="119"/>
      <c r="NVO43" s="119"/>
      <c r="NVP43" s="119"/>
      <c r="NVQ43" s="119"/>
      <c r="NVR43" s="119"/>
      <c r="NVS43" s="119"/>
      <c r="NVT43" s="119"/>
      <c r="NVU43" s="119"/>
      <c r="NVV43" s="119"/>
      <c r="NVW43" s="119"/>
      <c r="NVX43" s="119"/>
      <c r="NVY43" s="119"/>
      <c r="NVZ43" s="119"/>
      <c r="NWA43" s="119"/>
      <c r="NWB43" s="119"/>
      <c r="NWC43" s="119"/>
      <c r="NWD43" s="119"/>
      <c r="NWE43" s="119"/>
      <c r="NWF43" s="119"/>
      <c r="NWG43" s="119"/>
      <c r="NWH43" s="119"/>
      <c r="NWI43" s="119"/>
      <c r="NWJ43" s="119"/>
      <c r="NWK43" s="119"/>
      <c r="NWL43" s="119"/>
      <c r="NWM43" s="119"/>
      <c r="NWN43" s="119"/>
      <c r="NWO43" s="119"/>
      <c r="NWP43" s="119"/>
      <c r="NWQ43" s="119"/>
      <c r="NWR43" s="119"/>
      <c r="NWS43" s="119"/>
      <c r="NWT43" s="119"/>
      <c r="NWU43" s="119"/>
      <c r="NWV43" s="119"/>
      <c r="NWW43" s="119"/>
      <c r="NWX43" s="119"/>
      <c r="NWY43" s="119"/>
      <c r="NWZ43" s="119"/>
      <c r="NXA43" s="119"/>
      <c r="NXB43" s="119"/>
      <c r="NXC43" s="119"/>
      <c r="NXD43" s="119"/>
      <c r="NXE43" s="119"/>
      <c r="NXF43" s="119"/>
      <c r="NXG43" s="119"/>
      <c r="NXH43" s="119"/>
      <c r="NXI43" s="119"/>
      <c r="NXJ43" s="119"/>
      <c r="NXK43" s="119"/>
      <c r="NXL43" s="119"/>
      <c r="NXM43" s="119"/>
      <c r="NXN43" s="119"/>
      <c r="NXO43" s="119"/>
      <c r="NXP43" s="119"/>
      <c r="NXQ43" s="119"/>
      <c r="NXR43" s="119"/>
      <c r="NXS43" s="119"/>
      <c r="NXT43" s="119"/>
      <c r="NXU43" s="119"/>
      <c r="NXV43" s="119"/>
      <c r="NXW43" s="119"/>
      <c r="NXX43" s="119"/>
      <c r="NXY43" s="119"/>
      <c r="NXZ43" s="119"/>
      <c r="NYA43" s="119"/>
      <c r="NYB43" s="119"/>
      <c r="NYC43" s="119"/>
      <c r="NYD43" s="119"/>
      <c r="NYE43" s="119"/>
      <c r="NYF43" s="119"/>
      <c r="NYG43" s="119"/>
      <c r="NYH43" s="119"/>
      <c r="NYI43" s="119"/>
      <c r="NYJ43" s="119"/>
      <c r="NYK43" s="119"/>
      <c r="NYL43" s="119"/>
      <c r="NYM43" s="119"/>
      <c r="NYN43" s="119"/>
      <c r="NYO43" s="119"/>
      <c r="NYP43" s="119"/>
      <c r="NYQ43" s="119"/>
      <c r="NYR43" s="119"/>
      <c r="NYS43" s="119"/>
      <c r="NYT43" s="119"/>
      <c r="NYU43" s="119"/>
      <c r="NYV43" s="119"/>
      <c r="NYW43" s="119"/>
      <c r="NYX43" s="119"/>
      <c r="NYY43" s="119"/>
      <c r="NYZ43" s="119"/>
      <c r="NZA43" s="119"/>
      <c r="NZB43" s="119"/>
      <c r="NZC43" s="119"/>
      <c r="NZD43" s="119"/>
      <c r="NZE43" s="119"/>
      <c r="NZF43" s="119"/>
      <c r="NZG43" s="119"/>
      <c r="NZH43" s="119"/>
      <c r="NZI43" s="119"/>
      <c r="NZJ43" s="119"/>
      <c r="NZK43" s="119"/>
      <c r="NZL43" s="119"/>
      <c r="NZM43" s="119"/>
      <c r="NZN43" s="119"/>
      <c r="NZO43" s="119"/>
      <c r="NZP43" s="119"/>
      <c r="NZQ43" s="119"/>
      <c r="NZR43" s="119"/>
      <c r="NZS43" s="119"/>
      <c r="NZT43" s="119"/>
      <c r="NZU43" s="119"/>
      <c r="NZV43" s="119"/>
      <c r="NZW43" s="119"/>
      <c r="NZX43" s="119"/>
      <c r="NZY43" s="119"/>
      <c r="NZZ43" s="119"/>
      <c r="OAA43" s="119"/>
      <c r="OAB43" s="119"/>
      <c r="OAC43" s="119"/>
      <c r="OAD43" s="119"/>
      <c r="OAE43" s="119"/>
      <c r="OAF43" s="119"/>
      <c r="OAG43" s="119"/>
      <c r="OAH43" s="119"/>
      <c r="OAI43" s="119"/>
      <c r="OAJ43" s="119"/>
      <c r="OAK43" s="119"/>
      <c r="OAL43" s="119"/>
      <c r="OAM43" s="119"/>
      <c r="OAN43" s="119"/>
      <c r="OAO43" s="119"/>
      <c r="OAP43" s="119"/>
      <c r="OAQ43" s="119"/>
      <c r="OAR43" s="119"/>
      <c r="OAS43" s="119"/>
      <c r="OAT43" s="119"/>
      <c r="OAU43" s="119"/>
      <c r="OAV43" s="119"/>
      <c r="OAW43" s="119"/>
      <c r="OAX43" s="119"/>
      <c r="OAY43" s="119"/>
      <c r="OAZ43" s="119"/>
      <c r="OBA43" s="119"/>
      <c r="OBB43" s="119"/>
      <c r="OBC43" s="119"/>
      <c r="OBD43" s="119"/>
      <c r="OBE43" s="119"/>
      <c r="OBF43" s="119"/>
      <c r="OBG43" s="119"/>
      <c r="OBH43" s="119"/>
      <c r="OBI43" s="119"/>
      <c r="OBJ43" s="119"/>
      <c r="OBK43" s="119"/>
      <c r="OBL43" s="119"/>
      <c r="OBM43" s="119"/>
      <c r="OBN43" s="119"/>
      <c r="OBO43" s="119"/>
      <c r="OBP43" s="119"/>
      <c r="OBQ43" s="119"/>
      <c r="OBR43" s="119"/>
      <c r="OBS43" s="119"/>
      <c r="OBT43" s="119"/>
      <c r="OBU43" s="119"/>
      <c r="OBV43" s="119"/>
      <c r="OBW43" s="119"/>
      <c r="OBX43" s="119"/>
      <c r="OBY43" s="119"/>
      <c r="OBZ43" s="119"/>
      <c r="OCA43" s="119"/>
      <c r="OCB43" s="119"/>
      <c r="OCC43" s="119"/>
      <c r="OCD43" s="119"/>
      <c r="OCE43" s="119"/>
      <c r="OCF43" s="119"/>
      <c r="OCG43" s="119"/>
      <c r="OCH43" s="119"/>
      <c r="OCI43" s="119"/>
      <c r="OCJ43" s="119"/>
      <c r="OCK43" s="119"/>
      <c r="OCL43" s="119"/>
      <c r="OCM43" s="119"/>
      <c r="OCN43" s="119"/>
      <c r="OCO43" s="119"/>
      <c r="OCP43" s="119"/>
      <c r="OCQ43" s="119"/>
      <c r="OCR43" s="119"/>
      <c r="OCS43" s="119"/>
      <c r="OCT43" s="119"/>
      <c r="OCU43" s="119"/>
      <c r="OCV43" s="119"/>
      <c r="OCW43" s="119"/>
      <c r="OCX43" s="119"/>
      <c r="OCY43" s="119"/>
      <c r="OCZ43" s="119"/>
      <c r="ODA43" s="119"/>
      <c r="ODB43" s="119"/>
      <c r="ODC43" s="119"/>
      <c r="ODD43" s="119"/>
      <c r="ODE43" s="119"/>
      <c r="ODF43" s="119"/>
      <c r="ODG43" s="119"/>
      <c r="ODH43" s="119"/>
      <c r="ODI43" s="119"/>
      <c r="ODJ43" s="119"/>
      <c r="ODK43" s="119"/>
      <c r="ODL43" s="119"/>
      <c r="ODM43" s="119"/>
      <c r="ODN43" s="119"/>
      <c r="ODO43" s="119"/>
      <c r="ODP43" s="119"/>
      <c r="ODQ43" s="119"/>
      <c r="ODR43" s="119"/>
      <c r="ODS43" s="119"/>
      <c r="ODT43" s="119"/>
      <c r="ODU43" s="119"/>
      <c r="ODV43" s="119"/>
      <c r="ODW43" s="119"/>
      <c r="ODX43" s="119"/>
      <c r="ODY43" s="119"/>
      <c r="ODZ43" s="119"/>
      <c r="OEA43" s="119"/>
      <c r="OEB43" s="119"/>
      <c r="OEC43" s="119"/>
      <c r="OED43" s="119"/>
      <c r="OEE43" s="119"/>
      <c r="OEF43" s="119"/>
      <c r="OEG43" s="119"/>
      <c r="OEH43" s="119"/>
      <c r="OEI43" s="119"/>
      <c r="OEJ43" s="119"/>
      <c r="OEK43" s="119"/>
      <c r="OEL43" s="119"/>
      <c r="OEM43" s="119"/>
      <c r="OEN43" s="119"/>
      <c r="OEO43" s="119"/>
      <c r="OEP43" s="119"/>
      <c r="OEQ43" s="119"/>
      <c r="OER43" s="119"/>
      <c r="OES43" s="119"/>
      <c r="OET43" s="119"/>
      <c r="OEU43" s="119"/>
      <c r="OEV43" s="119"/>
      <c r="OEW43" s="119"/>
      <c r="OEX43" s="119"/>
      <c r="OEY43" s="119"/>
      <c r="OEZ43" s="119"/>
      <c r="OFA43" s="119"/>
      <c r="OFB43" s="119"/>
      <c r="OFC43" s="119"/>
      <c r="OFD43" s="119"/>
      <c r="OFE43" s="119"/>
      <c r="OFF43" s="119"/>
      <c r="OFG43" s="119"/>
      <c r="OFH43" s="119"/>
      <c r="OFI43" s="119"/>
      <c r="OFJ43" s="119"/>
      <c r="OFK43" s="119"/>
      <c r="OFL43" s="119"/>
      <c r="OFM43" s="119"/>
      <c r="OFN43" s="119"/>
      <c r="OFO43" s="119"/>
      <c r="OFP43" s="119"/>
      <c r="OFQ43" s="119"/>
      <c r="OFR43" s="119"/>
      <c r="OFS43" s="119"/>
      <c r="OFT43" s="119"/>
      <c r="OFU43" s="119"/>
      <c r="OFV43" s="119"/>
      <c r="OFW43" s="119"/>
      <c r="OFX43" s="119"/>
      <c r="OFY43" s="119"/>
      <c r="OFZ43" s="119"/>
      <c r="OGA43" s="119"/>
      <c r="OGB43" s="119"/>
      <c r="OGC43" s="119"/>
      <c r="OGD43" s="119"/>
      <c r="OGE43" s="119"/>
      <c r="OGF43" s="119"/>
      <c r="OGG43" s="119"/>
      <c r="OGH43" s="119"/>
      <c r="OGI43" s="119"/>
      <c r="OGJ43" s="119"/>
      <c r="OGK43" s="119"/>
      <c r="OGL43" s="119"/>
      <c r="OGM43" s="119"/>
      <c r="OGN43" s="119"/>
      <c r="OGO43" s="119"/>
      <c r="OGP43" s="119"/>
      <c r="OGQ43" s="119"/>
      <c r="OGR43" s="119"/>
      <c r="OGS43" s="119"/>
      <c r="OGT43" s="119"/>
      <c r="OGU43" s="119"/>
      <c r="OGV43" s="119"/>
      <c r="OGW43" s="119"/>
      <c r="OGX43" s="119"/>
      <c r="OGY43" s="119"/>
      <c r="OGZ43" s="119"/>
      <c r="OHA43" s="119"/>
      <c r="OHB43" s="119"/>
      <c r="OHC43" s="119"/>
      <c r="OHD43" s="119"/>
      <c r="OHE43" s="119"/>
      <c r="OHF43" s="119"/>
      <c r="OHG43" s="119"/>
      <c r="OHH43" s="119"/>
      <c r="OHI43" s="119"/>
      <c r="OHJ43" s="119"/>
      <c r="OHK43" s="119"/>
      <c r="OHL43" s="119"/>
      <c r="OHM43" s="119"/>
      <c r="OHN43" s="119"/>
      <c r="OHO43" s="119"/>
      <c r="OHP43" s="119"/>
      <c r="OHQ43" s="119"/>
      <c r="OHR43" s="119"/>
      <c r="OHS43" s="119"/>
      <c r="OHT43" s="119"/>
      <c r="OHU43" s="119"/>
      <c r="OHV43" s="119"/>
      <c r="OHW43" s="119"/>
      <c r="OHX43" s="119"/>
      <c r="OHY43" s="119"/>
      <c r="OHZ43" s="119"/>
      <c r="OIA43" s="119"/>
      <c r="OIB43" s="119"/>
      <c r="OIC43" s="119"/>
      <c r="OID43" s="119"/>
      <c r="OIE43" s="119"/>
      <c r="OIF43" s="119"/>
      <c r="OIG43" s="119"/>
      <c r="OIH43" s="119"/>
      <c r="OII43" s="119"/>
      <c r="OIJ43" s="119"/>
      <c r="OIK43" s="119"/>
      <c r="OIL43" s="119"/>
      <c r="OIM43" s="119"/>
      <c r="OIN43" s="119"/>
      <c r="OIO43" s="119"/>
      <c r="OIP43" s="119"/>
      <c r="OIQ43" s="119"/>
      <c r="OIR43" s="119"/>
      <c r="OIS43" s="119"/>
      <c r="OIT43" s="119"/>
      <c r="OIU43" s="119"/>
      <c r="OIV43" s="119"/>
      <c r="OIW43" s="119"/>
      <c r="OIX43" s="119"/>
      <c r="OIY43" s="119"/>
      <c r="OIZ43" s="119"/>
      <c r="OJA43" s="119"/>
      <c r="OJB43" s="119"/>
      <c r="OJC43" s="119"/>
      <c r="OJD43" s="119"/>
      <c r="OJE43" s="119"/>
      <c r="OJF43" s="119"/>
      <c r="OJG43" s="119"/>
      <c r="OJH43" s="119"/>
      <c r="OJI43" s="119"/>
      <c r="OJJ43" s="119"/>
      <c r="OJK43" s="119"/>
      <c r="OJL43" s="119"/>
      <c r="OJM43" s="119"/>
      <c r="OJN43" s="119"/>
      <c r="OJO43" s="119"/>
      <c r="OJP43" s="119"/>
      <c r="OJQ43" s="119"/>
      <c r="OJR43" s="119"/>
      <c r="OJS43" s="119"/>
      <c r="OJT43" s="119"/>
      <c r="OJU43" s="119"/>
      <c r="OJV43" s="119"/>
      <c r="OJW43" s="119"/>
      <c r="OJX43" s="119"/>
      <c r="OJY43" s="119"/>
      <c r="OJZ43" s="119"/>
      <c r="OKA43" s="119"/>
      <c r="OKB43" s="119"/>
      <c r="OKC43" s="119"/>
      <c r="OKD43" s="119"/>
      <c r="OKE43" s="119"/>
      <c r="OKF43" s="119"/>
      <c r="OKG43" s="119"/>
      <c r="OKH43" s="119"/>
      <c r="OKI43" s="119"/>
      <c r="OKJ43" s="119"/>
      <c r="OKK43" s="119"/>
      <c r="OKL43" s="119"/>
      <c r="OKM43" s="119"/>
      <c r="OKN43" s="119"/>
      <c r="OKO43" s="119"/>
      <c r="OKP43" s="119"/>
      <c r="OKQ43" s="119"/>
      <c r="OKR43" s="119"/>
      <c r="OKS43" s="119"/>
      <c r="OKT43" s="119"/>
      <c r="OKU43" s="119"/>
      <c r="OKV43" s="119"/>
      <c r="OKW43" s="119"/>
      <c r="OKX43" s="119"/>
      <c r="OKY43" s="119"/>
      <c r="OKZ43" s="119"/>
      <c r="OLA43" s="119"/>
      <c r="OLB43" s="119"/>
      <c r="OLC43" s="119"/>
      <c r="OLD43" s="119"/>
      <c r="OLE43" s="119"/>
      <c r="OLF43" s="119"/>
      <c r="OLG43" s="119"/>
      <c r="OLH43" s="119"/>
      <c r="OLI43" s="119"/>
      <c r="OLJ43" s="119"/>
      <c r="OLK43" s="119"/>
      <c r="OLL43" s="119"/>
      <c r="OLM43" s="119"/>
      <c r="OLN43" s="119"/>
      <c r="OLO43" s="119"/>
      <c r="OLP43" s="119"/>
      <c r="OLQ43" s="119"/>
      <c r="OLR43" s="119"/>
      <c r="OLS43" s="119"/>
      <c r="OLT43" s="119"/>
      <c r="OLU43" s="119"/>
      <c r="OLV43" s="119"/>
      <c r="OLW43" s="119"/>
      <c r="OLX43" s="119"/>
      <c r="OLY43" s="119"/>
      <c r="OLZ43" s="119"/>
      <c r="OMA43" s="119"/>
      <c r="OMB43" s="119"/>
      <c r="OMC43" s="119"/>
      <c r="OMD43" s="119"/>
      <c r="OME43" s="119"/>
      <c r="OMF43" s="119"/>
      <c r="OMG43" s="119"/>
      <c r="OMH43" s="119"/>
      <c r="OMI43" s="119"/>
      <c r="OMJ43" s="119"/>
      <c r="OMK43" s="119"/>
      <c r="OML43" s="119"/>
      <c r="OMM43" s="119"/>
      <c r="OMN43" s="119"/>
      <c r="OMO43" s="119"/>
      <c r="OMP43" s="119"/>
      <c r="OMQ43" s="119"/>
      <c r="OMR43" s="119"/>
      <c r="OMS43" s="119"/>
      <c r="OMT43" s="119"/>
      <c r="OMU43" s="119"/>
      <c r="OMV43" s="119"/>
      <c r="OMW43" s="119"/>
      <c r="OMX43" s="119"/>
      <c r="OMY43" s="119"/>
      <c r="OMZ43" s="119"/>
      <c r="ONA43" s="119"/>
      <c r="ONB43" s="119"/>
      <c r="ONC43" s="119"/>
      <c r="OND43" s="119"/>
      <c r="ONE43" s="119"/>
      <c r="ONF43" s="119"/>
      <c r="ONG43" s="119"/>
      <c r="ONH43" s="119"/>
      <c r="ONI43" s="119"/>
      <c r="ONJ43" s="119"/>
      <c r="ONK43" s="119"/>
      <c r="ONL43" s="119"/>
      <c r="ONM43" s="119"/>
      <c r="ONN43" s="119"/>
      <c r="ONO43" s="119"/>
      <c r="ONP43" s="119"/>
      <c r="ONQ43" s="119"/>
      <c r="ONR43" s="119"/>
      <c r="ONS43" s="119"/>
      <c r="ONT43" s="119"/>
      <c r="ONU43" s="119"/>
      <c r="ONV43" s="119"/>
      <c r="ONW43" s="119"/>
      <c r="ONX43" s="119"/>
      <c r="ONY43" s="119"/>
      <c r="ONZ43" s="119"/>
      <c r="OOA43" s="119"/>
      <c r="OOB43" s="119"/>
      <c r="OOC43" s="119"/>
      <c r="OOD43" s="119"/>
      <c r="OOE43" s="119"/>
      <c r="OOF43" s="119"/>
      <c r="OOG43" s="119"/>
      <c r="OOH43" s="119"/>
      <c r="OOI43" s="119"/>
      <c r="OOJ43" s="119"/>
      <c r="OOK43" s="119"/>
      <c r="OOL43" s="119"/>
      <c r="OOM43" s="119"/>
      <c r="OON43" s="119"/>
      <c r="OOO43" s="119"/>
      <c r="OOP43" s="119"/>
      <c r="OOQ43" s="119"/>
      <c r="OOR43" s="119"/>
      <c r="OOS43" s="119"/>
      <c r="OOT43" s="119"/>
      <c r="OOU43" s="119"/>
      <c r="OOV43" s="119"/>
      <c r="OOW43" s="119"/>
      <c r="OOX43" s="119"/>
      <c r="OOY43" s="119"/>
      <c r="OOZ43" s="119"/>
      <c r="OPA43" s="119"/>
      <c r="OPB43" s="119"/>
      <c r="OPC43" s="119"/>
      <c r="OPD43" s="119"/>
      <c r="OPE43" s="119"/>
      <c r="OPF43" s="119"/>
      <c r="OPG43" s="119"/>
      <c r="OPH43" s="119"/>
      <c r="OPI43" s="119"/>
      <c r="OPJ43" s="119"/>
      <c r="OPK43" s="119"/>
      <c r="OPL43" s="119"/>
      <c r="OPM43" s="119"/>
      <c r="OPN43" s="119"/>
      <c r="OPO43" s="119"/>
      <c r="OPP43" s="119"/>
      <c r="OPQ43" s="119"/>
      <c r="OPR43" s="119"/>
      <c r="OPS43" s="119"/>
      <c r="OPT43" s="119"/>
      <c r="OPU43" s="119"/>
      <c r="OPV43" s="119"/>
      <c r="OPW43" s="119"/>
      <c r="OPX43" s="119"/>
      <c r="OPY43" s="119"/>
      <c r="OPZ43" s="119"/>
      <c r="OQA43" s="119"/>
      <c r="OQB43" s="119"/>
      <c r="OQC43" s="119"/>
      <c r="OQD43" s="119"/>
      <c r="OQE43" s="119"/>
      <c r="OQF43" s="119"/>
      <c r="OQG43" s="119"/>
      <c r="OQH43" s="119"/>
      <c r="OQI43" s="119"/>
      <c r="OQJ43" s="119"/>
      <c r="OQK43" s="119"/>
      <c r="OQL43" s="119"/>
      <c r="OQM43" s="119"/>
      <c r="OQN43" s="119"/>
      <c r="OQO43" s="119"/>
      <c r="OQP43" s="119"/>
      <c r="OQQ43" s="119"/>
      <c r="OQR43" s="119"/>
      <c r="OQS43" s="119"/>
      <c r="OQT43" s="119"/>
      <c r="OQU43" s="119"/>
      <c r="OQV43" s="119"/>
      <c r="OQW43" s="119"/>
      <c r="OQX43" s="119"/>
      <c r="OQY43" s="119"/>
      <c r="OQZ43" s="119"/>
      <c r="ORA43" s="119"/>
      <c r="ORB43" s="119"/>
      <c r="ORC43" s="119"/>
      <c r="ORD43" s="119"/>
      <c r="ORE43" s="119"/>
      <c r="ORF43" s="119"/>
      <c r="ORG43" s="119"/>
      <c r="ORH43" s="119"/>
      <c r="ORI43" s="119"/>
      <c r="ORJ43" s="119"/>
      <c r="ORK43" s="119"/>
      <c r="ORL43" s="119"/>
      <c r="ORM43" s="119"/>
      <c r="ORN43" s="119"/>
      <c r="ORO43" s="119"/>
      <c r="ORP43" s="119"/>
      <c r="ORQ43" s="119"/>
      <c r="ORR43" s="119"/>
      <c r="ORS43" s="119"/>
      <c r="ORT43" s="119"/>
      <c r="ORU43" s="119"/>
      <c r="ORV43" s="119"/>
      <c r="ORW43" s="119"/>
      <c r="ORX43" s="119"/>
      <c r="ORY43" s="119"/>
      <c r="ORZ43" s="119"/>
      <c r="OSA43" s="119"/>
      <c r="OSB43" s="119"/>
      <c r="OSC43" s="119"/>
      <c r="OSD43" s="119"/>
      <c r="OSE43" s="119"/>
      <c r="OSF43" s="119"/>
      <c r="OSG43" s="119"/>
      <c r="OSH43" s="119"/>
      <c r="OSI43" s="119"/>
      <c r="OSJ43" s="119"/>
      <c r="OSK43" s="119"/>
      <c r="OSL43" s="119"/>
      <c r="OSM43" s="119"/>
      <c r="OSN43" s="119"/>
      <c r="OSO43" s="119"/>
      <c r="OSP43" s="119"/>
      <c r="OSQ43" s="119"/>
      <c r="OSR43" s="119"/>
      <c r="OSS43" s="119"/>
      <c r="OST43" s="119"/>
      <c r="OSU43" s="119"/>
      <c r="OSV43" s="119"/>
      <c r="OSW43" s="119"/>
      <c r="OSX43" s="119"/>
      <c r="OSY43" s="119"/>
      <c r="OSZ43" s="119"/>
      <c r="OTA43" s="119"/>
      <c r="OTB43" s="119"/>
      <c r="OTC43" s="119"/>
      <c r="OTD43" s="119"/>
      <c r="OTE43" s="119"/>
      <c r="OTF43" s="119"/>
      <c r="OTG43" s="119"/>
      <c r="OTH43" s="119"/>
      <c r="OTI43" s="119"/>
      <c r="OTJ43" s="119"/>
      <c r="OTK43" s="119"/>
      <c r="OTL43" s="119"/>
      <c r="OTM43" s="119"/>
      <c r="OTN43" s="119"/>
      <c r="OTO43" s="119"/>
      <c r="OTP43" s="119"/>
      <c r="OTQ43" s="119"/>
      <c r="OTR43" s="119"/>
      <c r="OTS43" s="119"/>
      <c r="OTT43" s="119"/>
      <c r="OTU43" s="119"/>
      <c r="OTV43" s="119"/>
      <c r="OTW43" s="119"/>
      <c r="OTX43" s="119"/>
      <c r="OTY43" s="119"/>
      <c r="OTZ43" s="119"/>
      <c r="OUA43" s="119"/>
      <c r="OUB43" s="119"/>
      <c r="OUC43" s="119"/>
      <c r="OUD43" s="119"/>
      <c r="OUE43" s="119"/>
      <c r="OUF43" s="119"/>
      <c r="OUG43" s="119"/>
      <c r="OUH43" s="119"/>
      <c r="OUI43" s="119"/>
      <c r="OUJ43" s="119"/>
      <c r="OUK43" s="119"/>
      <c r="OUL43" s="119"/>
      <c r="OUM43" s="119"/>
      <c r="OUN43" s="119"/>
      <c r="OUO43" s="119"/>
      <c r="OUP43" s="119"/>
      <c r="OUQ43" s="119"/>
      <c r="OUR43" s="119"/>
      <c r="OUS43" s="119"/>
      <c r="OUT43" s="119"/>
      <c r="OUU43" s="119"/>
      <c r="OUV43" s="119"/>
      <c r="OUW43" s="119"/>
      <c r="OUX43" s="119"/>
      <c r="OUY43" s="119"/>
      <c r="OUZ43" s="119"/>
      <c r="OVA43" s="119"/>
      <c r="OVB43" s="119"/>
      <c r="OVC43" s="119"/>
      <c r="OVD43" s="119"/>
      <c r="OVE43" s="119"/>
      <c r="OVF43" s="119"/>
      <c r="OVG43" s="119"/>
      <c r="OVH43" s="119"/>
      <c r="OVI43" s="119"/>
      <c r="OVJ43" s="119"/>
      <c r="OVK43" s="119"/>
      <c r="OVL43" s="119"/>
      <c r="OVM43" s="119"/>
      <c r="OVN43" s="119"/>
      <c r="OVO43" s="119"/>
      <c r="OVP43" s="119"/>
      <c r="OVQ43" s="119"/>
      <c r="OVR43" s="119"/>
      <c r="OVS43" s="119"/>
      <c r="OVT43" s="119"/>
      <c r="OVU43" s="119"/>
      <c r="OVV43" s="119"/>
      <c r="OVW43" s="119"/>
      <c r="OVX43" s="119"/>
      <c r="OVY43" s="119"/>
      <c r="OVZ43" s="119"/>
      <c r="OWA43" s="119"/>
      <c r="OWB43" s="119"/>
      <c r="OWC43" s="119"/>
      <c r="OWD43" s="119"/>
      <c r="OWE43" s="119"/>
      <c r="OWF43" s="119"/>
      <c r="OWG43" s="119"/>
      <c r="OWH43" s="119"/>
      <c r="OWI43" s="119"/>
      <c r="OWJ43" s="119"/>
      <c r="OWK43" s="119"/>
      <c r="OWL43" s="119"/>
      <c r="OWM43" s="119"/>
      <c r="OWN43" s="119"/>
      <c r="OWO43" s="119"/>
      <c r="OWP43" s="119"/>
      <c r="OWQ43" s="119"/>
      <c r="OWR43" s="119"/>
      <c r="OWS43" s="119"/>
      <c r="OWT43" s="119"/>
      <c r="OWU43" s="119"/>
      <c r="OWV43" s="119"/>
      <c r="OWW43" s="119"/>
      <c r="OWX43" s="119"/>
      <c r="OWY43" s="119"/>
      <c r="OWZ43" s="119"/>
      <c r="OXA43" s="119"/>
      <c r="OXB43" s="119"/>
      <c r="OXC43" s="119"/>
      <c r="OXD43" s="119"/>
      <c r="OXE43" s="119"/>
      <c r="OXF43" s="119"/>
      <c r="OXG43" s="119"/>
      <c r="OXH43" s="119"/>
      <c r="OXI43" s="119"/>
      <c r="OXJ43" s="119"/>
      <c r="OXK43" s="119"/>
      <c r="OXL43" s="119"/>
      <c r="OXM43" s="119"/>
      <c r="OXN43" s="119"/>
      <c r="OXO43" s="119"/>
      <c r="OXP43" s="119"/>
      <c r="OXQ43" s="119"/>
      <c r="OXR43" s="119"/>
      <c r="OXS43" s="119"/>
      <c r="OXT43" s="119"/>
      <c r="OXU43" s="119"/>
      <c r="OXV43" s="119"/>
      <c r="OXW43" s="119"/>
      <c r="OXX43" s="119"/>
      <c r="OXY43" s="119"/>
      <c r="OXZ43" s="119"/>
      <c r="OYA43" s="119"/>
      <c r="OYB43" s="119"/>
      <c r="OYC43" s="119"/>
      <c r="OYD43" s="119"/>
      <c r="OYE43" s="119"/>
      <c r="OYF43" s="119"/>
      <c r="OYG43" s="119"/>
      <c r="OYH43" s="119"/>
      <c r="OYI43" s="119"/>
      <c r="OYJ43" s="119"/>
      <c r="OYK43" s="119"/>
      <c r="OYL43" s="119"/>
      <c r="OYM43" s="119"/>
      <c r="OYN43" s="119"/>
      <c r="OYO43" s="119"/>
      <c r="OYP43" s="119"/>
      <c r="OYQ43" s="119"/>
      <c r="OYR43" s="119"/>
      <c r="OYS43" s="119"/>
      <c r="OYT43" s="119"/>
      <c r="OYU43" s="119"/>
      <c r="OYV43" s="119"/>
      <c r="OYW43" s="119"/>
      <c r="OYX43" s="119"/>
      <c r="OYY43" s="119"/>
      <c r="OYZ43" s="119"/>
      <c r="OZA43" s="119"/>
      <c r="OZB43" s="119"/>
      <c r="OZC43" s="119"/>
      <c r="OZD43" s="119"/>
      <c r="OZE43" s="119"/>
      <c r="OZF43" s="119"/>
      <c r="OZG43" s="119"/>
      <c r="OZH43" s="119"/>
      <c r="OZI43" s="119"/>
      <c r="OZJ43" s="119"/>
      <c r="OZK43" s="119"/>
      <c r="OZL43" s="119"/>
      <c r="OZM43" s="119"/>
      <c r="OZN43" s="119"/>
      <c r="OZO43" s="119"/>
      <c r="OZP43" s="119"/>
      <c r="OZQ43" s="119"/>
      <c r="OZR43" s="119"/>
      <c r="OZS43" s="119"/>
      <c r="OZT43" s="119"/>
      <c r="OZU43" s="119"/>
      <c r="OZV43" s="119"/>
      <c r="OZW43" s="119"/>
      <c r="OZX43" s="119"/>
      <c r="OZY43" s="119"/>
      <c r="OZZ43" s="119"/>
      <c r="PAA43" s="119"/>
      <c r="PAB43" s="119"/>
      <c r="PAC43" s="119"/>
      <c r="PAD43" s="119"/>
      <c r="PAE43" s="119"/>
      <c r="PAF43" s="119"/>
      <c r="PAG43" s="119"/>
      <c r="PAH43" s="119"/>
      <c r="PAI43" s="119"/>
      <c r="PAJ43" s="119"/>
      <c r="PAK43" s="119"/>
      <c r="PAL43" s="119"/>
      <c r="PAM43" s="119"/>
      <c r="PAN43" s="119"/>
      <c r="PAO43" s="119"/>
      <c r="PAP43" s="119"/>
      <c r="PAQ43" s="119"/>
      <c r="PAR43" s="119"/>
      <c r="PAS43" s="119"/>
      <c r="PAT43" s="119"/>
      <c r="PAU43" s="119"/>
      <c r="PAV43" s="119"/>
      <c r="PAW43" s="119"/>
      <c r="PAX43" s="119"/>
      <c r="PAY43" s="119"/>
      <c r="PAZ43" s="119"/>
      <c r="PBA43" s="119"/>
      <c r="PBB43" s="119"/>
      <c r="PBC43" s="119"/>
      <c r="PBD43" s="119"/>
      <c r="PBE43" s="119"/>
      <c r="PBF43" s="119"/>
      <c r="PBG43" s="119"/>
      <c r="PBH43" s="119"/>
      <c r="PBI43" s="119"/>
      <c r="PBJ43" s="119"/>
      <c r="PBK43" s="119"/>
      <c r="PBL43" s="119"/>
      <c r="PBM43" s="119"/>
      <c r="PBN43" s="119"/>
      <c r="PBO43" s="119"/>
      <c r="PBP43" s="119"/>
      <c r="PBQ43" s="119"/>
      <c r="PBR43" s="119"/>
      <c r="PBS43" s="119"/>
      <c r="PBT43" s="119"/>
      <c r="PBU43" s="119"/>
      <c r="PBV43" s="119"/>
      <c r="PBW43" s="119"/>
      <c r="PBX43" s="119"/>
      <c r="PBY43" s="119"/>
      <c r="PBZ43" s="119"/>
      <c r="PCA43" s="119"/>
      <c r="PCB43" s="119"/>
      <c r="PCC43" s="119"/>
      <c r="PCD43" s="119"/>
      <c r="PCE43" s="119"/>
      <c r="PCF43" s="119"/>
      <c r="PCG43" s="119"/>
      <c r="PCH43" s="119"/>
      <c r="PCI43" s="119"/>
      <c r="PCJ43" s="119"/>
      <c r="PCK43" s="119"/>
      <c r="PCL43" s="119"/>
      <c r="PCM43" s="119"/>
      <c r="PCN43" s="119"/>
      <c r="PCO43" s="119"/>
      <c r="PCP43" s="119"/>
      <c r="PCQ43" s="119"/>
      <c r="PCR43" s="119"/>
      <c r="PCS43" s="119"/>
      <c r="PCT43" s="119"/>
      <c r="PCU43" s="119"/>
      <c r="PCV43" s="119"/>
      <c r="PCW43" s="119"/>
      <c r="PCX43" s="119"/>
      <c r="PCY43" s="119"/>
      <c r="PCZ43" s="119"/>
      <c r="PDA43" s="119"/>
      <c r="PDB43" s="119"/>
      <c r="PDC43" s="119"/>
      <c r="PDD43" s="119"/>
      <c r="PDE43" s="119"/>
      <c r="PDF43" s="119"/>
      <c r="PDG43" s="119"/>
      <c r="PDH43" s="119"/>
      <c r="PDI43" s="119"/>
      <c r="PDJ43" s="119"/>
      <c r="PDK43" s="119"/>
      <c r="PDL43" s="119"/>
      <c r="PDM43" s="119"/>
      <c r="PDN43" s="119"/>
      <c r="PDO43" s="119"/>
      <c r="PDP43" s="119"/>
      <c r="PDQ43" s="119"/>
      <c r="PDR43" s="119"/>
      <c r="PDS43" s="119"/>
      <c r="PDT43" s="119"/>
      <c r="PDU43" s="119"/>
      <c r="PDV43" s="119"/>
      <c r="PDW43" s="119"/>
      <c r="PDX43" s="119"/>
      <c r="PDY43" s="119"/>
      <c r="PDZ43" s="119"/>
      <c r="PEA43" s="119"/>
      <c r="PEB43" s="119"/>
      <c r="PEC43" s="119"/>
      <c r="PED43" s="119"/>
      <c r="PEE43" s="119"/>
      <c r="PEF43" s="119"/>
      <c r="PEG43" s="119"/>
      <c r="PEH43" s="119"/>
      <c r="PEI43" s="119"/>
      <c r="PEJ43" s="119"/>
      <c r="PEK43" s="119"/>
      <c r="PEL43" s="119"/>
      <c r="PEM43" s="119"/>
      <c r="PEN43" s="119"/>
      <c r="PEO43" s="119"/>
      <c r="PEP43" s="119"/>
      <c r="PEQ43" s="119"/>
      <c r="PER43" s="119"/>
      <c r="PES43" s="119"/>
      <c r="PET43" s="119"/>
      <c r="PEU43" s="119"/>
      <c r="PEV43" s="119"/>
      <c r="PEW43" s="119"/>
      <c r="PEX43" s="119"/>
      <c r="PEY43" s="119"/>
      <c r="PEZ43" s="119"/>
      <c r="PFA43" s="119"/>
      <c r="PFB43" s="119"/>
      <c r="PFC43" s="119"/>
      <c r="PFD43" s="119"/>
      <c r="PFE43" s="119"/>
      <c r="PFF43" s="119"/>
      <c r="PFG43" s="119"/>
      <c r="PFH43" s="119"/>
      <c r="PFI43" s="119"/>
      <c r="PFJ43" s="119"/>
      <c r="PFK43" s="119"/>
      <c r="PFL43" s="119"/>
      <c r="PFM43" s="119"/>
      <c r="PFN43" s="119"/>
      <c r="PFO43" s="119"/>
      <c r="PFP43" s="119"/>
      <c r="PFQ43" s="119"/>
      <c r="PFR43" s="119"/>
      <c r="PFS43" s="119"/>
      <c r="PFT43" s="119"/>
      <c r="PFU43" s="119"/>
      <c r="PFV43" s="119"/>
      <c r="PFW43" s="119"/>
      <c r="PFX43" s="119"/>
      <c r="PFY43" s="119"/>
      <c r="PFZ43" s="119"/>
      <c r="PGA43" s="119"/>
      <c r="PGB43" s="119"/>
      <c r="PGC43" s="119"/>
      <c r="PGD43" s="119"/>
      <c r="PGE43" s="119"/>
      <c r="PGF43" s="119"/>
      <c r="PGG43" s="119"/>
      <c r="PGH43" s="119"/>
      <c r="PGI43" s="119"/>
      <c r="PGJ43" s="119"/>
      <c r="PGK43" s="119"/>
      <c r="PGL43" s="119"/>
      <c r="PGM43" s="119"/>
      <c r="PGN43" s="119"/>
      <c r="PGO43" s="119"/>
      <c r="PGP43" s="119"/>
      <c r="PGQ43" s="119"/>
      <c r="PGR43" s="119"/>
      <c r="PGS43" s="119"/>
      <c r="PGT43" s="119"/>
      <c r="PGU43" s="119"/>
      <c r="PGV43" s="119"/>
      <c r="PGW43" s="119"/>
      <c r="PGX43" s="119"/>
      <c r="PGY43" s="119"/>
      <c r="PGZ43" s="119"/>
      <c r="PHA43" s="119"/>
      <c r="PHB43" s="119"/>
      <c r="PHC43" s="119"/>
      <c r="PHD43" s="119"/>
      <c r="PHE43" s="119"/>
      <c r="PHF43" s="119"/>
      <c r="PHG43" s="119"/>
      <c r="PHH43" s="119"/>
      <c r="PHI43" s="119"/>
      <c r="PHJ43" s="119"/>
      <c r="PHK43" s="119"/>
      <c r="PHL43" s="119"/>
      <c r="PHM43" s="119"/>
      <c r="PHN43" s="119"/>
      <c r="PHO43" s="119"/>
      <c r="PHP43" s="119"/>
      <c r="PHQ43" s="119"/>
      <c r="PHR43" s="119"/>
      <c r="PHS43" s="119"/>
      <c r="PHT43" s="119"/>
      <c r="PHU43" s="119"/>
      <c r="PHV43" s="119"/>
      <c r="PHW43" s="119"/>
      <c r="PHX43" s="119"/>
      <c r="PHY43" s="119"/>
      <c r="PHZ43" s="119"/>
      <c r="PIA43" s="119"/>
      <c r="PIB43" s="119"/>
      <c r="PIC43" s="119"/>
      <c r="PID43" s="119"/>
      <c r="PIE43" s="119"/>
      <c r="PIF43" s="119"/>
      <c r="PIG43" s="119"/>
      <c r="PIH43" s="119"/>
      <c r="PII43" s="119"/>
      <c r="PIJ43" s="119"/>
      <c r="PIK43" s="119"/>
      <c r="PIL43" s="119"/>
      <c r="PIM43" s="119"/>
      <c r="PIN43" s="119"/>
      <c r="PIO43" s="119"/>
      <c r="PIP43" s="119"/>
      <c r="PIQ43" s="119"/>
      <c r="PIR43" s="119"/>
      <c r="PIS43" s="119"/>
      <c r="PIT43" s="119"/>
      <c r="PIU43" s="119"/>
      <c r="PIV43" s="119"/>
      <c r="PIW43" s="119"/>
      <c r="PIX43" s="119"/>
      <c r="PIY43" s="119"/>
      <c r="PIZ43" s="119"/>
      <c r="PJA43" s="119"/>
      <c r="PJB43" s="119"/>
      <c r="PJC43" s="119"/>
      <c r="PJD43" s="119"/>
      <c r="PJE43" s="119"/>
      <c r="PJF43" s="119"/>
      <c r="PJG43" s="119"/>
      <c r="PJH43" s="119"/>
      <c r="PJI43" s="119"/>
      <c r="PJJ43" s="119"/>
      <c r="PJK43" s="119"/>
      <c r="PJL43" s="119"/>
      <c r="PJM43" s="119"/>
      <c r="PJN43" s="119"/>
      <c r="PJO43" s="119"/>
      <c r="PJP43" s="119"/>
      <c r="PJQ43" s="119"/>
      <c r="PJR43" s="119"/>
      <c r="PJS43" s="119"/>
      <c r="PJT43" s="119"/>
      <c r="PJU43" s="119"/>
      <c r="PJV43" s="119"/>
      <c r="PJW43" s="119"/>
      <c r="PJX43" s="119"/>
      <c r="PJY43" s="119"/>
      <c r="PJZ43" s="119"/>
      <c r="PKA43" s="119"/>
      <c r="PKB43" s="119"/>
      <c r="PKC43" s="119"/>
      <c r="PKD43" s="119"/>
      <c r="PKE43" s="119"/>
      <c r="PKF43" s="119"/>
      <c r="PKG43" s="119"/>
      <c r="PKH43" s="119"/>
      <c r="PKI43" s="119"/>
      <c r="PKJ43" s="119"/>
      <c r="PKK43" s="119"/>
      <c r="PKL43" s="119"/>
      <c r="PKM43" s="119"/>
      <c r="PKN43" s="119"/>
      <c r="PKO43" s="119"/>
      <c r="PKP43" s="119"/>
      <c r="PKQ43" s="119"/>
      <c r="PKR43" s="119"/>
      <c r="PKS43" s="119"/>
      <c r="PKT43" s="119"/>
      <c r="PKU43" s="119"/>
      <c r="PKV43" s="119"/>
      <c r="PKW43" s="119"/>
      <c r="PKX43" s="119"/>
      <c r="PKY43" s="119"/>
      <c r="PKZ43" s="119"/>
      <c r="PLA43" s="119"/>
      <c r="PLB43" s="119"/>
      <c r="PLC43" s="119"/>
      <c r="PLD43" s="119"/>
      <c r="PLE43" s="119"/>
      <c r="PLF43" s="119"/>
      <c r="PLG43" s="119"/>
      <c r="PLH43" s="119"/>
      <c r="PLI43" s="119"/>
      <c r="PLJ43" s="119"/>
      <c r="PLK43" s="119"/>
      <c r="PLL43" s="119"/>
      <c r="PLM43" s="119"/>
      <c r="PLN43" s="119"/>
      <c r="PLO43" s="119"/>
      <c r="PLP43" s="119"/>
      <c r="PLQ43" s="119"/>
      <c r="PLR43" s="119"/>
      <c r="PLS43" s="119"/>
      <c r="PLT43" s="119"/>
      <c r="PLU43" s="119"/>
      <c r="PLV43" s="119"/>
      <c r="PLW43" s="119"/>
      <c r="PLX43" s="119"/>
      <c r="PLY43" s="119"/>
      <c r="PLZ43" s="119"/>
      <c r="PMA43" s="119"/>
      <c r="PMB43" s="119"/>
      <c r="PMC43" s="119"/>
      <c r="PMD43" s="119"/>
      <c r="PME43" s="119"/>
      <c r="PMF43" s="119"/>
      <c r="PMG43" s="119"/>
      <c r="PMH43" s="119"/>
      <c r="PMI43" s="119"/>
      <c r="PMJ43" s="119"/>
      <c r="PMK43" s="119"/>
      <c r="PML43" s="119"/>
      <c r="PMM43" s="119"/>
      <c r="PMN43" s="119"/>
      <c r="PMO43" s="119"/>
      <c r="PMP43" s="119"/>
      <c r="PMQ43" s="119"/>
      <c r="PMR43" s="119"/>
      <c r="PMS43" s="119"/>
      <c r="PMT43" s="119"/>
      <c r="PMU43" s="119"/>
      <c r="PMV43" s="119"/>
      <c r="PMW43" s="119"/>
      <c r="PMX43" s="119"/>
      <c r="PMY43" s="119"/>
      <c r="PMZ43" s="119"/>
      <c r="PNA43" s="119"/>
      <c r="PNB43" s="119"/>
      <c r="PNC43" s="119"/>
      <c r="PND43" s="119"/>
      <c r="PNE43" s="119"/>
      <c r="PNF43" s="119"/>
      <c r="PNG43" s="119"/>
      <c r="PNH43" s="119"/>
      <c r="PNI43" s="119"/>
      <c r="PNJ43" s="119"/>
      <c r="PNK43" s="119"/>
      <c r="PNL43" s="119"/>
      <c r="PNM43" s="119"/>
      <c r="PNN43" s="119"/>
      <c r="PNO43" s="119"/>
      <c r="PNP43" s="119"/>
      <c r="PNQ43" s="119"/>
      <c r="PNR43" s="119"/>
      <c r="PNS43" s="119"/>
      <c r="PNT43" s="119"/>
      <c r="PNU43" s="119"/>
      <c r="PNV43" s="119"/>
      <c r="PNW43" s="119"/>
      <c r="PNX43" s="119"/>
      <c r="PNY43" s="119"/>
      <c r="PNZ43" s="119"/>
      <c r="POA43" s="119"/>
      <c r="POB43" s="119"/>
      <c r="POC43" s="119"/>
      <c r="POD43" s="119"/>
      <c r="POE43" s="119"/>
      <c r="POF43" s="119"/>
      <c r="POG43" s="119"/>
      <c r="POH43" s="119"/>
      <c r="POI43" s="119"/>
      <c r="POJ43" s="119"/>
      <c r="POK43" s="119"/>
      <c r="POL43" s="119"/>
      <c r="POM43" s="119"/>
      <c r="PON43" s="119"/>
      <c r="POO43" s="119"/>
      <c r="POP43" s="119"/>
      <c r="POQ43" s="119"/>
      <c r="POR43" s="119"/>
      <c r="POS43" s="119"/>
      <c r="POT43" s="119"/>
      <c r="POU43" s="119"/>
      <c r="POV43" s="119"/>
      <c r="POW43" s="119"/>
      <c r="POX43" s="119"/>
      <c r="POY43" s="119"/>
      <c r="POZ43" s="119"/>
      <c r="PPA43" s="119"/>
      <c r="PPB43" s="119"/>
      <c r="PPC43" s="119"/>
      <c r="PPD43" s="119"/>
      <c r="PPE43" s="119"/>
      <c r="PPF43" s="119"/>
      <c r="PPG43" s="119"/>
      <c r="PPH43" s="119"/>
      <c r="PPI43" s="119"/>
      <c r="PPJ43" s="119"/>
      <c r="PPK43" s="119"/>
      <c r="PPL43" s="119"/>
      <c r="PPM43" s="119"/>
      <c r="PPN43" s="119"/>
      <c r="PPO43" s="119"/>
      <c r="PPP43" s="119"/>
      <c r="PPQ43" s="119"/>
      <c r="PPR43" s="119"/>
      <c r="PPS43" s="119"/>
      <c r="PPT43" s="119"/>
      <c r="PPU43" s="119"/>
      <c r="PPV43" s="119"/>
      <c r="PPW43" s="119"/>
      <c r="PPX43" s="119"/>
      <c r="PPY43" s="119"/>
      <c r="PPZ43" s="119"/>
      <c r="PQA43" s="119"/>
      <c r="PQB43" s="119"/>
      <c r="PQC43" s="119"/>
      <c r="PQD43" s="119"/>
      <c r="PQE43" s="119"/>
      <c r="PQF43" s="119"/>
      <c r="PQG43" s="119"/>
      <c r="PQH43" s="119"/>
      <c r="PQI43" s="119"/>
      <c r="PQJ43" s="119"/>
      <c r="PQK43" s="119"/>
      <c r="PQL43" s="119"/>
      <c r="PQM43" s="119"/>
      <c r="PQN43" s="119"/>
      <c r="PQO43" s="119"/>
      <c r="PQP43" s="119"/>
      <c r="PQQ43" s="119"/>
      <c r="PQR43" s="119"/>
      <c r="PQS43" s="119"/>
      <c r="PQT43" s="119"/>
      <c r="PQU43" s="119"/>
      <c r="PQV43" s="119"/>
      <c r="PQW43" s="119"/>
      <c r="PQX43" s="119"/>
      <c r="PQY43" s="119"/>
      <c r="PQZ43" s="119"/>
      <c r="PRA43" s="119"/>
      <c r="PRB43" s="119"/>
      <c r="PRC43" s="119"/>
      <c r="PRD43" s="119"/>
      <c r="PRE43" s="119"/>
      <c r="PRF43" s="119"/>
      <c r="PRG43" s="119"/>
      <c r="PRH43" s="119"/>
      <c r="PRI43" s="119"/>
      <c r="PRJ43" s="119"/>
      <c r="PRK43" s="119"/>
      <c r="PRL43" s="119"/>
      <c r="PRM43" s="119"/>
      <c r="PRN43" s="119"/>
      <c r="PRO43" s="119"/>
      <c r="PRP43" s="119"/>
      <c r="PRQ43" s="119"/>
      <c r="PRR43" s="119"/>
      <c r="PRS43" s="119"/>
      <c r="PRT43" s="119"/>
      <c r="PRU43" s="119"/>
      <c r="PRV43" s="119"/>
      <c r="PRW43" s="119"/>
      <c r="PRX43" s="119"/>
      <c r="PRY43" s="119"/>
      <c r="PRZ43" s="119"/>
      <c r="PSA43" s="119"/>
      <c r="PSB43" s="119"/>
      <c r="PSC43" s="119"/>
      <c r="PSD43" s="119"/>
      <c r="PSE43" s="119"/>
      <c r="PSF43" s="119"/>
      <c r="PSG43" s="119"/>
      <c r="PSH43" s="119"/>
      <c r="PSI43" s="119"/>
      <c r="PSJ43" s="119"/>
      <c r="PSK43" s="119"/>
      <c r="PSL43" s="119"/>
      <c r="PSM43" s="119"/>
      <c r="PSN43" s="119"/>
      <c r="PSO43" s="119"/>
      <c r="PSP43" s="119"/>
      <c r="PSQ43" s="119"/>
      <c r="PSR43" s="119"/>
      <c r="PSS43" s="119"/>
      <c r="PST43" s="119"/>
      <c r="PSU43" s="119"/>
      <c r="PSV43" s="119"/>
      <c r="PSW43" s="119"/>
      <c r="PSX43" s="119"/>
      <c r="PSY43" s="119"/>
      <c r="PSZ43" s="119"/>
      <c r="PTA43" s="119"/>
      <c r="PTB43" s="119"/>
      <c r="PTC43" s="119"/>
      <c r="PTD43" s="119"/>
      <c r="PTE43" s="119"/>
      <c r="PTF43" s="119"/>
      <c r="PTG43" s="119"/>
      <c r="PTH43" s="119"/>
      <c r="PTI43" s="119"/>
      <c r="PTJ43" s="119"/>
      <c r="PTK43" s="119"/>
      <c r="PTL43" s="119"/>
      <c r="PTM43" s="119"/>
      <c r="PTN43" s="119"/>
      <c r="PTO43" s="119"/>
      <c r="PTP43" s="119"/>
      <c r="PTQ43" s="119"/>
      <c r="PTR43" s="119"/>
      <c r="PTS43" s="119"/>
      <c r="PTT43" s="119"/>
      <c r="PTU43" s="119"/>
      <c r="PTV43" s="119"/>
      <c r="PTW43" s="119"/>
      <c r="PTX43" s="119"/>
      <c r="PTY43" s="119"/>
      <c r="PTZ43" s="119"/>
      <c r="PUA43" s="119"/>
      <c r="PUB43" s="119"/>
      <c r="PUC43" s="119"/>
      <c r="PUD43" s="119"/>
      <c r="PUE43" s="119"/>
      <c r="PUF43" s="119"/>
      <c r="PUG43" s="119"/>
      <c r="PUH43" s="119"/>
      <c r="PUI43" s="119"/>
      <c r="PUJ43" s="119"/>
      <c r="PUK43" s="119"/>
      <c r="PUL43" s="119"/>
      <c r="PUM43" s="119"/>
      <c r="PUN43" s="119"/>
      <c r="PUO43" s="119"/>
      <c r="PUP43" s="119"/>
      <c r="PUQ43" s="119"/>
      <c r="PUR43" s="119"/>
      <c r="PUS43" s="119"/>
      <c r="PUT43" s="119"/>
      <c r="PUU43" s="119"/>
      <c r="PUV43" s="119"/>
      <c r="PUW43" s="119"/>
      <c r="PUX43" s="119"/>
      <c r="PUY43" s="119"/>
      <c r="PUZ43" s="119"/>
      <c r="PVA43" s="119"/>
      <c r="PVB43" s="119"/>
      <c r="PVC43" s="119"/>
      <c r="PVD43" s="119"/>
      <c r="PVE43" s="119"/>
      <c r="PVF43" s="119"/>
      <c r="PVG43" s="119"/>
      <c r="PVH43" s="119"/>
      <c r="PVI43" s="119"/>
      <c r="PVJ43" s="119"/>
      <c r="PVK43" s="119"/>
      <c r="PVL43" s="119"/>
      <c r="PVM43" s="119"/>
      <c r="PVN43" s="119"/>
      <c r="PVO43" s="119"/>
      <c r="PVP43" s="119"/>
      <c r="PVQ43" s="119"/>
      <c r="PVR43" s="119"/>
      <c r="PVS43" s="119"/>
      <c r="PVT43" s="119"/>
      <c r="PVU43" s="119"/>
      <c r="PVV43" s="119"/>
      <c r="PVW43" s="119"/>
      <c r="PVX43" s="119"/>
      <c r="PVY43" s="119"/>
      <c r="PVZ43" s="119"/>
      <c r="PWA43" s="119"/>
      <c r="PWB43" s="119"/>
      <c r="PWC43" s="119"/>
      <c r="PWD43" s="119"/>
      <c r="PWE43" s="119"/>
      <c r="PWF43" s="119"/>
      <c r="PWG43" s="119"/>
      <c r="PWH43" s="119"/>
      <c r="PWI43" s="119"/>
      <c r="PWJ43" s="119"/>
      <c r="PWK43" s="119"/>
      <c r="PWL43" s="119"/>
      <c r="PWM43" s="119"/>
      <c r="PWN43" s="119"/>
      <c r="PWO43" s="119"/>
      <c r="PWP43" s="119"/>
      <c r="PWQ43" s="119"/>
      <c r="PWR43" s="119"/>
      <c r="PWS43" s="119"/>
      <c r="PWT43" s="119"/>
      <c r="PWU43" s="119"/>
      <c r="PWV43" s="119"/>
      <c r="PWW43" s="119"/>
      <c r="PWX43" s="119"/>
      <c r="PWY43" s="119"/>
      <c r="PWZ43" s="119"/>
      <c r="PXA43" s="119"/>
      <c r="PXB43" s="119"/>
      <c r="PXC43" s="119"/>
      <c r="PXD43" s="119"/>
      <c r="PXE43" s="119"/>
      <c r="PXF43" s="119"/>
      <c r="PXG43" s="119"/>
      <c r="PXH43" s="119"/>
      <c r="PXI43" s="119"/>
      <c r="PXJ43" s="119"/>
      <c r="PXK43" s="119"/>
      <c r="PXL43" s="119"/>
      <c r="PXM43" s="119"/>
      <c r="PXN43" s="119"/>
      <c r="PXO43" s="119"/>
      <c r="PXP43" s="119"/>
      <c r="PXQ43" s="119"/>
      <c r="PXR43" s="119"/>
      <c r="PXS43" s="119"/>
      <c r="PXT43" s="119"/>
      <c r="PXU43" s="119"/>
      <c r="PXV43" s="119"/>
      <c r="PXW43" s="119"/>
      <c r="PXX43" s="119"/>
      <c r="PXY43" s="119"/>
      <c r="PXZ43" s="119"/>
      <c r="PYA43" s="119"/>
      <c r="PYB43" s="119"/>
      <c r="PYC43" s="119"/>
      <c r="PYD43" s="119"/>
      <c r="PYE43" s="119"/>
      <c r="PYF43" s="119"/>
      <c r="PYG43" s="119"/>
      <c r="PYH43" s="119"/>
      <c r="PYI43" s="119"/>
      <c r="PYJ43" s="119"/>
      <c r="PYK43" s="119"/>
      <c r="PYL43" s="119"/>
      <c r="PYM43" s="119"/>
      <c r="PYN43" s="119"/>
      <c r="PYO43" s="119"/>
      <c r="PYP43" s="119"/>
      <c r="PYQ43" s="119"/>
      <c r="PYR43" s="119"/>
      <c r="PYS43" s="119"/>
      <c r="PYT43" s="119"/>
      <c r="PYU43" s="119"/>
      <c r="PYV43" s="119"/>
      <c r="PYW43" s="119"/>
      <c r="PYX43" s="119"/>
      <c r="PYY43" s="119"/>
      <c r="PYZ43" s="119"/>
      <c r="PZA43" s="119"/>
      <c r="PZB43" s="119"/>
      <c r="PZC43" s="119"/>
      <c r="PZD43" s="119"/>
      <c r="PZE43" s="119"/>
      <c r="PZF43" s="119"/>
      <c r="PZG43" s="119"/>
      <c r="PZH43" s="119"/>
      <c r="PZI43" s="119"/>
      <c r="PZJ43" s="119"/>
      <c r="PZK43" s="119"/>
      <c r="PZL43" s="119"/>
      <c r="PZM43" s="119"/>
      <c r="PZN43" s="119"/>
      <c r="PZO43" s="119"/>
      <c r="PZP43" s="119"/>
      <c r="PZQ43" s="119"/>
      <c r="PZR43" s="119"/>
      <c r="PZS43" s="119"/>
      <c r="PZT43" s="119"/>
      <c r="PZU43" s="119"/>
      <c r="PZV43" s="119"/>
      <c r="PZW43" s="119"/>
      <c r="PZX43" s="119"/>
      <c r="PZY43" s="119"/>
      <c r="PZZ43" s="119"/>
      <c r="QAA43" s="119"/>
      <c r="QAB43" s="119"/>
      <c r="QAC43" s="119"/>
      <c r="QAD43" s="119"/>
      <c r="QAE43" s="119"/>
      <c r="QAF43" s="119"/>
      <c r="QAG43" s="119"/>
      <c r="QAH43" s="119"/>
      <c r="QAI43" s="119"/>
      <c r="QAJ43" s="119"/>
      <c r="QAK43" s="119"/>
      <c r="QAL43" s="119"/>
      <c r="QAM43" s="119"/>
      <c r="QAN43" s="119"/>
      <c r="QAO43" s="119"/>
      <c r="QAP43" s="119"/>
      <c r="QAQ43" s="119"/>
      <c r="QAR43" s="119"/>
      <c r="QAS43" s="119"/>
      <c r="QAT43" s="119"/>
      <c r="QAU43" s="119"/>
      <c r="QAV43" s="119"/>
      <c r="QAW43" s="119"/>
      <c r="QAX43" s="119"/>
      <c r="QAY43" s="119"/>
      <c r="QAZ43" s="119"/>
      <c r="QBA43" s="119"/>
      <c r="QBB43" s="119"/>
      <c r="QBC43" s="119"/>
      <c r="QBD43" s="119"/>
      <c r="QBE43" s="119"/>
      <c r="QBF43" s="119"/>
      <c r="QBG43" s="119"/>
      <c r="QBH43" s="119"/>
      <c r="QBI43" s="119"/>
      <c r="QBJ43" s="119"/>
      <c r="QBK43" s="119"/>
      <c r="QBL43" s="119"/>
      <c r="QBM43" s="119"/>
      <c r="QBN43" s="119"/>
      <c r="QBO43" s="119"/>
      <c r="QBP43" s="119"/>
      <c r="QBQ43" s="119"/>
      <c r="QBR43" s="119"/>
      <c r="QBS43" s="119"/>
      <c r="QBT43" s="119"/>
      <c r="QBU43" s="119"/>
      <c r="QBV43" s="119"/>
      <c r="QBW43" s="119"/>
      <c r="QBX43" s="119"/>
      <c r="QBY43" s="119"/>
      <c r="QBZ43" s="119"/>
      <c r="QCA43" s="119"/>
      <c r="QCB43" s="119"/>
      <c r="QCC43" s="119"/>
      <c r="QCD43" s="119"/>
      <c r="QCE43" s="119"/>
      <c r="QCF43" s="119"/>
      <c r="QCG43" s="119"/>
      <c r="QCH43" s="119"/>
      <c r="QCI43" s="119"/>
      <c r="QCJ43" s="119"/>
      <c r="QCK43" s="119"/>
      <c r="QCL43" s="119"/>
      <c r="QCM43" s="119"/>
      <c r="QCN43" s="119"/>
      <c r="QCO43" s="119"/>
      <c r="QCP43" s="119"/>
      <c r="QCQ43" s="119"/>
      <c r="QCR43" s="119"/>
      <c r="QCS43" s="119"/>
      <c r="QCT43" s="119"/>
      <c r="QCU43" s="119"/>
      <c r="QCV43" s="119"/>
      <c r="QCW43" s="119"/>
      <c r="QCX43" s="119"/>
      <c r="QCY43" s="119"/>
      <c r="QCZ43" s="119"/>
      <c r="QDA43" s="119"/>
      <c r="QDB43" s="119"/>
      <c r="QDC43" s="119"/>
      <c r="QDD43" s="119"/>
      <c r="QDE43" s="119"/>
      <c r="QDF43" s="119"/>
      <c r="QDG43" s="119"/>
      <c r="QDH43" s="119"/>
      <c r="QDI43" s="119"/>
      <c r="QDJ43" s="119"/>
      <c r="QDK43" s="119"/>
      <c r="QDL43" s="119"/>
      <c r="QDM43" s="119"/>
      <c r="QDN43" s="119"/>
      <c r="QDO43" s="119"/>
      <c r="QDP43" s="119"/>
      <c r="QDQ43" s="119"/>
      <c r="QDR43" s="119"/>
      <c r="QDS43" s="119"/>
      <c r="QDT43" s="119"/>
      <c r="QDU43" s="119"/>
      <c r="QDV43" s="119"/>
      <c r="QDW43" s="119"/>
      <c r="QDX43" s="119"/>
      <c r="QDY43" s="119"/>
      <c r="QDZ43" s="119"/>
      <c r="QEA43" s="119"/>
      <c r="QEB43" s="119"/>
      <c r="QEC43" s="119"/>
      <c r="QED43" s="119"/>
      <c r="QEE43" s="119"/>
      <c r="QEF43" s="119"/>
      <c r="QEG43" s="119"/>
      <c r="QEH43" s="119"/>
      <c r="QEI43" s="119"/>
      <c r="QEJ43" s="119"/>
      <c r="QEK43" s="119"/>
      <c r="QEL43" s="119"/>
      <c r="QEM43" s="119"/>
      <c r="QEN43" s="119"/>
      <c r="QEO43" s="119"/>
      <c r="QEP43" s="119"/>
      <c r="QEQ43" s="119"/>
      <c r="QER43" s="119"/>
      <c r="QES43" s="119"/>
      <c r="QET43" s="119"/>
      <c r="QEU43" s="119"/>
      <c r="QEV43" s="119"/>
      <c r="QEW43" s="119"/>
      <c r="QEX43" s="119"/>
      <c r="QEY43" s="119"/>
      <c r="QEZ43" s="119"/>
      <c r="QFA43" s="119"/>
      <c r="QFB43" s="119"/>
      <c r="QFC43" s="119"/>
      <c r="QFD43" s="119"/>
      <c r="QFE43" s="119"/>
      <c r="QFF43" s="119"/>
      <c r="QFG43" s="119"/>
      <c r="QFH43" s="119"/>
      <c r="QFI43" s="119"/>
      <c r="QFJ43" s="119"/>
      <c r="QFK43" s="119"/>
      <c r="QFL43" s="119"/>
      <c r="QFM43" s="119"/>
      <c r="QFN43" s="119"/>
      <c r="QFO43" s="119"/>
      <c r="QFP43" s="119"/>
      <c r="QFQ43" s="119"/>
      <c r="QFR43" s="119"/>
      <c r="QFS43" s="119"/>
      <c r="QFT43" s="119"/>
      <c r="QFU43" s="119"/>
      <c r="QFV43" s="119"/>
      <c r="QFW43" s="119"/>
      <c r="QFX43" s="119"/>
      <c r="QFY43" s="119"/>
      <c r="QFZ43" s="119"/>
      <c r="QGA43" s="119"/>
      <c r="QGB43" s="119"/>
      <c r="QGC43" s="119"/>
      <c r="QGD43" s="119"/>
      <c r="QGE43" s="119"/>
      <c r="QGF43" s="119"/>
      <c r="QGG43" s="119"/>
      <c r="QGH43" s="119"/>
      <c r="QGI43" s="119"/>
      <c r="QGJ43" s="119"/>
      <c r="QGK43" s="119"/>
      <c r="QGL43" s="119"/>
      <c r="QGM43" s="119"/>
      <c r="QGN43" s="119"/>
      <c r="QGO43" s="119"/>
      <c r="QGP43" s="119"/>
      <c r="QGQ43" s="119"/>
      <c r="QGR43" s="119"/>
      <c r="QGS43" s="119"/>
      <c r="QGT43" s="119"/>
      <c r="QGU43" s="119"/>
      <c r="QGV43" s="119"/>
      <c r="QGW43" s="119"/>
      <c r="QGX43" s="119"/>
      <c r="QGY43" s="119"/>
      <c r="QGZ43" s="119"/>
      <c r="QHA43" s="119"/>
      <c r="QHB43" s="119"/>
      <c r="QHC43" s="119"/>
      <c r="QHD43" s="119"/>
      <c r="QHE43" s="119"/>
      <c r="QHF43" s="119"/>
      <c r="QHG43" s="119"/>
      <c r="QHH43" s="119"/>
      <c r="QHI43" s="119"/>
      <c r="QHJ43" s="119"/>
      <c r="QHK43" s="119"/>
      <c r="QHL43" s="119"/>
      <c r="QHM43" s="119"/>
      <c r="QHN43" s="119"/>
      <c r="QHO43" s="119"/>
      <c r="QHP43" s="119"/>
      <c r="QHQ43" s="119"/>
      <c r="QHR43" s="119"/>
      <c r="QHS43" s="119"/>
      <c r="QHT43" s="119"/>
      <c r="QHU43" s="119"/>
      <c r="QHV43" s="119"/>
      <c r="QHW43" s="119"/>
      <c r="QHX43" s="119"/>
      <c r="QHY43" s="119"/>
      <c r="QHZ43" s="119"/>
      <c r="QIA43" s="119"/>
      <c r="QIB43" s="119"/>
      <c r="QIC43" s="119"/>
      <c r="QID43" s="119"/>
      <c r="QIE43" s="119"/>
      <c r="QIF43" s="119"/>
      <c r="QIG43" s="119"/>
      <c r="QIH43" s="119"/>
      <c r="QII43" s="119"/>
      <c r="QIJ43" s="119"/>
      <c r="QIK43" s="119"/>
      <c r="QIL43" s="119"/>
      <c r="QIM43" s="119"/>
      <c r="QIN43" s="119"/>
      <c r="QIO43" s="119"/>
      <c r="QIP43" s="119"/>
      <c r="QIQ43" s="119"/>
      <c r="QIR43" s="119"/>
      <c r="QIS43" s="119"/>
      <c r="QIT43" s="119"/>
      <c r="QIU43" s="119"/>
      <c r="QIV43" s="119"/>
      <c r="QIW43" s="119"/>
      <c r="QIX43" s="119"/>
      <c r="QIY43" s="119"/>
      <c r="QIZ43" s="119"/>
      <c r="QJA43" s="119"/>
      <c r="QJB43" s="119"/>
      <c r="QJC43" s="119"/>
      <c r="QJD43" s="119"/>
      <c r="QJE43" s="119"/>
      <c r="QJF43" s="119"/>
      <c r="QJG43" s="119"/>
      <c r="QJH43" s="119"/>
      <c r="QJI43" s="119"/>
      <c r="QJJ43" s="119"/>
      <c r="QJK43" s="119"/>
      <c r="QJL43" s="119"/>
      <c r="QJM43" s="119"/>
      <c r="QJN43" s="119"/>
      <c r="QJO43" s="119"/>
      <c r="QJP43" s="119"/>
      <c r="QJQ43" s="119"/>
      <c r="QJR43" s="119"/>
      <c r="QJS43" s="119"/>
      <c r="QJT43" s="119"/>
      <c r="QJU43" s="119"/>
      <c r="QJV43" s="119"/>
      <c r="QJW43" s="119"/>
      <c r="QJX43" s="119"/>
      <c r="QJY43" s="119"/>
      <c r="QJZ43" s="119"/>
      <c r="QKA43" s="119"/>
      <c r="QKB43" s="119"/>
      <c r="QKC43" s="119"/>
      <c r="QKD43" s="119"/>
      <c r="QKE43" s="119"/>
      <c r="QKF43" s="119"/>
      <c r="QKG43" s="119"/>
      <c r="QKH43" s="119"/>
      <c r="QKI43" s="119"/>
      <c r="QKJ43" s="119"/>
      <c r="QKK43" s="119"/>
      <c r="QKL43" s="119"/>
      <c r="QKM43" s="119"/>
      <c r="QKN43" s="119"/>
      <c r="QKO43" s="119"/>
      <c r="QKP43" s="119"/>
      <c r="QKQ43" s="119"/>
      <c r="QKR43" s="119"/>
      <c r="QKS43" s="119"/>
      <c r="QKT43" s="119"/>
      <c r="QKU43" s="119"/>
      <c r="QKV43" s="119"/>
      <c r="QKW43" s="119"/>
      <c r="QKX43" s="119"/>
      <c r="QKY43" s="119"/>
      <c r="QKZ43" s="119"/>
      <c r="QLA43" s="119"/>
      <c r="QLB43" s="119"/>
      <c r="QLC43" s="119"/>
      <c r="QLD43" s="119"/>
      <c r="QLE43" s="119"/>
      <c r="QLF43" s="119"/>
      <c r="QLG43" s="119"/>
      <c r="QLH43" s="119"/>
      <c r="QLI43" s="119"/>
      <c r="QLJ43" s="119"/>
      <c r="QLK43" s="119"/>
      <c r="QLL43" s="119"/>
      <c r="QLM43" s="119"/>
      <c r="QLN43" s="119"/>
      <c r="QLO43" s="119"/>
      <c r="QLP43" s="119"/>
      <c r="QLQ43" s="119"/>
      <c r="QLR43" s="119"/>
      <c r="QLS43" s="119"/>
      <c r="QLT43" s="119"/>
      <c r="QLU43" s="119"/>
      <c r="QLV43" s="119"/>
      <c r="QLW43" s="119"/>
      <c r="QLX43" s="119"/>
      <c r="QLY43" s="119"/>
      <c r="QLZ43" s="119"/>
      <c r="QMA43" s="119"/>
      <c r="QMB43" s="119"/>
      <c r="QMC43" s="119"/>
      <c r="QMD43" s="119"/>
      <c r="QME43" s="119"/>
      <c r="QMF43" s="119"/>
      <c r="QMG43" s="119"/>
      <c r="QMH43" s="119"/>
      <c r="QMI43" s="119"/>
      <c r="QMJ43" s="119"/>
      <c r="QMK43" s="119"/>
      <c r="QML43" s="119"/>
      <c r="QMM43" s="119"/>
      <c r="QMN43" s="119"/>
      <c r="QMO43" s="119"/>
      <c r="QMP43" s="119"/>
      <c r="QMQ43" s="119"/>
      <c r="QMR43" s="119"/>
      <c r="QMS43" s="119"/>
      <c r="QMT43" s="119"/>
      <c r="QMU43" s="119"/>
      <c r="QMV43" s="119"/>
      <c r="QMW43" s="119"/>
      <c r="QMX43" s="119"/>
      <c r="QMY43" s="119"/>
      <c r="QMZ43" s="119"/>
      <c r="QNA43" s="119"/>
      <c r="QNB43" s="119"/>
      <c r="QNC43" s="119"/>
      <c r="QND43" s="119"/>
      <c r="QNE43" s="119"/>
      <c r="QNF43" s="119"/>
      <c r="QNG43" s="119"/>
      <c r="QNH43" s="119"/>
      <c r="QNI43" s="119"/>
      <c r="QNJ43" s="119"/>
      <c r="QNK43" s="119"/>
      <c r="QNL43" s="119"/>
      <c r="QNM43" s="119"/>
      <c r="QNN43" s="119"/>
      <c r="QNO43" s="119"/>
      <c r="QNP43" s="119"/>
      <c r="QNQ43" s="119"/>
      <c r="QNR43" s="119"/>
      <c r="QNS43" s="119"/>
      <c r="QNT43" s="119"/>
      <c r="QNU43" s="119"/>
      <c r="QNV43" s="119"/>
      <c r="QNW43" s="119"/>
      <c r="QNX43" s="119"/>
      <c r="QNY43" s="119"/>
      <c r="QNZ43" s="119"/>
      <c r="QOA43" s="119"/>
      <c r="QOB43" s="119"/>
      <c r="QOC43" s="119"/>
      <c r="QOD43" s="119"/>
      <c r="QOE43" s="119"/>
      <c r="QOF43" s="119"/>
      <c r="QOG43" s="119"/>
      <c r="QOH43" s="119"/>
      <c r="QOI43" s="119"/>
      <c r="QOJ43" s="119"/>
      <c r="QOK43" s="119"/>
      <c r="QOL43" s="119"/>
      <c r="QOM43" s="119"/>
      <c r="QON43" s="119"/>
      <c r="QOO43" s="119"/>
      <c r="QOP43" s="119"/>
      <c r="QOQ43" s="119"/>
      <c r="QOR43" s="119"/>
      <c r="QOS43" s="119"/>
      <c r="QOT43" s="119"/>
      <c r="QOU43" s="119"/>
      <c r="QOV43" s="119"/>
      <c r="QOW43" s="119"/>
      <c r="QOX43" s="119"/>
      <c r="QOY43" s="119"/>
      <c r="QOZ43" s="119"/>
      <c r="QPA43" s="119"/>
      <c r="QPB43" s="119"/>
      <c r="QPC43" s="119"/>
      <c r="QPD43" s="119"/>
      <c r="QPE43" s="119"/>
      <c r="QPF43" s="119"/>
      <c r="QPG43" s="119"/>
      <c r="QPH43" s="119"/>
      <c r="QPI43" s="119"/>
      <c r="QPJ43" s="119"/>
      <c r="QPK43" s="119"/>
      <c r="QPL43" s="119"/>
      <c r="QPM43" s="119"/>
      <c r="QPN43" s="119"/>
      <c r="QPO43" s="119"/>
      <c r="QPP43" s="119"/>
      <c r="QPQ43" s="119"/>
      <c r="QPR43" s="119"/>
      <c r="QPS43" s="119"/>
      <c r="QPT43" s="119"/>
      <c r="QPU43" s="119"/>
      <c r="QPV43" s="119"/>
      <c r="QPW43" s="119"/>
      <c r="QPX43" s="119"/>
      <c r="QPY43" s="119"/>
      <c r="QPZ43" s="119"/>
      <c r="QQA43" s="119"/>
      <c r="QQB43" s="119"/>
      <c r="QQC43" s="119"/>
      <c r="QQD43" s="119"/>
      <c r="QQE43" s="119"/>
      <c r="QQF43" s="119"/>
      <c r="QQG43" s="119"/>
      <c r="QQH43" s="119"/>
      <c r="QQI43" s="119"/>
      <c r="QQJ43" s="119"/>
      <c r="QQK43" s="119"/>
      <c r="QQL43" s="119"/>
      <c r="QQM43" s="119"/>
      <c r="QQN43" s="119"/>
      <c r="QQO43" s="119"/>
      <c r="QQP43" s="119"/>
      <c r="QQQ43" s="119"/>
      <c r="QQR43" s="119"/>
      <c r="QQS43" s="119"/>
      <c r="QQT43" s="119"/>
      <c r="QQU43" s="119"/>
      <c r="QQV43" s="119"/>
      <c r="QQW43" s="119"/>
      <c r="QQX43" s="119"/>
      <c r="QQY43" s="119"/>
      <c r="QQZ43" s="119"/>
      <c r="QRA43" s="119"/>
      <c r="QRB43" s="119"/>
      <c r="QRC43" s="119"/>
      <c r="QRD43" s="119"/>
      <c r="QRE43" s="119"/>
      <c r="QRF43" s="119"/>
      <c r="QRG43" s="119"/>
      <c r="QRH43" s="119"/>
      <c r="QRI43" s="119"/>
      <c r="QRJ43" s="119"/>
      <c r="QRK43" s="119"/>
      <c r="QRL43" s="119"/>
      <c r="QRM43" s="119"/>
      <c r="QRN43" s="119"/>
      <c r="QRO43" s="119"/>
      <c r="QRP43" s="119"/>
      <c r="QRQ43" s="119"/>
      <c r="QRR43" s="119"/>
      <c r="QRS43" s="119"/>
      <c r="QRT43" s="119"/>
      <c r="QRU43" s="119"/>
      <c r="QRV43" s="119"/>
      <c r="QRW43" s="119"/>
      <c r="QRX43" s="119"/>
      <c r="QRY43" s="119"/>
      <c r="QRZ43" s="119"/>
      <c r="QSA43" s="119"/>
      <c r="QSB43" s="119"/>
      <c r="QSC43" s="119"/>
      <c r="QSD43" s="119"/>
      <c r="QSE43" s="119"/>
      <c r="QSF43" s="119"/>
      <c r="QSG43" s="119"/>
      <c r="QSH43" s="119"/>
      <c r="QSI43" s="119"/>
      <c r="QSJ43" s="119"/>
      <c r="QSK43" s="119"/>
      <c r="QSL43" s="119"/>
      <c r="QSM43" s="119"/>
      <c r="QSN43" s="119"/>
      <c r="QSO43" s="119"/>
      <c r="QSP43" s="119"/>
      <c r="QSQ43" s="119"/>
      <c r="QSR43" s="119"/>
      <c r="QSS43" s="119"/>
      <c r="QST43" s="119"/>
      <c r="QSU43" s="119"/>
      <c r="QSV43" s="119"/>
      <c r="QSW43" s="119"/>
      <c r="QSX43" s="119"/>
      <c r="QSY43" s="119"/>
      <c r="QSZ43" s="119"/>
      <c r="QTA43" s="119"/>
      <c r="QTB43" s="119"/>
      <c r="QTC43" s="119"/>
      <c r="QTD43" s="119"/>
      <c r="QTE43" s="119"/>
      <c r="QTF43" s="119"/>
      <c r="QTG43" s="119"/>
      <c r="QTH43" s="119"/>
      <c r="QTI43" s="119"/>
      <c r="QTJ43" s="119"/>
      <c r="QTK43" s="119"/>
      <c r="QTL43" s="119"/>
      <c r="QTM43" s="119"/>
      <c r="QTN43" s="119"/>
      <c r="QTO43" s="119"/>
      <c r="QTP43" s="119"/>
      <c r="QTQ43" s="119"/>
      <c r="QTR43" s="119"/>
      <c r="QTS43" s="119"/>
      <c r="QTT43" s="119"/>
      <c r="QTU43" s="119"/>
      <c r="QTV43" s="119"/>
      <c r="QTW43" s="119"/>
      <c r="QTX43" s="119"/>
      <c r="QTY43" s="119"/>
      <c r="QTZ43" s="119"/>
      <c r="QUA43" s="119"/>
      <c r="QUB43" s="119"/>
      <c r="QUC43" s="119"/>
      <c r="QUD43" s="119"/>
      <c r="QUE43" s="119"/>
      <c r="QUF43" s="119"/>
      <c r="QUG43" s="119"/>
      <c r="QUH43" s="119"/>
      <c r="QUI43" s="119"/>
      <c r="QUJ43" s="119"/>
      <c r="QUK43" s="119"/>
      <c r="QUL43" s="119"/>
      <c r="QUM43" s="119"/>
      <c r="QUN43" s="119"/>
      <c r="QUO43" s="119"/>
      <c r="QUP43" s="119"/>
      <c r="QUQ43" s="119"/>
      <c r="QUR43" s="119"/>
      <c r="QUS43" s="119"/>
      <c r="QUT43" s="119"/>
      <c r="QUU43" s="119"/>
      <c r="QUV43" s="119"/>
      <c r="QUW43" s="119"/>
      <c r="QUX43" s="119"/>
      <c r="QUY43" s="119"/>
      <c r="QUZ43" s="119"/>
      <c r="QVA43" s="119"/>
      <c r="QVB43" s="119"/>
      <c r="QVC43" s="119"/>
      <c r="QVD43" s="119"/>
      <c r="QVE43" s="119"/>
      <c r="QVF43" s="119"/>
      <c r="QVG43" s="119"/>
      <c r="QVH43" s="119"/>
      <c r="QVI43" s="119"/>
      <c r="QVJ43" s="119"/>
      <c r="QVK43" s="119"/>
      <c r="QVL43" s="119"/>
      <c r="QVM43" s="119"/>
      <c r="QVN43" s="119"/>
      <c r="QVO43" s="119"/>
      <c r="QVP43" s="119"/>
      <c r="QVQ43" s="119"/>
      <c r="QVR43" s="119"/>
      <c r="QVS43" s="119"/>
      <c r="QVT43" s="119"/>
      <c r="QVU43" s="119"/>
      <c r="QVV43" s="119"/>
      <c r="QVW43" s="119"/>
      <c r="QVX43" s="119"/>
      <c r="QVY43" s="119"/>
      <c r="QVZ43" s="119"/>
      <c r="QWA43" s="119"/>
      <c r="QWB43" s="119"/>
      <c r="QWC43" s="119"/>
      <c r="QWD43" s="119"/>
      <c r="QWE43" s="119"/>
      <c r="QWF43" s="119"/>
      <c r="QWG43" s="119"/>
      <c r="QWH43" s="119"/>
      <c r="QWI43" s="119"/>
      <c r="QWJ43" s="119"/>
      <c r="QWK43" s="119"/>
      <c r="QWL43" s="119"/>
      <c r="QWM43" s="119"/>
      <c r="QWN43" s="119"/>
      <c r="QWO43" s="119"/>
      <c r="QWP43" s="119"/>
      <c r="QWQ43" s="119"/>
      <c r="QWR43" s="119"/>
      <c r="QWS43" s="119"/>
      <c r="QWT43" s="119"/>
      <c r="QWU43" s="119"/>
      <c r="QWV43" s="119"/>
      <c r="QWW43" s="119"/>
      <c r="QWX43" s="119"/>
      <c r="QWY43" s="119"/>
      <c r="QWZ43" s="119"/>
      <c r="QXA43" s="119"/>
      <c r="QXB43" s="119"/>
      <c r="QXC43" s="119"/>
      <c r="QXD43" s="119"/>
      <c r="QXE43" s="119"/>
      <c r="QXF43" s="119"/>
      <c r="QXG43" s="119"/>
      <c r="QXH43" s="119"/>
      <c r="QXI43" s="119"/>
      <c r="QXJ43" s="119"/>
      <c r="QXK43" s="119"/>
      <c r="QXL43" s="119"/>
      <c r="QXM43" s="119"/>
      <c r="QXN43" s="119"/>
      <c r="QXO43" s="119"/>
      <c r="QXP43" s="119"/>
      <c r="QXQ43" s="119"/>
      <c r="QXR43" s="119"/>
      <c r="QXS43" s="119"/>
      <c r="QXT43" s="119"/>
      <c r="QXU43" s="119"/>
      <c r="QXV43" s="119"/>
      <c r="QXW43" s="119"/>
      <c r="QXX43" s="119"/>
      <c r="QXY43" s="119"/>
      <c r="QXZ43" s="119"/>
      <c r="QYA43" s="119"/>
      <c r="QYB43" s="119"/>
      <c r="QYC43" s="119"/>
      <c r="QYD43" s="119"/>
      <c r="QYE43" s="119"/>
      <c r="QYF43" s="119"/>
      <c r="QYG43" s="119"/>
      <c r="QYH43" s="119"/>
      <c r="QYI43" s="119"/>
      <c r="QYJ43" s="119"/>
      <c r="QYK43" s="119"/>
      <c r="QYL43" s="119"/>
      <c r="QYM43" s="119"/>
      <c r="QYN43" s="119"/>
      <c r="QYO43" s="119"/>
      <c r="QYP43" s="119"/>
      <c r="QYQ43" s="119"/>
      <c r="QYR43" s="119"/>
      <c r="QYS43" s="119"/>
      <c r="QYT43" s="119"/>
      <c r="QYU43" s="119"/>
      <c r="QYV43" s="119"/>
      <c r="QYW43" s="119"/>
      <c r="QYX43" s="119"/>
      <c r="QYY43" s="119"/>
      <c r="QYZ43" s="119"/>
      <c r="QZA43" s="119"/>
      <c r="QZB43" s="119"/>
      <c r="QZC43" s="119"/>
      <c r="QZD43" s="119"/>
      <c r="QZE43" s="119"/>
      <c r="QZF43" s="119"/>
      <c r="QZG43" s="119"/>
      <c r="QZH43" s="119"/>
      <c r="QZI43" s="119"/>
      <c r="QZJ43" s="119"/>
      <c r="QZK43" s="119"/>
      <c r="QZL43" s="119"/>
      <c r="QZM43" s="119"/>
      <c r="QZN43" s="119"/>
      <c r="QZO43" s="119"/>
      <c r="QZP43" s="119"/>
      <c r="QZQ43" s="119"/>
      <c r="QZR43" s="119"/>
      <c r="QZS43" s="119"/>
      <c r="QZT43" s="119"/>
      <c r="QZU43" s="119"/>
      <c r="QZV43" s="119"/>
      <c r="QZW43" s="119"/>
      <c r="QZX43" s="119"/>
      <c r="QZY43" s="119"/>
      <c r="QZZ43" s="119"/>
      <c r="RAA43" s="119"/>
      <c r="RAB43" s="119"/>
      <c r="RAC43" s="119"/>
      <c r="RAD43" s="119"/>
      <c r="RAE43" s="119"/>
      <c r="RAF43" s="119"/>
      <c r="RAG43" s="119"/>
      <c r="RAH43" s="119"/>
      <c r="RAI43" s="119"/>
      <c r="RAJ43" s="119"/>
      <c r="RAK43" s="119"/>
      <c r="RAL43" s="119"/>
      <c r="RAM43" s="119"/>
      <c r="RAN43" s="119"/>
      <c r="RAO43" s="119"/>
      <c r="RAP43" s="119"/>
      <c r="RAQ43" s="119"/>
      <c r="RAR43" s="119"/>
      <c r="RAS43" s="119"/>
      <c r="RAT43" s="119"/>
      <c r="RAU43" s="119"/>
      <c r="RAV43" s="119"/>
      <c r="RAW43" s="119"/>
      <c r="RAX43" s="119"/>
      <c r="RAY43" s="119"/>
      <c r="RAZ43" s="119"/>
      <c r="RBA43" s="119"/>
      <c r="RBB43" s="119"/>
      <c r="RBC43" s="119"/>
      <c r="RBD43" s="119"/>
      <c r="RBE43" s="119"/>
      <c r="RBF43" s="119"/>
      <c r="RBG43" s="119"/>
      <c r="RBH43" s="119"/>
      <c r="RBI43" s="119"/>
      <c r="RBJ43" s="119"/>
      <c r="RBK43" s="119"/>
      <c r="RBL43" s="119"/>
      <c r="RBM43" s="119"/>
      <c r="RBN43" s="119"/>
      <c r="RBO43" s="119"/>
      <c r="RBP43" s="119"/>
      <c r="RBQ43" s="119"/>
      <c r="RBR43" s="119"/>
      <c r="RBS43" s="119"/>
      <c r="RBT43" s="119"/>
      <c r="RBU43" s="119"/>
      <c r="RBV43" s="119"/>
      <c r="RBW43" s="119"/>
      <c r="RBX43" s="119"/>
      <c r="RBY43" s="119"/>
      <c r="RBZ43" s="119"/>
      <c r="RCA43" s="119"/>
      <c r="RCB43" s="119"/>
      <c r="RCC43" s="119"/>
      <c r="RCD43" s="119"/>
      <c r="RCE43" s="119"/>
      <c r="RCF43" s="119"/>
      <c r="RCG43" s="119"/>
      <c r="RCH43" s="119"/>
      <c r="RCI43" s="119"/>
      <c r="RCJ43" s="119"/>
      <c r="RCK43" s="119"/>
      <c r="RCL43" s="119"/>
      <c r="RCM43" s="119"/>
      <c r="RCN43" s="119"/>
      <c r="RCO43" s="119"/>
      <c r="RCP43" s="119"/>
      <c r="RCQ43" s="119"/>
      <c r="RCR43" s="119"/>
      <c r="RCS43" s="119"/>
      <c r="RCT43" s="119"/>
      <c r="RCU43" s="119"/>
      <c r="RCV43" s="119"/>
      <c r="RCW43" s="119"/>
      <c r="RCX43" s="119"/>
      <c r="RCY43" s="119"/>
      <c r="RCZ43" s="119"/>
      <c r="RDA43" s="119"/>
      <c r="RDB43" s="119"/>
      <c r="RDC43" s="119"/>
      <c r="RDD43" s="119"/>
      <c r="RDE43" s="119"/>
      <c r="RDF43" s="119"/>
      <c r="RDG43" s="119"/>
      <c r="RDH43" s="119"/>
      <c r="RDI43" s="119"/>
      <c r="RDJ43" s="119"/>
      <c r="RDK43" s="119"/>
      <c r="RDL43" s="119"/>
      <c r="RDM43" s="119"/>
      <c r="RDN43" s="119"/>
      <c r="RDO43" s="119"/>
      <c r="RDP43" s="119"/>
      <c r="RDQ43" s="119"/>
      <c r="RDR43" s="119"/>
      <c r="RDS43" s="119"/>
      <c r="RDT43" s="119"/>
      <c r="RDU43" s="119"/>
      <c r="RDV43" s="119"/>
      <c r="RDW43" s="119"/>
      <c r="RDX43" s="119"/>
      <c r="RDY43" s="119"/>
      <c r="RDZ43" s="119"/>
      <c r="REA43" s="119"/>
      <c r="REB43" s="119"/>
      <c r="REC43" s="119"/>
      <c r="RED43" s="119"/>
      <c r="REE43" s="119"/>
      <c r="REF43" s="119"/>
      <c r="REG43" s="119"/>
      <c r="REH43" s="119"/>
      <c r="REI43" s="119"/>
      <c r="REJ43" s="119"/>
      <c r="REK43" s="119"/>
      <c r="REL43" s="119"/>
      <c r="REM43" s="119"/>
      <c r="REN43" s="119"/>
      <c r="REO43" s="119"/>
      <c r="REP43" s="119"/>
      <c r="REQ43" s="119"/>
      <c r="RER43" s="119"/>
      <c r="RES43" s="119"/>
      <c r="RET43" s="119"/>
      <c r="REU43" s="119"/>
      <c r="REV43" s="119"/>
      <c r="REW43" s="119"/>
      <c r="REX43" s="119"/>
      <c r="REY43" s="119"/>
      <c r="REZ43" s="119"/>
      <c r="RFA43" s="119"/>
      <c r="RFB43" s="119"/>
      <c r="RFC43" s="119"/>
      <c r="RFD43" s="119"/>
      <c r="RFE43" s="119"/>
      <c r="RFF43" s="119"/>
      <c r="RFG43" s="119"/>
      <c r="RFH43" s="119"/>
      <c r="RFI43" s="119"/>
      <c r="RFJ43" s="119"/>
      <c r="RFK43" s="119"/>
      <c r="RFL43" s="119"/>
      <c r="RFM43" s="119"/>
      <c r="RFN43" s="119"/>
      <c r="RFO43" s="119"/>
      <c r="RFP43" s="119"/>
      <c r="RFQ43" s="119"/>
      <c r="RFR43" s="119"/>
      <c r="RFS43" s="119"/>
      <c r="RFT43" s="119"/>
      <c r="RFU43" s="119"/>
      <c r="RFV43" s="119"/>
      <c r="RFW43" s="119"/>
      <c r="RFX43" s="119"/>
      <c r="RFY43" s="119"/>
      <c r="RFZ43" s="119"/>
      <c r="RGA43" s="119"/>
      <c r="RGB43" s="119"/>
      <c r="RGC43" s="119"/>
      <c r="RGD43" s="119"/>
      <c r="RGE43" s="119"/>
      <c r="RGF43" s="119"/>
      <c r="RGG43" s="119"/>
      <c r="RGH43" s="119"/>
      <c r="RGI43" s="119"/>
      <c r="RGJ43" s="119"/>
      <c r="RGK43" s="119"/>
      <c r="RGL43" s="119"/>
      <c r="RGM43" s="119"/>
      <c r="RGN43" s="119"/>
      <c r="RGO43" s="119"/>
      <c r="RGP43" s="119"/>
      <c r="RGQ43" s="119"/>
      <c r="RGR43" s="119"/>
      <c r="RGS43" s="119"/>
      <c r="RGT43" s="119"/>
      <c r="RGU43" s="119"/>
      <c r="RGV43" s="119"/>
      <c r="RGW43" s="119"/>
      <c r="RGX43" s="119"/>
      <c r="RGY43" s="119"/>
      <c r="RGZ43" s="119"/>
      <c r="RHA43" s="119"/>
      <c r="RHB43" s="119"/>
      <c r="RHC43" s="119"/>
      <c r="RHD43" s="119"/>
      <c r="RHE43" s="119"/>
      <c r="RHF43" s="119"/>
      <c r="RHG43" s="119"/>
      <c r="RHH43" s="119"/>
      <c r="RHI43" s="119"/>
      <c r="RHJ43" s="119"/>
      <c r="RHK43" s="119"/>
      <c r="RHL43" s="119"/>
      <c r="RHM43" s="119"/>
      <c r="RHN43" s="119"/>
      <c r="RHO43" s="119"/>
      <c r="RHP43" s="119"/>
      <c r="RHQ43" s="119"/>
      <c r="RHR43" s="119"/>
      <c r="RHS43" s="119"/>
      <c r="RHT43" s="119"/>
      <c r="RHU43" s="119"/>
      <c r="RHV43" s="119"/>
      <c r="RHW43" s="119"/>
      <c r="RHX43" s="119"/>
      <c r="RHY43" s="119"/>
      <c r="RHZ43" s="119"/>
      <c r="RIA43" s="119"/>
      <c r="RIB43" s="119"/>
      <c r="RIC43" s="119"/>
      <c r="RID43" s="119"/>
      <c r="RIE43" s="119"/>
      <c r="RIF43" s="119"/>
      <c r="RIG43" s="119"/>
      <c r="RIH43" s="119"/>
      <c r="RII43" s="119"/>
      <c r="RIJ43" s="119"/>
      <c r="RIK43" s="119"/>
      <c r="RIL43" s="119"/>
      <c r="RIM43" s="119"/>
      <c r="RIN43" s="119"/>
      <c r="RIO43" s="119"/>
      <c r="RIP43" s="119"/>
      <c r="RIQ43" s="119"/>
      <c r="RIR43" s="119"/>
      <c r="RIS43" s="119"/>
      <c r="RIT43" s="119"/>
      <c r="RIU43" s="119"/>
      <c r="RIV43" s="119"/>
      <c r="RIW43" s="119"/>
      <c r="RIX43" s="119"/>
      <c r="RIY43" s="119"/>
      <c r="RIZ43" s="119"/>
      <c r="RJA43" s="119"/>
      <c r="RJB43" s="119"/>
      <c r="RJC43" s="119"/>
      <c r="RJD43" s="119"/>
      <c r="RJE43" s="119"/>
      <c r="RJF43" s="119"/>
      <c r="RJG43" s="119"/>
      <c r="RJH43" s="119"/>
      <c r="RJI43" s="119"/>
      <c r="RJJ43" s="119"/>
      <c r="RJK43" s="119"/>
      <c r="RJL43" s="119"/>
      <c r="RJM43" s="119"/>
      <c r="RJN43" s="119"/>
      <c r="RJO43" s="119"/>
      <c r="RJP43" s="119"/>
      <c r="RJQ43" s="119"/>
      <c r="RJR43" s="119"/>
      <c r="RJS43" s="119"/>
      <c r="RJT43" s="119"/>
      <c r="RJU43" s="119"/>
      <c r="RJV43" s="119"/>
      <c r="RJW43" s="119"/>
      <c r="RJX43" s="119"/>
      <c r="RJY43" s="119"/>
      <c r="RJZ43" s="119"/>
      <c r="RKA43" s="119"/>
      <c r="RKB43" s="119"/>
      <c r="RKC43" s="119"/>
      <c r="RKD43" s="119"/>
      <c r="RKE43" s="119"/>
      <c r="RKF43" s="119"/>
      <c r="RKG43" s="119"/>
      <c r="RKH43" s="119"/>
      <c r="RKI43" s="119"/>
      <c r="RKJ43" s="119"/>
      <c r="RKK43" s="119"/>
      <c r="RKL43" s="119"/>
      <c r="RKM43" s="119"/>
      <c r="RKN43" s="119"/>
      <c r="RKO43" s="119"/>
      <c r="RKP43" s="119"/>
      <c r="RKQ43" s="119"/>
      <c r="RKR43" s="119"/>
      <c r="RKS43" s="119"/>
      <c r="RKT43" s="119"/>
      <c r="RKU43" s="119"/>
      <c r="RKV43" s="119"/>
      <c r="RKW43" s="119"/>
      <c r="RKX43" s="119"/>
      <c r="RKY43" s="119"/>
      <c r="RKZ43" s="119"/>
      <c r="RLA43" s="119"/>
      <c r="RLB43" s="119"/>
      <c r="RLC43" s="119"/>
      <c r="RLD43" s="119"/>
      <c r="RLE43" s="119"/>
      <c r="RLF43" s="119"/>
      <c r="RLG43" s="119"/>
      <c r="RLH43" s="119"/>
      <c r="RLI43" s="119"/>
      <c r="RLJ43" s="119"/>
      <c r="RLK43" s="119"/>
      <c r="RLL43" s="119"/>
      <c r="RLM43" s="119"/>
      <c r="RLN43" s="119"/>
      <c r="RLO43" s="119"/>
      <c r="RLP43" s="119"/>
      <c r="RLQ43" s="119"/>
      <c r="RLR43" s="119"/>
      <c r="RLS43" s="119"/>
      <c r="RLT43" s="119"/>
      <c r="RLU43" s="119"/>
      <c r="RLV43" s="119"/>
      <c r="RLW43" s="119"/>
      <c r="RLX43" s="119"/>
      <c r="RLY43" s="119"/>
      <c r="RLZ43" s="119"/>
      <c r="RMA43" s="119"/>
      <c r="RMB43" s="119"/>
      <c r="RMC43" s="119"/>
      <c r="RMD43" s="119"/>
      <c r="RME43" s="119"/>
      <c r="RMF43" s="119"/>
      <c r="RMG43" s="119"/>
      <c r="RMH43" s="119"/>
      <c r="RMI43" s="119"/>
      <c r="RMJ43" s="119"/>
      <c r="RMK43" s="119"/>
      <c r="RML43" s="119"/>
      <c r="RMM43" s="119"/>
      <c r="RMN43" s="119"/>
      <c r="RMO43" s="119"/>
      <c r="RMP43" s="119"/>
      <c r="RMQ43" s="119"/>
      <c r="RMR43" s="119"/>
      <c r="RMS43" s="119"/>
      <c r="RMT43" s="119"/>
      <c r="RMU43" s="119"/>
      <c r="RMV43" s="119"/>
      <c r="RMW43" s="119"/>
      <c r="RMX43" s="119"/>
      <c r="RMY43" s="119"/>
      <c r="RMZ43" s="119"/>
      <c r="RNA43" s="119"/>
      <c r="RNB43" s="119"/>
      <c r="RNC43" s="119"/>
      <c r="RND43" s="119"/>
      <c r="RNE43" s="119"/>
      <c r="RNF43" s="119"/>
      <c r="RNG43" s="119"/>
      <c r="RNH43" s="119"/>
      <c r="RNI43" s="119"/>
      <c r="RNJ43" s="119"/>
      <c r="RNK43" s="119"/>
      <c r="RNL43" s="119"/>
      <c r="RNM43" s="119"/>
      <c r="RNN43" s="119"/>
      <c r="RNO43" s="119"/>
      <c r="RNP43" s="119"/>
      <c r="RNQ43" s="119"/>
      <c r="RNR43" s="119"/>
      <c r="RNS43" s="119"/>
      <c r="RNT43" s="119"/>
      <c r="RNU43" s="119"/>
      <c r="RNV43" s="119"/>
      <c r="RNW43" s="119"/>
      <c r="RNX43" s="119"/>
      <c r="RNY43" s="119"/>
      <c r="RNZ43" s="119"/>
      <c r="ROA43" s="119"/>
      <c r="ROB43" s="119"/>
      <c r="ROC43" s="119"/>
      <c r="ROD43" s="119"/>
      <c r="ROE43" s="119"/>
      <c r="ROF43" s="119"/>
      <c r="ROG43" s="119"/>
      <c r="ROH43" s="119"/>
      <c r="ROI43" s="119"/>
      <c r="ROJ43" s="119"/>
      <c r="ROK43" s="119"/>
      <c r="ROL43" s="119"/>
      <c r="ROM43" s="119"/>
      <c r="RON43" s="119"/>
      <c r="ROO43" s="119"/>
      <c r="ROP43" s="119"/>
      <c r="ROQ43" s="119"/>
      <c r="ROR43" s="119"/>
      <c r="ROS43" s="119"/>
      <c r="ROT43" s="119"/>
      <c r="ROU43" s="119"/>
      <c r="ROV43" s="119"/>
      <c r="ROW43" s="119"/>
      <c r="ROX43" s="119"/>
      <c r="ROY43" s="119"/>
      <c r="ROZ43" s="119"/>
      <c r="RPA43" s="119"/>
      <c r="RPB43" s="119"/>
      <c r="RPC43" s="119"/>
      <c r="RPD43" s="119"/>
      <c r="RPE43" s="119"/>
      <c r="RPF43" s="119"/>
      <c r="RPG43" s="119"/>
      <c r="RPH43" s="119"/>
      <c r="RPI43" s="119"/>
      <c r="RPJ43" s="119"/>
      <c r="RPK43" s="119"/>
      <c r="RPL43" s="119"/>
      <c r="RPM43" s="119"/>
      <c r="RPN43" s="119"/>
      <c r="RPO43" s="119"/>
      <c r="RPP43" s="119"/>
      <c r="RPQ43" s="119"/>
      <c r="RPR43" s="119"/>
      <c r="RPS43" s="119"/>
      <c r="RPT43" s="119"/>
      <c r="RPU43" s="119"/>
      <c r="RPV43" s="119"/>
      <c r="RPW43" s="119"/>
      <c r="RPX43" s="119"/>
      <c r="RPY43" s="119"/>
      <c r="RPZ43" s="119"/>
      <c r="RQA43" s="119"/>
      <c r="RQB43" s="119"/>
      <c r="RQC43" s="119"/>
      <c r="RQD43" s="119"/>
      <c r="RQE43" s="119"/>
      <c r="RQF43" s="119"/>
      <c r="RQG43" s="119"/>
      <c r="RQH43" s="119"/>
      <c r="RQI43" s="119"/>
      <c r="RQJ43" s="119"/>
      <c r="RQK43" s="119"/>
      <c r="RQL43" s="119"/>
      <c r="RQM43" s="119"/>
      <c r="RQN43" s="119"/>
      <c r="RQO43" s="119"/>
      <c r="RQP43" s="119"/>
      <c r="RQQ43" s="119"/>
      <c r="RQR43" s="119"/>
      <c r="RQS43" s="119"/>
      <c r="RQT43" s="119"/>
      <c r="RQU43" s="119"/>
      <c r="RQV43" s="119"/>
      <c r="RQW43" s="119"/>
      <c r="RQX43" s="119"/>
      <c r="RQY43" s="119"/>
      <c r="RQZ43" s="119"/>
      <c r="RRA43" s="119"/>
      <c r="RRB43" s="119"/>
      <c r="RRC43" s="119"/>
      <c r="RRD43" s="119"/>
      <c r="RRE43" s="119"/>
      <c r="RRF43" s="119"/>
      <c r="RRG43" s="119"/>
      <c r="RRH43" s="119"/>
      <c r="RRI43" s="119"/>
      <c r="RRJ43" s="119"/>
      <c r="RRK43" s="119"/>
      <c r="RRL43" s="119"/>
      <c r="RRM43" s="119"/>
      <c r="RRN43" s="119"/>
      <c r="RRO43" s="119"/>
      <c r="RRP43" s="119"/>
      <c r="RRQ43" s="119"/>
      <c r="RRR43" s="119"/>
      <c r="RRS43" s="119"/>
      <c r="RRT43" s="119"/>
      <c r="RRU43" s="119"/>
      <c r="RRV43" s="119"/>
      <c r="RRW43" s="119"/>
      <c r="RRX43" s="119"/>
      <c r="RRY43" s="119"/>
      <c r="RRZ43" s="119"/>
      <c r="RSA43" s="119"/>
      <c r="RSB43" s="119"/>
      <c r="RSC43" s="119"/>
      <c r="RSD43" s="119"/>
      <c r="RSE43" s="119"/>
      <c r="RSF43" s="119"/>
      <c r="RSG43" s="119"/>
      <c r="RSH43" s="119"/>
      <c r="RSI43" s="119"/>
      <c r="RSJ43" s="119"/>
      <c r="RSK43" s="119"/>
      <c r="RSL43" s="119"/>
      <c r="RSM43" s="119"/>
      <c r="RSN43" s="119"/>
      <c r="RSO43" s="119"/>
      <c r="RSP43" s="119"/>
      <c r="RSQ43" s="119"/>
      <c r="RSR43" s="119"/>
      <c r="RSS43" s="119"/>
      <c r="RST43" s="119"/>
      <c r="RSU43" s="119"/>
      <c r="RSV43" s="119"/>
      <c r="RSW43" s="119"/>
      <c r="RSX43" s="119"/>
      <c r="RSY43" s="119"/>
      <c r="RSZ43" s="119"/>
      <c r="RTA43" s="119"/>
      <c r="RTB43" s="119"/>
      <c r="RTC43" s="119"/>
      <c r="RTD43" s="119"/>
      <c r="RTE43" s="119"/>
      <c r="RTF43" s="119"/>
      <c r="RTG43" s="119"/>
      <c r="RTH43" s="119"/>
      <c r="RTI43" s="119"/>
      <c r="RTJ43" s="119"/>
      <c r="RTK43" s="119"/>
      <c r="RTL43" s="119"/>
      <c r="RTM43" s="119"/>
      <c r="RTN43" s="119"/>
      <c r="RTO43" s="119"/>
      <c r="RTP43" s="119"/>
      <c r="RTQ43" s="119"/>
      <c r="RTR43" s="119"/>
      <c r="RTS43" s="119"/>
      <c r="RTT43" s="119"/>
      <c r="RTU43" s="119"/>
      <c r="RTV43" s="119"/>
      <c r="RTW43" s="119"/>
      <c r="RTX43" s="119"/>
      <c r="RTY43" s="119"/>
      <c r="RTZ43" s="119"/>
      <c r="RUA43" s="119"/>
      <c r="RUB43" s="119"/>
      <c r="RUC43" s="119"/>
      <c r="RUD43" s="119"/>
      <c r="RUE43" s="119"/>
      <c r="RUF43" s="119"/>
      <c r="RUG43" s="119"/>
      <c r="RUH43" s="119"/>
      <c r="RUI43" s="119"/>
      <c r="RUJ43" s="119"/>
      <c r="RUK43" s="119"/>
      <c r="RUL43" s="119"/>
      <c r="RUM43" s="119"/>
      <c r="RUN43" s="119"/>
      <c r="RUO43" s="119"/>
      <c r="RUP43" s="119"/>
      <c r="RUQ43" s="119"/>
      <c r="RUR43" s="119"/>
      <c r="RUS43" s="119"/>
      <c r="RUT43" s="119"/>
      <c r="RUU43" s="119"/>
      <c r="RUV43" s="119"/>
      <c r="RUW43" s="119"/>
      <c r="RUX43" s="119"/>
      <c r="RUY43" s="119"/>
      <c r="RUZ43" s="119"/>
      <c r="RVA43" s="119"/>
      <c r="RVB43" s="119"/>
      <c r="RVC43" s="119"/>
      <c r="RVD43" s="119"/>
      <c r="RVE43" s="119"/>
      <c r="RVF43" s="119"/>
      <c r="RVG43" s="119"/>
      <c r="RVH43" s="119"/>
      <c r="RVI43" s="119"/>
      <c r="RVJ43" s="119"/>
      <c r="RVK43" s="119"/>
      <c r="RVL43" s="119"/>
      <c r="RVM43" s="119"/>
      <c r="RVN43" s="119"/>
      <c r="RVO43" s="119"/>
      <c r="RVP43" s="119"/>
      <c r="RVQ43" s="119"/>
      <c r="RVR43" s="119"/>
      <c r="RVS43" s="119"/>
      <c r="RVT43" s="119"/>
      <c r="RVU43" s="119"/>
      <c r="RVV43" s="119"/>
      <c r="RVW43" s="119"/>
      <c r="RVX43" s="119"/>
      <c r="RVY43" s="119"/>
      <c r="RVZ43" s="119"/>
      <c r="RWA43" s="119"/>
      <c r="RWB43" s="119"/>
      <c r="RWC43" s="119"/>
      <c r="RWD43" s="119"/>
      <c r="RWE43" s="119"/>
      <c r="RWF43" s="119"/>
      <c r="RWG43" s="119"/>
      <c r="RWH43" s="119"/>
      <c r="RWI43" s="119"/>
      <c r="RWJ43" s="119"/>
      <c r="RWK43" s="119"/>
      <c r="RWL43" s="119"/>
      <c r="RWM43" s="119"/>
      <c r="RWN43" s="119"/>
      <c r="RWO43" s="119"/>
      <c r="RWP43" s="119"/>
      <c r="RWQ43" s="119"/>
      <c r="RWR43" s="119"/>
      <c r="RWS43" s="119"/>
      <c r="RWT43" s="119"/>
      <c r="RWU43" s="119"/>
      <c r="RWV43" s="119"/>
      <c r="RWW43" s="119"/>
      <c r="RWX43" s="119"/>
      <c r="RWY43" s="119"/>
      <c r="RWZ43" s="119"/>
      <c r="RXA43" s="119"/>
      <c r="RXB43" s="119"/>
      <c r="RXC43" s="119"/>
      <c r="RXD43" s="119"/>
      <c r="RXE43" s="119"/>
      <c r="RXF43" s="119"/>
      <c r="RXG43" s="119"/>
      <c r="RXH43" s="119"/>
      <c r="RXI43" s="119"/>
      <c r="RXJ43" s="119"/>
      <c r="RXK43" s="119"/>
      <c r="RXL43" s="119"/>
      <c r="RXM43" s="119"/>
      <c r="RXN43" s="119"/>
      <c r="RXO43" s="119"/>
      <c r="RXP43" s="119"/>
      <c r="RXQ43" s="119"/>
      <c r="RXR43" s="119"/>
      <c r="RXS43" s="119"/>
      <c r="RXT43" s="119"/>
      <c r="RXU43" s="119"/>
      <c r="RXV43" s="119"/>
      <c r="RXW43" s="119"/>
      <c r="RXX43" s="119"/>
      <c r="RXY43" s="119"/>
      <c r="RXZ43" s="119"/>
      <c r="RYA43" s="119"/>
      <c r="RYB43" s="119"/>
      <c r="RYC43" s="119"/>
      <c r="RYD43" s="119"/>
      <c r="RYE43" s="119"/>
      <c r="RYF43" s="119"/>
      <c r="RYG43" s="119"/>
      <c r="RYH43" s="119"/>
      <c r="RYI43" s="119"/>
      <c r="RYJ43" s="119"/>
      <c r="RYK43" s="119"/>
      <c r="RYL43" s="119"/>
      <c r="RYM43" s="119"/>
      <c r="RYN43" s="119"/>
      <c r="RYO43" s="119"/>
      <c r="RYP43" s="119"/>
      <c r="RYQ43" s="119"/>
      <c r="RYR43" s="119"/>
      <c r="RYS43" s="119"/>
      <c r="RYT43" s="119"/>
      <c r="RYU43" s="119"/>
      <c r="RYV43" s="119"/>
      <c r="RYW43" s="119"/>
      <c r="RYX43" s="119"/>
      <c r="RYY43" s="119"/>
      <c r="RYZ43" s="119"/>
      <c r="RZA43" s="119"/>
      <c r="RZB43" s="119"/>
      <c r="RZC43" s="119"/>
      <c r="RZD43" s="119"/>
      <c r="RZE43" s="119"/>
      <c r="RZF43" s="119"/>
      <c r="RZG43" s="119"/>
      <c r="RZH43" s="119"/>
      <c r="RZI43" s="119"/>
      <c r="RZJ43" s="119"/>
      <c r="RZK43" s="119"/>
      <c r="RZL43" s="119"/>
      <c r="RZM43" s="119"/>
      <c r="RZN43" s="119"/>
      <c r="RZO43" s="119"/>
      <c r="RZP43" s="119"/>
      <c r="RZQ43" s="119"/>
      <c r="RZR43" s="119"/>
      <c r="RZS43" s="119"/>
      <c r="RZT43" s="119"/>
      <c r="RZU43" s="119"/>
      <c r="RZV43" s="119"/>
      <c r="RZW43" s="119"/>
      <c r="RZX43" s="119"/>
      <c r="RZY43" s="119"/>
      <c r="RZZ43" s="119"/>
      <c r="SAA43" s="119"/>
      <c r="SAB43" s="119"/>
      <c r="SAC43" s="119"/>
      <c r="SAD43" s="119"/>
      <c r="SAE43" s="119"/>
      <c r="SAF43" s="119"/>
      <c r="SAG43" s="119"/>
      <c r="SAH43" s="119"/>
      <c r="SAI43" s="119"/>
      <c r="SAJ43" s="119"/>
      <c r="SAK43" s="119"/>
      <c r="SAL43" s="119"/>
      <c r="SAM43" s="119"/>
      <c r="SAN43" s="119"/>
      <c r="SAO43" s="119"/>
      <c r="SAP43" s="119"/>
      <c r="SAQ43" s="119"/>
      <c r="SAR43" s="119"/>
      <c r="SAS43" s="119"/>
      <c r="SAT43" s="119"/>
      <c r="SAU43" s="119"/>
      <c r="SAV43" s="119"/>
      <c r="SAW43" s="119"/>
      <c r="SAX43" s="119"/>
      <c r="SAY43" s="119"/>
      <c r="SAZ43" s="119"/>
      <c r="SBA43" s="119"/>
      <c r="SBB43" s="119"/>
      <c r="SBC43" s="119"/>
      <c r="SBD43" s="119"/>
      <c r="SBE43" s="119"/>
      <c r="SBF43" s="119"/>
      <c r="SBG43" s="119"/>
      <c r="SBH43" s="119"/>
      <c r="SBI43" s="119"/>
      <c r="SBJ43" s="119"/>
      <c r="SBK43" s="119"/>
      <c r="SBL43" s="119"/>
      <c r="SBM43" s="119"/>
      <c r="SBN43" s="119"/>
      <c r="SBO43" s="119"/>
      <c r="SBP43" s="119"/>
      <c r="SBQ43" s="119"/>
      <c r="SBR43" s="119"/>
      <c r="SBS43" s="119"/>
      <c r="SBT43" s="119"/>
      <c r="SBU43" s="119"/>
      <c r="SBV43" s="119"/>
      <c r="SBW43" s="119"/>
      <c r="SBX43" s="119"/>
      <c r="SBY43" s="119"/>
      <c r="SBZ43" s="119"/>
      <c r="SCA43" s="119"/>
      <c r="SCB43" s="119"/>
      <c r="SCC43" s="119"/>
      <c r="SCD43" s="119"/>
      <c r="SCE43" s="119"/>
      <c r="SCF43" s="119"/>
      <c r="SCG43" s="119"/>
      <c r="SCH43" s="119"/>
      <c r="SCI43" s="119"/>
      <c r="SCJ43" s="119"/>
      <c r="SCK43" s="119"/>
      <c r="SCL43" s="119"/>
      <c r="SCM43" s="119"/>
      <c r="SCN43" s="119"/>
      <c r="SCO43" s="119"/>
      <c r="SCP43" s="119"/>
      <c r="SCQ43" s="119"/>
      <c r="SCR43" s="119"/>
      <c r="SCS43" s="119"/>
      <c r="SCT43" s="119"/>
      <c r="SCU43" s="119"/>
      <c r="SCV43" s="119"/>
      <c r="SCW43" s="119"/>
      <c r="SCX43" s="119"/>
      <c r="SCY43" s="119"/>
      <c r="SCZ43" s="119"/>
      <c r="SDA43" s="119"/>
      <c r="SDB43" s="119"/>
      <c r="SDC43" s="119"/>
      <c r="SDD43" s="119"/>
      <c r="SDE43" s="119"/>
      <c r="SDF43" s="119"/>
      <c r="SDG43" s="119"/>
      <c r="SDH43" s="119"/>
      <c r="SDI43" s="119"/>
      <c r="SDJ43" s="119"/>
      <c r="SDK43" s="119"/>
      <c r="SDL43" s="119"/>
      <c r="SDM43" s="119"/>
      <c r="SDN43" s="119"/>
      <c r="SDO43" s="119"/>
      <c r="SDP43" s="119"/>
      <c r="SDQ43" s="119"/>
      <c r="SDR43" s="119"/>
      <c r="SDS43" s="119"/>
      <c r="SDT43" s="119"/>
      <c r="SDU43" s="119"/>
      <c r="SDV43" s="119"/>
      <c r="SDW43" s="119"/>
      <c r="SDX43" s="119"/>
      <c r="SDY43" s="119"/>
      <c r="SDZ43" s="119"/>
      <c r="SEA43" s="119"/>
      <c r="SEB43" s="119"/>
      <c r="SEC43" s="119"/>
      <c r="SED43" s="119"/>
      <c r="SEE43" s="119"/>
      <c r="SEF43" s="119"/>
      <c r="SEG43" s="119"/>
      <c r="SEH43" s="119"/>
      <c r="SEI43" s="119"/>
      <c r="SEJ43" s="119"/>
      <c r="SEK43" s="119"/>
      <c r="SEL43" s="119"/>
      <c r="SEM43" s="119"/>
      <c r="SEN43" s="119"/>
      <c r="SEO43" s="119"/>
      <c r="SEP43" s="119"/>
      <c r="SEQ43" s="119"/>
      <c r="SER43" s="119"/>
      <c r="SES43" s="119"/>
      <c r="SET43" s="119"/>
      <c r="SEU43" s="119"/>
      <c r="SEV43" s="119"/>
      <c r="SEW43" s="119"/>
      <c r="SEX43" s="119"/>
      <c r="SEY43" s="119"/>
      <c r="SEZ43" s="119"/>
      <c r="SFA43" s="119"/>
      <c r="SFB43" s="119"/>
      <c r="SFC43" s="119"/>
      <c r="SFD43" s="119"/>
      <c r="SFE43" s="119"/>
      <c r="SFF43" s="119"/>
      <c r="SFG43" s="119"/>
      <c r="SFH43" s="119"/>
      <c r="SFI43" s="119"/>
      <c r="SFJ43" s="119"/>
      <c r="SFK43" s="119"/>
      <c r="SFL43" s="119"/>
      <c r="SFM43" s="119"/>
      <c r="SFN43" s="119"/>
      <c r="SFO43" s="119"/>
      <c r="SFP43" s="119"/>
      <c r="SFQ43" s="119"/>
      <c r="SFR43" s="119"/>
      <c r="SFS43" s="119"/>
      <c r="SFT43" s="119"/>
      <c r="SFU43" s="119"/>
      <c r="SFV43" s="119"/>
      <c r="SFW43" s="119"/>
      <c r="SFX43" s="119"/>
      <c r="SFY43" s="119"/>
      <c r="SFZ43" s="119"/>
      <c r="SGA43" s="119"/>
      <c r="SGB43" s="119"/>
      <c r="SGC43" s="119"/>
      <c r="SGD43" s="119"/>
      <c r="SGE43" s="119"/>
      <c r="SGF43" s="119"/>
      <c r="SGG43" s="119"/>
      <c r="SGH43" s="119"/>
      <c r="SGI43" s="119"/>
      <c r="SGJ43" s="119"/>
      <c r="SGK43" s="119"/>
      <c r="SGL43" s="119"/>
      <c r="SGM43" s="119"/>
      <c r="SGN43" s="119"/>
      <c r="SGO43" s="119"/>
      <c r="SGP43" s="119"/>
      <c r="SGQ43" s="119"/>
      <c r="SGR43" s="119"/>
      <c r="SGS43" s="119"/>
      <c r="SGT43" s="119"/>
      <c r="SGU43" s="119"/>
      <c r="SGV43" s="119"/>
      <c r="SGW43" s="119"/>
      <c r="SGX43" s="119"/>
      <c r="SGY43" s="119"/>
      <c r="SGZ43" s="119"/>
      <c r="SHA43" s="119"/>
      <c r="SHB43" s="119"/>
      <c r="SHC43" s="119"/>
      <c r="SHD43" s="119"/>
      <c r="SHE43" s="119"/>
      <c r="SHF43" s="119"/>
      <c r="SHG43" s="119"/>
      <c r="SHH43" s="119"/>
      <c r="SHI43" s="119"/>
      <c r="SHJ43" s="119"/>
      <c r="SHK43" s="119"/>
      <c r="SHL43" s="119"/>
      <c r="SHM43" s="119"/>
      <c r="SHN43" s="119"/>
      <c r="SHO43" s="119"/>
      <c r="SHP43" s="119"/>
      <c r="SHQ43" s="119"/>
      <c r="SHR43" s="119"/>
      <c r="SHS43" s="119"/>
      <c r="SHT43" s="119"/>
      <c r="SHU43" s="119"/>
      <c r="SHV43" s="119"/>
      <c r="SHW43" s="119"/>
      <c r="SHX43" s="119"/>
      <c r="SHY43" s="119"/>
      <c r="SHZ43" s="119"/>
      <c r="SIA43" s="119"/>
      <c r="SIB43" s="119"/>
      <c r="SIC43" s="119"/>
      <c r="SID43" s="119"/>
      <c r="SIE43" s="119"/>
      <c r="SIF43" s="119"/>
      <c r="SIG43" s="119"/>
      <c r="SIH43" s="119"/>
      <c r="SII43" s="119"/>
      <c r="SIJ43" s="119"/>
      <c r="SIK43" s="119"/>
      <c r="SIL43" s="119"/>
      <c r="SIM43" s="119"/>
      <c r="SIN43" s="119"/>
      <c r="SIO43" s="119"/>
      <c r="SIP43" s="119"/>
      <c r="SIQ43" s="119"/>
      <c r="SIR43" s="119"/>
      <c r="SIS43" s="119"/>
      <c r="SIT43" s="119"/>
      <c r="SIU43" s="119"/>
      <c r="SIV43" s="119"/>
      <c r="SIW43" s="119"/>
      <c r="SIX43" s="119"/>
      <c r="SIY43" s="119"/>
      <c r="SIZ43" s="119"/>
      <c r="SJA43" s="119"/>
      <c r="SJB43" s="119"/>
      <c r="SJC43" s="119"/>
      <c r="SJD43" s="119"/>
      <c r="SJE43" s="119"/>
      <c r="SJF43" s="119"/>
      <c r="SJG43" s="119"/>
      <c r="SJH43" s="119"/>
      <c r="SJI43" s="119"/>
      <c r="SJJ43" s="119"/>
      <c r="SJK43" s="119"/>
      <c r="SJL43" s="119"/>
      <c r="SJM43" s="119"/>
      <c r="SJN43" s="119"/>
      <c r="SJO43" s="119"/>
      <c r="SJP43" s="119"/>
      <c r="SJQ43" s="119"/>
      <c r="SJR43" s="119"/>
      <c r="SJS43" s="119"/>
      <c r="SJT43" s="119"/>
      <c r="SJU43" s="119"/>
      <c r="SJV43" s="119"/>
      <c r="SJW43" s="119"/>
      <c r="SJX43" s="119"/>
      <c r="SJY43" s="119"/>
      <c r="SJZ43" s="119"/>
      <c r="SKA43" s="119"/>
      <c r="SKB43" s="119"/>
      <c r="SKC43" s="119"/>
      <c r="SKD43" s="119"/>
      <c r="SKE43" s="119"/>
      <c r="SKF43" s="119"/>
      <c r="SKG43" s="119"/>
      <c r="SKH43" s="119"/>
      <c r="SKI43" s="119"/>
      <c r="SKJ43" s="119"/>
      <c r="SKK43" s="119"/>
      <c r="SKL43" s="119"/>
      <c r="SKM43" s="119"/>
      <c r="SKN43" s="119"/>
      <c r="SKO43" s="119"/>
      <c r="SKP43" s="119"/>
      <c r="SKQ43" s="119"/>
      <c r="SKR43" s="119"/>
      <c r="SKS43" s="119"/>
      <c r="SKT43" s="119"/>
      <c r="SKU43" s="119"/>
      <c r="SKV43" s="119"/>
      <c r="SKW43" s="119"/>
      <c r="SKX43" s="119"/>
      <c r="SKY43" s="119"/>
      <c r="SKZ43" s="119"/>
      <c r="SLA43" s="119"/>
      <c r="SLB43" s="119"/>
      <c r="SLC43" s="119"/>
      <c r="SLD43" s="119"/>
      <c r="SLE43" s="119"/>
      <c r="SLF43" s="119"/>
      <c r="SLG43" s="119"/>
      <c r="SLH43" s="119"/>
      <c r="SLI43" s="119"/>
      <c r="SLJ43" s="119"/>
      <c r="SLK43" s="119"/>
      <c r="SLL43" s="119"/>
      <c r="SLM43" s="119"/>
      <c r="SLN43" s="119"/>
      <c r="SLO43" s="119"/>
      <c r="SLP43" s="119"/>
      <c r="SLQ43" s="119"/>
      <c r="SLR43" s="119"/>
      <c r="SLS43" s="119"/>
      <c r="SLT43" s="119"/>
      <c r="SLU43" s="119"/>
      <c r="SLV43" s="119"/>
      <c r="SLW43" s="119"/>
      <c r="SLX43" s="119"/>
      <c r="SLY43" s="119"/>
      <c r="SLZ43" s="119"/>
      <c r="SMA43" s="119"/>
      <c r="SMB43" s="119"/>
      <c r="SMC43" s="119"/>
      <c r="SMD43" s="119"/>
      <c r="SME43" s="119"/>
      <c r="SMF43" s="119"/>
      <c r="SMG43" s="119"/>
      <c r="SMH43" s="119"/>
      <c r="SMI43" s="119"/>
      <c r="SMJ43" s="119"/>
      <c r="SMK43" s="119"/>
      <c r="SML43" s="119"/>
      <c r="SMM43" s="119"/>
      <c r="SMN43" s="119"/>
      <c r="SMO43" s="119"/>
      <c r="SMP43" s="119"/>
      <c r="SMQ43" s="119"/>
      <c r="SMR43" s="119"/>
      <c r="SMS43" s="119"/>
      <c r="SMT43" s="119"/>
      <c r="SMU43" s="119"/>
      <c r="SMV43" s="119"/>
      <c r="SMW43" s="119"/>
      <c r="SMX43" s="119"/>
      <c r="SMY43" s="119"/>
      <c r="SMZ43" s="119"/>
      <c r="SNA43" s="119"/>
      <c r="SNB43" s="119"/>
      <c r="SNC43" s="119"/>
      <c r="SND43" s="119"/>
      <c r="SNE43" s="119"/>
      <c r="SNF43" s="119"/>
      <c r="SNG43" s="119"/>
      <c r="SNH43" s="119"/>
      <c r="SNI43" s="119"/>
      <c r="SNJ43" s="119"/>
      <c r="SNK43" s="119"/>
      <c r="SNL43" s="119"/>
      <c r="SNM43" s="119"/>
      <c r="SNN43" s="119"/>
      <c r="SNO43" s="119"/>
      <c r="SNP43" s="119"/>
      <c r="SNQ43" s="119"/>
      <c r="SNR43" s="119"/>
      <c r="SNS43" s="119"/>
      <c r="SNT43" s="119"/>
      <c r="SNU43" s="119"/>
      <c r="SNV43" s="119"/>
      <c r="SNW43" s="119"/>
      <c r="SNX43" s="119"/>
      <c r="SNY43" s="119"/>
      <c r="SNZ43" s="119"/>
      <c r="SOA43" s="119"/>
      <c r="SOB43" s="119"/>
      <c r="SOC43" s="119"/>
      <c r="SOD43" s="119"/>
      <c r="SOE43" s="119"/>
      <c r="SOF43" s="119"/>
      <c r="SOG43" s="119"/>
      <c r="SOH43" s="119"/>
      <c r="SOI43" s="119"/>
      <c r="SOJ43" s="119"/>
      <c r="SOK43" s="119"/>
      <c r="SOL43" s="119"/>
      <c r="SOM43" s="119"/>
      <c r="SON43" s="119"/>
      <c r="SOO43" s="119"/>
      <c r="SOP43" s="119"/>
      <c r="SOQ43" s="119"/>
      <c r="SOR43" s="119"/>
      <c r="SOS43" s="119"/>
      <c r="SOT43" s="119"/>
      <c r="SOU43" s="119"/>
      <c r="SOV43" s="119"/>
      <c r="SOW43" s="119"/>
      <c r="SOX43" s="119"/>
      <c r="SOY43" s="119"/>
      <c r="SOZ43" s="119"/>
      <c r="SPA43" s="119"/>
      <c r="SPB43" s="119"/>
      <c r="SPC43" s="119"/>
      <c r="SPD43" s="119"/>
      <c r="SPE43" s="119"/>
      <c r="SPF43" s="119"/>
      <c r="SPG43" s="119"/>
      <c r="SPH43" s="119"/>
      <c r="SPI43" s="119"/>
      <c r="SPJ43" s="119"/>
      <c r="SPK43" s="119"/>
      <c r="SPL43" s="119"/>
      <c r="SPM43" s="119"/>
      <c r="SPN43" s="119"/>
      <c r="SPO43" s="119"/>
      <c r="SPP43" s="119"/>
      <c r="SPQ43" s="119"/>
      <c r="SPR43" s="119"/>
      <c r="SPS43" s="119"/>
      <c r="SPT43" s="119"/>
      <c r="SPU43" s="119"/>
      <c r="SPV43" s="119"/>
      <c r="SPW43" s="119"/>
      <c r="SPX43" s="119"/>
      <c r="SPY43" s="119"/>
      <c r="SPZ43" s="119"/>
      <c r="SQA43" s="119"/>
      <c r="SQB43" s="119"/>
      <c r="SQC43" s="119"/>
      <c r="SQD43" s="119"/>
      <c r="SQE43" s="119"/>
      <c r="SQF43" s="119"/>
      <c r="SQG43" s="119"/>
      <c r="SQH43" s="119"/>
      <c r="SQI43" s="119"/>
      <c r="SQJ43" s="119"/>
      <c r="SQK43" s="119"/>
      <c r="SQL43" s="119"/>
      <c r="SQM43" s="119"/>
      <c r="SQN43" s="119"/>
      <c r="SQO43" s="119"/>
      <c r="SQP43" s="119"/>
      <c r="SQQ43" s="119"/>
      <c r="SQR43" s="119"/>
      <c r="SQS43" s="119"/>
      <c r="SQT43" s="119"/>
      <c r="SQU43" s="119"/>
      <c r="SQV43" s="119"/>
      <c r="SQW43" s="119"/>
      <c r="SQX43" s="119"/>
      <c r="SQY43" s="119"/>
      <c r="SQZ43" s="119"/>
      <c r="SRA43" s="119"/>
      <c r="SRB43" s="119"/>
      <c r="SRC43" s="119"/>
      <c r="SRD43" s="119"/>
      <c r="SRE43" s="119"/>
      <c r="SRF43" s="119"/>
      <c r="SRG43" s="119"/>
      <c r="SRH43" s="119"/>
      <c r="SRI43" s="119"/>
      <c r="SRJ43" s="119"/>
      <c r="SRK43" s="119"/>
      <c r="SRL43" s="119"/>
      <c r="SRM43" s="119"/>
      <c r="SRN43" s="119"/>
      <c r="SRO43" s="119"/>
      <c r="SRP43" s="119"/>
      <c r="SRQ43" s="119"/>
      <c r="SRR43" s="119"/>
      <c r="SRS43" s="119"/>
      <c r="SRT43" s="119"/>
      <c r="SRU43" s="119"/>
      <c r="SRV43" s="119"/>
      <c r="SRW43" s="119"/>
      <c r="SRX43" s="119"/>
      <c r="SRY43" s="119"/>
      <c r="SRZ43" s="119"/>
      <c r="SSA43" s="119"/>
      <c r="SSB43" s="119"/>
      <c r="SSC43" s="119"/>
      <c r="SSD43" s="119"/>
      <c r="SSE43" s="119"/>
      <c r="SSF43" s="119"/>
      <c r="SSG43" s="119"/>
      <c r="SSH43" s="119"/>
      <c r="SSI43" s="119"/>
      <c r="SSJ43" s="119"/>
      <c r="SSK43" s="119"/>
      <c r="SSL43" s="119"/>
      <c r="SSM43" s="119"/>
      <c r="SSN43" s="119"/>
      <c r="SSO43" s="119"/>
      <c r="SSP43" s="119"/>
      <c r="SSQ43" s="119"/>
      <c r="SSR43" s="119"/>
      <c r="SSS43" s="119"/>
      <c r="SST43" s="119"/>
      <c r="SSU43" s="119"/>
      <c r="SSV43" s="119"/>
      <c r="SSW43" s="119"/>
      <c r="SSX43" s="119"/>
      <c r="SSY43" s="119"/>
      <c r="SSZ43" s="119"/>
      <c r="STA43" s="119"/>
      <c r="STB43" s="119"/>
      <c r="STC43" s="119"/>
      <c r="STD43" s="119"/>
      <c r="STE43" s="119"/>
      <c r="STF43" s="119"/>
      <c r="STG43" s="119"/>
      <c r="STH43" s="119"/>
      <c r="STI43" s="119"/>
      <c r="STJ43" s="119"/>
      <c r="STK43" s="119"/>
      <c r="STL43" s="119"/>
      <c r="STM43" s="119"/>
      <c r="STN43" s="119"/>
      <c r="STO43" s="119"/>
      <c r="STP43" s="119"/>
      <c r="STQ43" s="119"/>
      <c r="STR43" s="119"/>
      <c r="STS43" s="119"/>
      <c r="STT43" s="119"/>
      <c r="STU43" s="119"/>
      <c r="STV43" s="119"/>
      <c r="STW43" s="119"/>
      <c r="STX43" s="119"/>
      <c r="STY43" s="119"/>
      <c r="STZ43" s="119"/>
      <c r="SUA43" s="119"/>
      <c r="SUB43" s="119"/>
      <c r="SUC43" s="119"/>
      <c r="SUD43" s="119"/>
      <c r="SUE43" s="119"/>
      <c r="SUF43" s="119"/>
      <c r="SUG43" s="119"/>
      <c r="SUH43" s="119"/>
      <c r="SUI43" s="119"/>
      <c r="SUJ43" s="119"/>
      <c r="SUK43" s="119"/>
      <c r="SUL43" s="119"/>
      <c r="SUM43" s="119"/>
      <c r="SUN43" s="119"/>
      <c r="SUO43" s="119"/>
      <c r="SUP43" s="119"/>
      <c r="SUQ43" s="119"/>
      <c r="SUR43" s="119"/>
      <c r="SUS43" s="119"/>
      <c r="SUT43" s="119"/>
      <c r="SUU43" s="119"/>
      <c r="SUV43" s="119"/>
      <c r="SUW43" s="119"/>
      <c r="SUX43" s="119"/>
      <c r="SUY43" s="119"/>
      <c r="SUZ43" s="119"/>
      <c r="SVA43" s="119"/>
      <c r="SVB43" s="119"/>
      <c r="SVC43" s="119"/>
      <c r="SVD43" s="119"/>
      <c r="SVE43" s="119"/>
      <c r="SVF43" s="119"/>
      <c r="SVG43" s="119"/>
      <c r="SVH43" s="119"/>
      <c r="SVI43" s="119"/>
      <c r="SVJ43" s="119"/>
      <c r="SVK43" s="119"/>
      <c r="SVL43" s="119"/>
      <c r="SVM43" s="119"/>
      <c r="SVN43" s="119"/>
      <c r="SVO43" s="119"/>
      <c r="SVP43" s="119"/>
      <c r="SVQ43" s="119"/>
      <c r="SVR43" s="119"/>
      <c r="SVS43" s="119"/>
      <c r="SVT43" s="119"/>
      <c r="SVU43" s="119"/>
      <c r="SVV43" s="119"/>
      <c r="SVW43" s="119"/>
      <c r="SVX43" s="119"/>
      <c r="SVY43" s="119"/>
      <c r="SVZ43" s="119"/>
      <c r="SWA43" s="119"/>
      <c r="SWB43" s="119"/>
      <c r="SWC43" s="119"/>
      <c r="SWD43" s="119"/>
      <c r="SWE43" s="119"/>
      <c r="SWF43" s="119"/>
      <c r="SWG43" s="119"/>
      <c r="SWH43" s="119"/>
      <c r="SWI43" s="119"/>
      <c r="SWJ43" s="119"/>
      <c r="SWK43" s="119"/>
      <c r="SWL43" s="119"/>
      <c r="SWM43" s="119"/>
      <c r="SWN43" s="119"/>
      <c r="SWO43" s="119"/>
      <c r="SWP43" s="119"/>
      <c r="SWQ43" s="119"/>
      <c r="SWR43" s="119"/>
      <c r="SWS43" s="119"/>
      <c r="SWT43" s="119"/>
      <c r="SWU43" s="119"/>
      <c r="SWV43" s="119"/>
      <c r="SWW43" s="119"/>
      <c r="SWX43" s="119"/>
      <c r="SWY43" s="119"/>
      <c r="SWZ43" s="119"/>
      <c r="SXA43" s="119"/>
      <c r="SXB43" s="119"/>
      <c r="SXC43" s="119"/>
      <c r="SXD43" s="119"/>
      <c r="SXE43" s="119"/>
      <c r="SXF43" s="119"/>
      <c r="SXG43" s="119"/>
      <c r="SXH43" s="119"/>
      <c r="SXI43" s="119"/>
      <c r="SXJ43" s="119"/>
      <c r="SXK43" s="119"/>
      <c r="SXL43" s="119"/>
      <c r="SXM43" s="119"/>
      <c r="SXN43" s="119"/>
      <c r="SXO43" s="119"/>
      <c r="SXP43" s="119"/>
      <c r="SXQ43" s="119"/>
      <c r="SXR43" s="119"/>
      <c r="SXS43" s="119"/>
      <c r="SXT43" s="119"/>
      <c r="SXU43" s="119"/>
      <c r="SXV43" s="119"/>
      <c r="SXW43" s="119"/>
      <c r="SXX43" s="119"/>
      <c r="SXY43" s="119"/>
      <c r="SXZ43" s="119"/>
      <c r="SYA43" s="119"/>
      <c r="SYB43" s="119"/>
      <c r="SYC43" s="119"/>
      <c r="SYD43" s="119"/>
      <c r="SYE43" s="119"/>
      <c r="SYF43" s="119"/>
      <c r="SYG43" s="119"/>
      <c r="SYH43" s="119"/>
      <c r="SYI43" s="119"/>
      <c r="SYJ43" s="119"/>
      <c r="SYK43" s="119"/>
      <c r="SYL43" s="119"/>
      <c r="SYM43" s="119"/>
      <c r="SYN43" s="119"/>
      <c r="SYO43" s="119"/>
      <c r="SYP43" s="119"/>
      <c r="SYQ43" s="119"/>
      <c r="SYR43" s="119"/>
      <c r="SYS43" s="119"/>
      <c r="SYT43" s="119"/>
      <c r="SYU43" s="119"/>
      <c r="SYV43" s="119"/>
      <c r="SYW43" s="119"/>
      <c r="SYX43" s="119"/>
      <c r="SYY43" s="119"/>
      <c r="SYZ43" s="119"/>
      <c r="SZA43" s="119"/>
      <c r="SZB43" s="119"/>
      <c r="SZC43" s="119"/>
      <c r="SZD43" s="119"/>
      <c r="SZE43" s="119"/>
      <c r="SZF43" s="119"/>
      <c r="SZG43" s="119"/>
      <c r="SZH43" s="119"/>
      <c r="SZI43" s="119"/>
      <c r="SZJ43" s="119"/>
      <c r="SZK43" s="119"/>
      <c r="SZL43" s="119"/>
      <c r="SZM43" s="119"/>
      <c r="SZN43" s="119"/>
      <c r="SZO43" s="119"/>
      <c r="SZP43" s="119"/>
      <c r="SZQ43" s="119"/>
      <c r="SZR43" s="119"/>
      <c r="SZS43" s="119"/>
      <c r="SZT43" s="119"/>
      <c r="SZU43" s="119"/>
      <c r="SZV43" s="119"/>
      <c r="SZW43" s="119"/>
      <c r="SZX43" s="119"/>
      <c r="SZY43" s="119"/>
      <c r="SZZ43" s="119"/>
      <c r="TAA43" s="119"/>
      <c r="TAB43" s="119"/>
      <c r="TAC43" s="119"/>
      <c r="TAD43" s="119"/>
      <c r="TAE43" s="119"/>
      <c r="TAF43" s="119"/>
      <c r="TAG43" s="119"/>
      <c r="TAH43" s="119"/>
      <c r="TAI43" s="119"/>
      <c r="TAJ43" s="119"/>
      <c r="TAK43" s="119"/>
      <c r="TAL43" s="119"/>
      <c r="TAM43" s="119"/>
      <c r="TAN43" s="119"/>
      <c r="TAO43" s="119"/>
      <c r="TAP43" s="119"/>
      <c r="TAQ43" s="119"/>
      <c r="TAR43" s="119"/>
      <c r="TAS43" s="119"/>
      <c r="TAT43" s="119"/>
      <c r="TAU43" s="119"/>
      <c r="TAV43" s="119"/>
      <c r="TAW43" s="119"/>
      <c r="TAX43" s="119"/>
      <c r="TAY43" s="119"/>
      <c r="TAZ43" s="119"/>
      <c r="TBA43" s="119"/>
      <c r="TBB43" s="119"/>
      <c r="TBC43" s="119"/>
      <c r="TBD43" s="119"/>
      <c r="TBE43" s="119"/>
      <c r="TBF43" s="119"/>
      <c r="TBG43" s="119"/>
      <c r="TBH43" s="119"/>
      <c r="TBI43" s="119"/>
      <c r="TBJ43" s="119"/>
      <c r="TBK43" s="119"/>
      <c r="TBL43" s="119"/>
      <c r="TBM43" s="119"/>
      <c r="TBN43" s="119"/>
      <c r="TBO43" s="119"/>
      <c r="TBP43" s="119"/>
      <c r="TBQ43" s="119"/>
      <c r="TBR43" s="119"/>
      <c r="TBS43" s="119"/>
      <c r="TBT43" s="119"/>
      <c r="TBU43" s="119"/>
      <c r="TBV43" s="119"/>
      <c r="TBW43" s="119"/>
      <c r="TBX43" s="119"/>
      <c r="TBY43" s="119"/>
      <c r="TBZ43" s="119"/>
      <c r="TCA43" s="119"/>
      <c r="TCB43" s="119"/>
      <c r="TCC43" s="119"/>
      <c r="TCD43" s="119"/>
      <c r="TCE43" s="119"/>
      <c r="TCF43" s="119"/>
      <c r="TCG43" s="119"/>
      <c r="TCH43" s="119"/>
      <c r="TCI43" s="119"/>
      <c r="TCJ43" s="119"/>
      <c r="TCK43" s="119"/>
      <c r="TCL43" s="119"/>
      <c r="TCM43" s="119"/>
      <c r="TCN43" s="119"/>
      <c r="TCO43" s="119"/>
      <c r="TCP43" s="119"/>
      <c r="TCQ43" s="119"/>
      <c r="TCR43" s="119"/>
      <c r="TCS43" s="119"/>
      <c r="TCT43" s="119"/>
      <c r="TCU43" s="119"/>
      <c r="TCV43" s="119"/>
      <c r="TCW43" s="119"/>
      <c r="TCX43" s="119"/>
      <c r="TCY43" s="119"/>
      <c r="TCZ43" s="119"/>
      <c r="TDA43" s="119"/>
      <c r="TDB43" s="119"/>
      <c r="TDC43" s="119"/>
      <c r="TDD43" s="119"/>
      <c r="TDE43" s="119"/>
      <c r="TDF43" s="119"/>
      <c r="TDG43" s="119"/>
      <c r="TDH43" s="119"/>
      <c r="TDI43" s="119"/>
      <c r="TDJ43" s="119"/>
      <c r="TDK43" s="119"/>
      <c r="TDL43" s="119"/>
      <c r="TDM43" s="119"/>
      <c r="TDN43" s="119"/>
      <c r="TDO43" s="119"/>
      <c r="TDP43" s="119"/>
      <c r="TDQ43" s="119"/>
      <c r="TDR43" s="119"/>
      <c r="TDS43" s="119"/>
      <c r="TDT43" s="119"/>
      <c r="TDU43" s="119"/>
      <c r="TDV43" s="119"/>
      <c r="TDW43" s="119"/>
      <c r="TDX43" s="119"/>
      <c r="TDY43" s="119"/>
      <c r="TDZ43" s="119"/>
      <c r="TEA43" s="119"/>
      <c r="TEB43" s="119"/>
      <c r="TEC43" s="119"/>
      <c r="TED43" s="119"/>
      <c r="TEE43" s="119"/>
      <c r="TEF43" s="119"/>
      <c r="TEG43" s="119"/>
      <c r="TEH43" s="119"/>
      <c r="TEI43" s="119"/>
      <c r="TEJ43" s="119"/>
      <c r="TEK43" s="119"/>
      <c r="TEL43" s="119"/>
      <c r="TEM43" s="119"/>
      <c r="TEN43" s="119"/>
      <c r="TEO43" s="119"/>
      <c r="TEP43" s="119"/>
      <c r="TEQ43" s="119"/>
      <c r="TER43" s="119"/>
      <c r="TES43" s="119"/>
      <c r="TET43" s="119"/>
      <c r="TEU43" s="119"/>
      <c r="TEV43" s="119"/>
      <c r="TEW43" s="119"/>
      <c r="TEX43" s="119"/>
      <c r="TEY43" s="119"/>
      <c r="TEZ43" s="119"/>
      <c r="TFA43" s="119"/>
      <c r="TFB43" s="119"/>
      <c r="TFC43" s="119"/>
      <c r="TFD43" s="119"/>
      <c r="TFE43" s="119"/>
      <c r="TFF43" s="119"/>
      <c r="TFG43" s="119"/>
      <c r="TFH43" s="119"/>
      <c r="TFI43" s="119"/>
      <c r="TFJ43" s="119"/>
      <c r="TFK43" s="119"/>
      <c r="TFL43" s="119"/>
      <c r="TFM43" s="119"/>
      <c r="TFN43" s="119"/>
      <c r="TFO43" s="119"/>
      <c r="TFP43" s="119"/>
      <c r="TFQ43" s="119"/>
      <c r="TFR43" s="119"/>
      <c r="TFS43" s="119"/>
      <c r="TFT43" s="119"/>
      <c r="TFU43" s="119"/>
      <c r="TFV43" s="119"/>
      <c r="TFW43" s="119"/>
      <c r="TFX43" s="119"/>
      <c r="TFY43" s="119"/>
      <c r="TFZ43" s="119"/>
      <c r="TGA43" s="119"/>
      <c r="TGB43" s="119"/>
      <c r="TGC43" s="119"/>
      <c r="TGD43" s="119"/>
      <c r="TGE43" s="119"/>
      <c r="TGF43" s="119"/>
      <c r="TGG43" s="119"/>
      <c r="TGH43" s="119"/>
      <c r="TGI43" s="119"/>
      <c r="TGJ43" s="119"/>
      <c r="TGK43" s="119"/>
      <c r="TGL43" s="119"/>
      <c r="TGM43" s="119"/>
      <c r="TGN43" s="119"/>
      <c r="TGO43" s="119"/>
      <c r="TGP43" s="119"/>
      <c r="TGQ43" s="119"/>
      <c r="TGR43" s="119"/>
      <c r="TGS43" s="119"/>
      <c r="TGT43" s="119"/>
      <c r="TGU43" s="119"/>
      <c r="TGV43" s="119"/>
      <c r="TGW43" s="119"/>
      <c r="TGX43" s="119"/>
      <c r="TGY43" s="119"/>
      <c r="TGZ43" s="119"/>
      <c r="THA43" s="119"/>
      <c r="THB43" s="119"/>
      <c r="THC43" s="119"/>
      <c r="THD43" s="119"/>
      <c r="THE43" s="119"/>
      <c r="THF43" s="119"/>
      <c r="THG43" s="119"/>
      <c r="THH43" s="119"/>
      <c r="THI43" s="119"/>
      <c r="THJ43" s="119"/>
      <c r="THK43" s="119"/>
      <c r="THL43" s="119"/>
      <c r="THM43" s="119"/>
      <c r="THN43" s="119"/>
      <c r="THO43" s="119"/>
      <c r="THP43" s="119"/>
      <c r="THQ43" s="119"/>
      <c r="THR43" s="119"/>
      <c r="THS43" s="119"/>
      <c r="THT43" s="119"/>
      <c r="THU43" s="119"/>
      <c r="THV43" s="119"/>
      <c r="THW43" s="119"/>
      <c r="THX43" s="119"/>
      <c r="THY43" s="119"/>
      <c r="THZ43" s="119"/>
      <c r="TIA43" s="119"/>
      <c r="TIB43" s="119"/>
      <c r="TIC43" s="119"/>
      <c r="TID43" s="119"/>
      <c r="TIE43" s="119"/>
      <c r="TIF43" s="119"/>
      <c r="TIG43" s="119"/>
      <c r="TIH43" s="119"/>
      <c r="TII43" s="119"/>
      <c r="TIJ43" s="119"/>
      <c r="TIK43" s="119"/>
      <c r="TIL43" s="119"/>
      <c r="TIM43" s="119"/>
      <c r="TIN43" s="119"/>
      <c r="TIO43" s="119"/>
      <c r="TIP43" s="119"/>
      <c r="TIQ43" s="119"/>
      <c r="TIR43" s="119"/>
      <c r="TIS43" s="119"/>
      <c r="TIT43" s="119"/>
      <c r="TIU43" s="119"/>
      <c r="TIV43" s="119"/>
      <c r="TIW43" s="119"/>
      <c r="TIX43" s="119"/>
      <c r="TIY43" s="119"/>
      <c r="TIZ43" s="119"/>
      <c r="TJA43" s="119"/>
      <c r="TJB43" s="119"/>
      <c r="TJC43" s="119"/>
      <c r="TJD43" s="119"/>
      <c r="TJE43" s="119"/>
      <c r="TJF43" s="119"/>
      <c r="TJG43" s="119"/>
      <c r="TJH43" s="119"/>
      <c r="TJI43" s="119"/>
      <c r="TJJ43" s="119"/>
      <c r="TJK43" s="119"/>
      <c r="TJL43" s="119"/>
      <c r="TJM43" s="119"/>
      <c r="TJN43" s="119"/>
      <c r="TJO43" s="119"/>
      <c r="TJP43" s="119"/>
      <c r="TJQ43" s="119"/>
      <c r="TJR43" s="119"/>
      <c r="TJS43" s="119"/>
      <c r="TJT43" s="119"/>
      <c r="TJU43" s="119"/>
      <c r="TJV43" s="119"/>
      <c r="TJW43" s="119"/>
      <c r="TJX43" s="119"/>
      <c r="TJY43" s="119"/>
      <c r="TJZ43" s="119"/>
      <c r="TKA43" s="119"/>
      <c r="TKB43" s="119"/>
      <c r="TKC43" s="119"/>
      <c r="TKD43" s="119"/>
      <c r="TKE43" s="119"/>
      <c r="TKF43" s="119"/>
      <c r="TKG43" s="119"/>
      <c r="TKH43" s="119"/>
      <c r="TKI43" s="119"/>
      <c r="TKJ43" s="119"/>
      <c r="TKK43" s="119"/>
      <c r="TKL43" s="119"/>
      <c r="TKM43" s="119"/>
      <c r="TKN43" s="119"/>
      <c r="TKO43" s="119"/>
      <c r="TKP43" s="119"/>
      <c r="TKQ43" s="119"/>
      <c r="TKR43" s="119"/>
      <c r="TKS43" s="119"/>
      <c r="TKT43" s="119"/>
      <c r="TKU43" s="119"/>
      <c r="TKV43" s="119"/>
      <c r="TKW43" s="119"/>
      <c r="TKX43" s="119"/>
      <c r="TKY43" s="119"/>
      <c r="TKZ43" s="119"/>
      <c r="TLA43" s="119"/>
      <c r="TLB43" s="119"/>
      <c r="TLC43" s="119"/>
      <c r="TLD43" s="119"/>
      <c r="TLE43" s="119"/>
      <c r="TLF43" s="119"/>
      <c r="TLG43" s="119"/>
      <c r="TLH43" s="119"/>
      <c r="TLI43" s="119"/>
      <c r="TLJ43" s="119"/>
      <c r="TLK43" s="119"/>
      <c r="TLL43" s="119"/>
      <c r="TLM43" s="119"/>
      <c r="TLN43" s="119"/>
      <c r="TLO43" s="119"/>
      <c r="TLP43" s="119"/>
      <c r="TLQ43" s="119"/>
      <c r="TLR43" s="119"/>
      <c r="TLS43" s="119"/>
      <c r="TLT43" s="119"/>
      <c r="TLU43" s="119"/>
      <c r="TLV43" s="119"/>
      <c r="TLW43" s="119"/>
      <c r="TLX43" s="119"/>
      <c r="TLY43" s="119"/>
      <c r="TLZ43" s="119"/>
      <c r="TMA43" s="119"/>
      <c r="TMB43" s="119"/>
      <c r="TMC43" s="119"/>
      <c r="TMD43" s="119"/>
      <c r="TME43" s="119"/>
      <c r="TMF43" s="119"/>
      <c r="TMG43" s="119"/>
      <c r="TMH43" s="119"/>
      <c r="TMI43" s="119"/>
      <c r="TMJ43" s="119"/>
      <c r="TMK43" s="119"/>
      <c r="TML43" s="119"/>
      <c r="TMM43" s="119"/>
      <c r="TMN43" s="119"/>
      <c r="TMO43" s="119"/>
      <c r="TMP43" s="119"/>
      <c r="TMQ43" s="119"/>
      <c r="TMR43" s="119"/>
      <c r="TMS43" s="119"/>
      <c r="TMT43" s="119"/>
      <c r="TMU43" s="119"/>
      <c r="TMV43" s="119"/>
      <c r="TMW43" s="119"/>
      <c r="TMX43" s="119"/>
      <c r="TMY43" s="119"/>
      <c r="TMZ43" s="119"/>
      <c r="TNA43" s="119"/>
      <c r="TNB43" s="119"/>
      <c r="TNC43" s="119"/>
      <c r="TND43" s="119"/>
      <c r="TNE43" s="119"/>
      <c r="TNF43" s="119"/>
      <c r="TNG43" s="119"/>
      <c r="TNH43" s="119"/>
      <c r="TNI43" s="119"/>
      <c r="TNJ43" s="119"/>
      <c r="TNK43" s="119"/>
      <c r="TNL43" s="119"/>
      <c r="TNM43" s="119"/>
      <c r="TNN43" s="119"/>
      <c r="TNO43" s="119"/>
      <c r="TNP43" s="119"/>
      <c r="TNQ43" s="119"/>
      <c r="TNR43" s="119"/>
      <c r="TNS43" s="119"/>
      <c r="TNT43" s="119"/>
      <c r="TNU43" s="119"/>
      <c r="TNV43" s="119"/>
      <c r="TNW43" s="119"/>
      <c r="TNX43" s="119"/>
      <c r="TNY43" s="119"/>
      <c r="TNZ43" s="119"/>
      <c r="TOA43" s="119"/>
      <c r="TOB43" s="119"/>
      <c r="TOC43" s="119"/>
      <c r="TOD43" s="119"/>
      <c r="TOE43" s="119"/>
      <c r="TOF43" s="119"/>
      <c r="TOG43" s="119"/>
      <c r="TOH43" s="119"/>
      <c r="TOI43" s="119"/>
      <c r="TOJ43" s="119"/>
      <c r="TOK43" s="119"/>
      <c r="TOL43" s="119"/>
      <c r="TOM43" s="119"/>
      <c r="TON43" s="119"/>
      <c r="TOO43" s="119"/>
      <c r="TOP43" s="119"/>
      <c r="TOQ43" s="119"/>
      <c r="TOR43" s="119"/>
      <c r="TOS43" s="119"/>
      <c r="TOT43" s="119"/>
      <c r="TOU43" s="119"/>
      <c r="TOV43" s="119"/>
      <c r="TOW43" s="119"/>
      <c r="TOX43" s="119"/>
      <c r="TOY43" s="119"/>
      <c r="TOZ43" s="119"/>
      <c r="TPA43" s="119"/>
      <c r="TPB43" s="119"/>
      <c r="TPC43" s="119"/>
      <c r="TPD43" s="119"/>
      <c r="TPE43" s="119"/>
      <c r="TPF43" s="119"/>
      <c r="TPG43" s="119"/>
      <c r="TPH43" s="119"/>
      <c r="TPI43" s="119"/>
      <c r="TPJ43" s="119"/>
      <c r="TPK43" s="119"/>
      <c r="TPL43" s="119"/>
      <c r="TPM43" s="119"/>
      <c r="TPN43" s="119"/>
      <c r="TPO43" s="119"/>
      <c r="TPP43" s="119"/>
      <c r="TPQ43" s="119"/>
      <c r="TPR43" s="119"/>
      <c r="TPS43" s="119"/>
      <c r="TPT43" s="119"/>
      <c r="TPU43" s="119"/>
      <c r="TPV43" s="119"/>
      <c r="TPW43" s="119"/>
      <c r="TPX43" s="119"/>
      <c r="TPY43" s="119"/>
      <c r="TPZ43" s="119"/>
      <c r="TQA43" s="119"/>
      <c r="TQB43" s="119"/>
      <c r="TQC43" s="119"/>
      <c r="TQD43" s="119"/>
      <c r="TQE43" s="119"/>
      <c r="TQF43" s="119"/>
      <c r="TQG43" s="119"/>
      <c r="TQH43" s="119"/>
      <c r="TQI43" s="119"/>
      <c r="TQJ43" s="119"/>
      <c r="TQK43" s="119"/>
      <c r="TQL43" s="119"/>
      <c r="TQM43" s="119"/>
      <c r="TQN43" s="119"/>
      <c r="TQO43" s="119"/>
      <c r="TQP43" s="119"/>
      <c r="TQQ43" s="119"/>
      <c r="TQR43" s="119"/>
      <c r="TQS43" s="119"/>
      <c r="TQT43" s="119"/>
      <c r="TQU43" s="119"/>
      <c r="TQV43" s="119"/>
      <c r="TQW43" s="119"/>
      <c r="TQX43" s="119"/>
      <c r="TQY43" s="119"/>
      <c r="TQZ43" s="119"/>
      <c r="TRA43" s="119"/>
      <c r="TRB43" s="119"/>
      <c r="TRC43" s="119"/>
      <c r="TRD43" s="119"/>
      <c r="TRE43" s="119"/>
      <c r="TRF43" s="119"/>
      <c r="TRG43" s="119"/>
      <c r="TRH43" s="119"/>
      <c r="TRI43" s="119"/>
      <c r="TRJ43" s="119"/>
      <c r="TRK43" s="119"/>
      <c r="TRL43" s="119"/>
      <c r="TRM43" s="119"/>
      <c r="TRN43" s="119"/>
      <c r="TRO43" s="119"/>
      <c r="TRP43" s="119"/>
      <c r="TRQ43" s="119"/>
      <c r="TRR43" s="119"/>
      <c r="TRS43" s="119"/>
      <c r="TRT43" s="119"/>
      <c r="TRU43" s="119"/>
      <c r="TRV43" s="119"/>
      <c r="TRW43" s="119"/>
      <c r="TRX43" s="119"/>
      <c r="TRY43" s="119"/>
      <c r="TRZ43" s="119"/>
      <c r="TSA43" s="119"/>
      <c r="TSB43" s="119"/>
      <c r="TSC43" s="119"/>
      <c r="TSD43" s="119"/>
      <c r="TSE43" s="119"/>
      <c r="TSF43" s="119"/>
      <c r="TSG43" s="119"/>
      <c r="TSH43" s="119"/>
      <c r="TSI43" s="119"/>
      <c r="TSJ43" s="119"/>
      <c r="TSK43" s="119"/>
      <c r="TSL43" s="119"/>
      <c r="TSM43" s="119"/>
      <c r="TSN43" s="119"/>
      <c r="TSO43" s="119"/>
      <c r="TSP43" s="119"/>
      <c r="TSQ43" s="119"/>
      <c r="TSR43" s="119"/>
      <c r="TSS43" s="119"/>
      <c r="TST43" s="119"/>
      <c r="TSU43" s="119"/>
      <c r="TSV43" s="119"/>
      <c r="TSW43" s="119"/>
      <c r="TSX43" s="119"/>
      <c r="TSY43" s="119"/>
      <c r="TSZ43" s="119"/>
      <c r="TTA43" s="119"/>
      <c r="TTB43" s="119"/>
      <c r="TTC43" s="119"/>
      <c r="TTD43" s="119"/>
      <c r="TTE43" s="119"/>
      <c r="TTF43" s="119"/>
      <c r="TTG43" s="119"/>
      <c r="TTH43" s="119"/>
      <c r="TTI43" s="119"/>
      <c r="TTJ43" s="119"/>
      <c r="TTK43" s="119"/>
      <c r="TTL43" s="119"/>
      <c r="TTM43" s="119"/>
      <c r="TTN43" s="119"/>
      <c r="TTO43" s="119"/>
      <c r="TTP43" s="119"/>
      <c r="TTQ43" s="119"/>
      <c r="TTR43" s="119"/>
      <c r="TTS43" s="119"/>
      <c r="TTT43" s="119"/>
      <c r="TTU43" s="119"/>
      <c r="TTV43" s="119"/>
      <c r="TTW43" s="119"/>
      <c r="TTX43" s="119"/>
      <c r="TTY43" s="119"/>
      <c r="TTZ43" s="119"/>
      <c r="TUA43" s="119"/>
      <c r="TUB43" s="119"/>
      <c r="TUC43" s="119"/>
      <c r="TUD43" s="119"/>
      <c r="TUE43" s="119"/>
      <c r="TUF43" s="119"/>
      <c r="TUG43" s="119"/>
      <c r="TUH43" s="119"/>
      <c r="TUI43" s="119"/>
      <c r="TUJ43" s="119"/>
      <c r="TUK43" s="119"/>
      <c r="TUL43" s="119"/>
      <c r="TUM43" s="119"/>
      <c r="TUN43" s="119"/>
      <c r="TUO43" s="119"/>
      <c r="TUP43" s="119"/>
      <c r="TUQ43" s="119"/>
      <c r="TUR43" s="119"/>
      <c r="TUS43" s="119"/>
      <c r="TUT43" s="119"/>
      <c r="TUU43" s="119"/>
      <c r="TUV43" s="119"/>
      <c r="TUW43" s="119"/>
      <c r="TUX43" s="119"/>
      <c r="TUY43" s="119"/>
      <c r="TUZ43" s="119"/>
      <c r="TVA43" s="119"/>
      <c r="TVB43" s="119"/>
      <c r="TVC43" s="119"/>
      <c r="TVD43" s="119"/>
      <c r="TVE43" s="119"/>
      <c r="TVF43" s="119"/>
      <c r="TVG43" s="119"/>
      <c r="TVH43" s="119"/>
      <c r="TVI43" s="119"/>
      <c r="TVJ43" s="119"/>
      <c r="TVK43" s="119"/>
      <c r="TVL43" s="119"/>
      <c r="TVM43" s="119"/>
      <c r="TVN43" s="119"/>
      <c r="TVO43" s="119"/>
      <c r="TVP43" s="119"/>
      <c r="TVQ43" s="119"/>
      <c r="TVR43" s="119"/>
      <c r="TVS43" s="119"/>
      <c r="TVT43" s="119"/>
      <c r="TVU43" s="119"/>
      <c r="TVV43" s="119"/>
      <c r="TVW43" s="119"/>
      <c r="TVX43" s="119"/>
      <c r="TVY43" s="119"/>
      <c r="TVZ43" s="119"/>
      <c r="TWA43" s="119"/>
      <c r="TWB43" s="119"/>
      <c r="TWC43" s="119"/>
      <c r="TWD43" s="119"/>
      <c r="TWE43" s="119"/>
      <c r="TWF43" s="119"/>
      <c r="TWG43" s="119"/>
      <c r="TWH43" s="119"/>
      <c r="TWI43" s="119"/>
      <c r="TWJ43" s="119"/>
      <c r="TWK43" s="119"/>
      <c r="TWL43" s="119"/>
      <c r="TWM43" s="119"/>
      <c r="TWN43" s="119"/>
      <c r="TWO43" s="119"/>
      <c r="TWP43" s="119"/>
      <c r="TWQ43" s="119"/>
      <c r="TWR43" s="119"/>
      <c r="TWS43" s="119"/>
      <c r="TWT43" s="119"/>
      <c r="TWU43" s="119"/>
      <c r="TWV43" s="119"/>
      <c r="TWW43" s="119"/>
      <c r="TWX43" s="119"/>
      <c r="TWY43" s="119"/>
      <c r="TWZ43" s="119"/>
      <c r="TXA43" s="119"/>
      <c r="TXB43" s="119"/>
      <c r="TXC43" s="119"/>
      <c r="TXD43" s="119"/>
      <c r="TXE43" s="119"/>
      <c r="TXF43" s="119"/>
      <c r="TXG43" s="119"/>
      <c r="TXH43" s="119"/>
      <c r="TXI43" s="119"/>
      <c r="TXJ43" s="119"/>
      <c r="TXK43" s="119"/>
      <c r="TXL43" s="119"/>
      <c r="TXM43" s="119"/>
      <c r="TXN43" s="119"/>
      <c r="TXO43" s="119"/>
      <c r="TXP43" s="119"/>
      <c r="TXQ43" s="119"/>
      <c r="TXR43" s="119"/>
      <c r="TXS43" s="119"/>
      <c r="TXT43" s="119"/>
      <c r="TXU43" s="119"/>
      <c r="TXV43" s="119"/>
      <c r="TXW43" s="119"/>
      <c r="TXX43" s="119"/>
      <c r="TXY43" s="119"/>
      <c r="TXZ43" s="119"/>
      <c r="TYA43" s="119"/>
      <c r="TYB43" s="119"/>
      <c r="TYC43" s="119"/>
      <c r="TYD43" s="119"/>
      <c r="TYE43" s="119"/>
      <c r="TYF43" s="119"/>
      <c r="TYG43" s="119"/>
      <c r="TYH43" s="119"/>
      <c r="TYI43" s="119"/>
      <c r="TYJ43" s="119"/>
      <c r="TYK43" s="119"/>
      <c r="TYL43" s="119"/>
      <c r="TYM43" s="119"/>
      <c r="TYN43" s="119"/>
      <c r="TYO43" s="119"/>
      <c r="TYP43" s="119"/>
      <c r="TYQ43" s="119"/>
      <c r="TYR43" s="119"/>
      <c r="TYS43" s="119"/>
      <c r="TYT43" s="119"/>
      <c r="TYU43" s="119"/>
      <c r="TYV43" s="119"/>
      <c r="TYW43" s="119"/>
      <c r="TYX43" s="119"/>
      <c r="TYY43" s="119"/>
      <c r="TYZ43" s="119"/>
      <c r="TZA43" s="119"/>
      <c r="TZB43" s="119"/>
      <c r="TZC43" s="119"/>
      <c r="TZD43" s="119"/>
      <c r="TZE43" s="119"/>
      <c r="TZF43" s="119"/>
      <c r="TZG43" s="119"/>
      <c r="TZH43" s="119"/>
      <c r="TZI43" s="119"/>
      <c r="TZJ43" s="119"/>
      <c r="TZK43" s="119"/>
      <c r="TZL43" s="119"/>
      <c r="TZM43" s="119"/>
      <c r="TZN43" s="119"/>
      <c r="TZO43" s="119"/>
      <c r="TZP43" s="119"/>
      <c r="TZQ43" s="119"/>
      <c r="TZR43" s="119"/>
      <c r="TZS43" s="119"/>
      <c r="TZT43" s="119"/>
      <c r="TZU43" s="119"/>
      <c r="TZV43" s="119"/>
      <c r="TZW43" s="119"/>
      <c r="TZX43" s="119"/>
      <c r="TZY43" s="119"/>
      <c r="TZZ43" s="119"/>
      <c r="UAA43" s="119"/>
      <c r="UAB43" s="119"/>
      <c r="UAC43" s="119"/>
      <c r="UAD43" s="119"/>
      <c r="UAE43" s="119"/>
      <c r="UAF43" s="119"/>
      <c r="UAG43" s="119"/>
      <c r="UAH43" s="119"/>
      <c r="UAI43" s="119"/>
      <c r="UAJ43" s="119"/>
      <c r="UAK43" s="119"/>
      <c r="UAL43" s="119"/>
      <c r="UAM43" s="119"/>
      <c r="UAN43" s="119"/>
      <c r="UAO43" s="119"/>
      <c r="UAP43" s="119"/>
      <c r="UAQ43" s="119"/>
      <c r="UAR43" s="119"/>
      <c r="UAS43" s="119"/>
      <c r="UAT43" s="119"/>
      <c r="UAU43" s="119"/>
      <c r="UAV43" s="119"/>
      <c r="UAW43" s="119"/>
      <c r="UAX43" s="119"/>
      <c r="UAY43" s="119"/>
      <c r="UAZ43" s="119"/>
      <c r="UBA43" s="119"/>
      <c r="UBB43" s="119"/>
      <c r="UBC43" s="119"/>
      <c r="UBD43" s="119"/>
      <c r="UBE43" s="119"/>
      <c r="UBF43" s="119"/>
      <c r="UBG43" s="119"/>
      <c r="UBH43" s="119"/>
      <c r="UBI43" s="119"/>
      <c r="UBJ43" s="119"/>
      <c r="UBK43" s="119"/>
      <c r="UBL43" s="119"/>
      <c r="UBM43" s="119"/>
      <c r="UBN43" s="119"/>
      <c r="UBO43" s="119"/>
      <c r="UBP43" s="119"/>
      <c r="UBQ43" s="119"/>
      <c r="UBR43" s="119"/>
      <c r="UBS43" s="119"/>
      <c r="UBT43" s="119"/>
      <c r="UBU43" s="119"/>
      <c r="UBV43" s="119"/>
      <c r="UBW43" s="119"/>
      <c r="UBX43" s="119"/>
      <c r="UBY43" s="119"/>
      <c r="UBZ43" s="119"/>
      <c r="UCA43" s="119"/>
      <c r="UCB43" s="119"/>
      <c r="UCC43" s="119"/>
      <c r="UCD43" s="119"/>
      <c r="UCE43" s="119"/>
      <c r="UCF43" s="119"/>
      <c r="UCG43" s="119"/>
      <c r="UCH43" s="119"/>
      <c r="UCI43" s="119"/>
      <c r="UCJ43" s="119"/>
      <c r="UCK43" s="119"/>
      <c r="UCL43" s="119"/>
      <c r="UCM43" s="119"/>
      <c r="UCN43" s="119"/>
      <c r="UCO43" s="119"/>
      <c r="UCP43" s="119"/>
      <c r="UCQ43" s="119"/>
      <c r="UCR43" s="119"/>
      <c r="UCS43" s="119"/>
      <c r="UCT43" s="119"/>
      <c r="UCU43" s="119"/>
      <c r="UCV43" s="119"/>
      <c r="UCW43" s="119"/>
      <c r="UCX43" s="119"/>
      <c r="UCY43" s="119"/>
      <c r="UCZ43" s="119"/>
      <c r="UDA43" s="119"/>
      <c r="UDB43" s="119"/>
      <c r="UDC43" s="119"/>
      <c r="UDD43" s="119"/>
      <c r="UDE43" s="119"/>
      <c r="UDF43" s="119"/>
      <c r="UDG43" s="119"/>
      <c r="UDH43" s="119"/>
      <c r="UDI43" s="119"/>
      <c r="UDJ43" s="119"/>
      <c r="UDK43" s="119"/>
      <c r="UDL43" s="119"/>
      <c r="UDM43" s="119"/>
      <c r="UDN43" s="119"/>
      <c r="UDO43" s="119"/>
      <c r="UDP43" s="119"/>
      <c r="UDQ43" s="119"/>
      <c r="UDR43" s="119"/>
      <c r="UDS43" s="119"/>
      <c r="UDT43" s="119"/>
      <c r="UDU43" s="119"/>
      <c r="UDV43" s="119"/>
      <c r="UDW43" s="119"/>
      <c r="UDX43" s="119"/>
      <c r="UDY43" s="119"/>
      <c r="UDZ43" s="119"/>
      <c r="UEA43" s="119"/>
      <c r="UEB43" s="119"/>
      <c r="UEC43" s="119"/>
      <c r="UED43" s="119"/>
      <c r="UEE43" s="119"/>
      <c r="UEF43" s="119"/>
      <c r="UEG43" s="119"/>
      <c r="UEH43" s="119"/>
      <c r="UEI43" s="119"/>
      <c r="UEJ43" s="119"/>
      <c r="UEK43" s="119"/>
      <c r="UEL43" s="119"/>
      <c r="UEM43" s="119"/>
      <c r="UEN43" s="119"/>
      <c r="UEO43" s="119"/>
      <c r="UEP43" s="119"/>
      <c r="UEQ43" s="119"/>
      <c r="UER43" s="119"/>
      <c r="UES43" s="119"/>
      <c r="UET43" s="119"/>
      <c r="UEU43" s="119"/>
      <c r="UEV43" s="119"/>
      <c r="UEW43" s="119"/>
      <c r="UEX43" s="119"/>
      <c r="UEY43" s="119"/>
      <c r="UEZ43" s="119"/>
      <c r="UFA43" s="119"/>
      <c r="UFB43" s="119"/>
      <c r="UFC43" s="119"/>
      <c r="UFD43" s="119"/>
      <c r="UFE43" s="119"/>
      <c r="UFF43" s="119"/>
      <c r="UFG43" s="119"/>
      <c r="UFH43" s="119"/>
      <c r="UFI43" s="119"/>
      <c r="UFJ43" s="119"/>
      <c r="UFK43" s="119"/>
      <c r="UFL43" s="119"/>
      <c r="UFM43" s="119"/>
      <c r="UFN43" s="119"/>
      <c r="UFO43" s="119"/>
      <c r="UFP43" s="119"/>
      <c r="UFQ43" s="119"/>
      <c r="UFR43" s="119"/>
      <c r="UFS43" s="119"/>
      <c r="UFT43" s="119"/>
      <c r="UFU43" s="119"/>
      <c r="UFV43" s="119"/>
      <c r="UFW43" s="119"/>
      <c r="UFX43" s="119"/>
      <c r="UFY43" s="119"/>
      <c r="UFZ43" s="119"/>
      <c r="UGA43" s="119"/>
      <c r="UGB43" s="119"/>
      <c r="UGC43" s="119"/>
      <c r="UGD43" s="119"/>
      <c r="UGE43" s="119"/>
      <c r="UGF43" s="119"/>
      <c r="UGG43" s="119"/>
      <c r="UGH43" s="119"/>
      <c r="UGI43" s="119"/>
      <c r="UGJ43" s="119"/>
      <c r="UGK43" s="119"/>
      <c r="UGL43" s="119"/>
      <c r="UGM43" s="119"/>
      <c r="UGN43" s="119"/>
      <c r="UGO43" s="119"/>
      <c r="UGP43" s="119"/>
      <c r="UGQ43" s="119"/>
      <c r="UGR43" s="119"/>
      <c r="UGS43" s="119"/>
      <c r="UGT43" s="119"/>
      <c r="UGU43" s="119"/>
      <c r="UGV43" s="119"/>
      <c r="UGW43" s="119"/>
      <c r="UGX43" s="119"/>
      <c r="UGY43" s="119"/>
      <c r="UGZ43" s="119"/>
      <c r="UHA43" s="119"/>
      <c r="UHB43" s="119"/>
      <c r="UHC43" s="119"/>
      <c r="UHD43" s="119"/>
      <c r="UHE43" s="119"/>
      <c r="UHF43" s="119"/>
      <c r="UHG43" s="119"/>
      <c r="UHH43" s="119"/>
      <c r="UHI43" s="119"/>
      <c r="UHJ43" s="119"/>
      <c r="UHK43" s="119"/>
      <c r="UHL43" s="119"/>
      <c r="UHM43" s="119"/>
      <c r="UHN43" s="119"/>
      <c r="UHO43" s="119"/>
      <c r="UHP43" s="119"/>
      <c r="UHQ43" s="119"/>
      <c r="UHR43" s="119"/>
      <c r="UHS43" s="119"/>
      <c r="UHT43" s="119"/>
      <c r="UHU43" s="119"/>
      <c r="UHV43" s="119"/>
      <c r="UHW43" s="119"/>
      <c r="UHX43" s="119"/>
      <c r="UHY43" s="119"/>
      <c r="UHZ43" s="119"/>
      <c r="UIA43" s="119"/>
      <c r="UIB43" s="119"/>
      <c r="UIC43" s="119"/>
      <c r="UID43" s="119"/>
      <c r="UIE43" s="119"/>
      <c r="UIF43" s="119"/>
      <c r="UIG43" s="119"/>
      <c r="UIH43" s="119"/>
      <c r="UII43" s="119"/>
      <c r="UIJ43" s="119"/>
      <c r="UIK43" s="119"/>
      <c r="UIL43" s="119"/>
      <c r="UIM43" s="119"/>
      <c r="UIN43" s="119"/>
      <c r="UIO43" s="119"/>
      <c r="UIP43" s="119"/>
      <c r="UIQ43" s="119"/>
      <c r="UIR43" s="119"/>
      <c r="UIS43" s="119"/>
      <c r="UIT43" s="119"/>
      <c r="UIU43" s="119"/>
      <c r="UIV43" s="119"/>
      <c r="UIW43" s="119"/>
      <c r="UIX43" s="119"/>
      <c r="UIY43" s="119"/>
      <c r="UIZ43" s="119"/>
      <c r="UJA43" s="119"/>
      <c r="UJB43" s="119"/>
      <c r="UJC43" s="119"/>
      <c r="UJD43" s="119"/>
      <c r="UJE43" s="119"/>
      <c r="UJF43" s="119"/>
      <c r="UJG43" s="119"/>
      <c r="UJH43" s="119"/>
      <c r="UJI43" s="119"/>
      <c r="UJJ43" s="119"/>
      <c r="UJK43" s="119"/>
      <c r="UJL43" s="119"/>
      <c r="UJM43" s="119"/>
      <c r="UJN43" s="119"/>
      <c r="UJO43" s="119"/>
      <c r="UJP43" s="119"/>
      <c r="UJQ43" s="119"/>
      <c r="UJR43" s="119"/>
      <c r="UJS43" s="119"/>
      <c r="UJT43" s="119"/>
      <c r="UJU43" s="119"/>
      <c r="UJV43" s="119"/>
      <c r="UJW43" s="119"/>
      <c r="UJX43" s="119"/>
      <c r="UJY43" s="119"/>
      <c r="UJZ43" s="119"/>
      <c r="UKA43" s="119"/>
      <c r="UKB43" s="119"/>
      <c r="UKC43" s="119"/>
      <c r="UKD43" s="119"/>
      <c r="UKE43" s="119"/>
      <c r="UKF43" s="119"/>
      <c r="UKG43" s="119"/>
      <c r="UKH43" s="119"/>
      <c r="UKI43" s="119"/>
      <c r="UKJ43" s="119"/>
      <c r="UKK43" s="119"/>
      <c r="UKL43" s="119"/>
      <c r="UKM43" s="119"/>
      <c r="UKN43" s="119"/>
      <c r="UKO43" s="119"/>
      <c r="UKP43" s="119"/>
      <c r="UKQ43" s="119"/>
      <c r="UKR43" s="119"/>
      <c r="UKS43" s="119"/>
      <c r="UKT43" s="119"/>
      <c r="UKU43" s="119"/>
      <c r="UKV43" s="119"/>
      <c r="UKW43" s="119"/>
      <c r="UKX43" s="119"/>
      <c r="UKY43" s="119"/>
      <c r="UKZ43" s="119"/>
      <c r="ULA43" s="119"/>
      <c r="ULB43" s="119"/>
      <c r="ULC43" s="119"/>
      <c r="ULD43" s="119"/>
      <c r="ULE43" s="119"/>
      <c r="ULF43" s="119"/>
      <c r="ULG43" s="119"/>
      <c r="ULH43" s="119"/>
      <c r="ULI43" s="119"/>
      <c r="ULJ43" s="119"/>
      <c r="ULK43" s="119"/>
      <c r="ULL43" s="119"/>
      <c r="ULM43" s="119"/>
      <c r="ULN43" s="119"/>
      <c r="ULO43" s="119"/>
      <c r="ULP43" s="119"/>
      <c r="ULQ43" s="119"/>
      <c r="ULR43" s="119"/>
      <c r="ULS43" s="119"/>
      <c r="ULT43" s="119"/>
      <c r="ULU43" s="119"/>
      <c r="ULV43" s="119"/>
      <c r="ULW43" s="119"/>
      <c r="ULX43" s="119"/>
      <c r="ULY43" s="119"/>
      <c r="ULZ43" s="119"/>
      <c r="UMA43" s="119"/>
      <c r="UMB43" s="119"/>
      <c r="UMC43" s="119"/>
      <c r="UMD43" s="119"/>
      <c r="UME43" s="119"/>
      <c r="UMF43" s="119"/>
      <c r="UMG43" s="119"/>
      <c r="UMH43" s="119"/>
      <c r="UMI43" s="119"/>
      <c r="UMJ43" s="119"/>
      <c r="UMK43" s="119"/>
      <c r="UML43" s="119"/>
      <c r="UMM43" s="119"/>
      <c r="UMN43" s="119"/>
      <c r="UMO43" s="119"/>
      <c r="UMP43" s="119"/>
      <c r="UMQ43" s="119"/>
      <c r="UMR43" s="119"/>
      <c r="UMS43" s="119"/>
      <c r="UMT43" s="119"/>
      <c r="UMU43" s="119"/>
      <c r="UMV43" s="119"/>
      <c r="UMW43" s="119"/>
      <c r="UMX43" s="119"/>
      <c r="UMY43" s="119"/>
      <c r="UMZ43" s="119"/>
      <c r="UNA43" s="119"/>
      <c r="UNB43" s="119"/>
      <c r="UNC43" s="119"/>
      <c r="UND43" s="119"/>
      <c r="UNE43" s="119"/>
      <c r="UNF43" s="119"/>
      <c r="UNG43" s="119"/>
      <c r="UNH43" s="119"/>
      <c r="UNI43" s="119"/>
      <c r="UNJ43" s="119"/>
      <c r="UNK43" s="119"/>
      <c r="UNL43" s="119"/>
      <c r="UNM43" s="119"/>
      <c r="UNN43" s="119"/>
      <c r="UNO43" s="119"/>
      <c r="UNP43" s="119"/>
      <c r="UNQ43" s="119"/>
      <c r="UNR43" s="119"/>
      <c r="UNS43" s="119"/>
      <c r="UNT43" s="119"/>
      <c r="UNU43" s="119"/>
      <c r="UNV43" s="119"/>
      <c r="UNW43" s="119"/>
      <c r="UNX43" s="119"/>
      <c r="UNY43" s="119"/>
      <c r="UNZ43" s="119"/>
      <c r="UOA43" s="119"/>
      <c r="UOB43" s="119"/>
      <c r="UOC43" s="119"/>
      <c r="UOD43" s="119"/>
      <c r="UOE43" s="119"/>
      <c r="UOF43" s="119"/>
      <c r="UOG43" s="119"/>
      <c r="UOH43" s="119"/>
      <c r="UOI43" s="119"/>
      <c r="UOJ43" s="119"/>
      <c r="UOK43" s="119"/>
      <c r="UOL43" s="119"/>
      <c r="UOM43" s="119"/>
      <c r="UON43" s="119"/>
      <c r="UOO43" s="119"/>
      <c r="UOP43" s="119"/>
      <c r="UOQ43" s="119"/>
      <c r="UOR43" s="119"/>
      <c r="UOS43" s="119"/>
      <c r="UOT43" s="119"/>
      <c r="UOU43" s="119"/>
      <c r="UOV43" s="119"/>
      <c r="UOW43" s="119"/>
      <c r="UOX43" s="119"/>
      <c r="UOY43" s="119"/>
      <c r="UOZ43" s="119"/>
      <c r="UPA43" s="119"/>
      <c r="UPB43" s="119"/>
      <c r="UPC43" s="119"/>
      <c r="UPD43" s="119"/>
      <c r="UPE43" s="119"/>
      <c r="UPF43" s="119"/>
      <c r="UPG43" s="119"/>
      <c r="UPH43" s="119"/>
      <c r="UPI43" s="119"/>
      <c r="UPJ43" s="119"/>
      <c r="UPK43" s="119"/>
      <c r="UPL43" s="119"/>
      <c r="UPM43" s="119"/>
      <c r="UPN43" s="119"/>
      <c r="UPO43" s="119"/>
      <c r="UPP43" s="119"/>
      <c r="UPQ43" s="119"/>
      <c r="UPR43" s="119"/>
      <c r="UPS43" s="119"/>
      <c r="UPT43" s="119"/>
      <c r="UPU43" s="119"/>
      <c r="UPV43" s="119"/>
      <c r="UPW43" s="119"/>
      <c r="UPX43" s="119"/>
      <c r="UPY43" s="119"/>
      <c r="UPZ43" s="119"/>
      <c r="UQA43" s="119"/>
      <c r="UQB43" s="119"/>
      <c r="UQC43" s="119"/>
      <c r="UQD43" s="119"/>
      <c r="UQE43" s="119"/>
      <c r="UQF43" s="119"/>
      <c r="UQG43" s="119"/>
      <c r="UQH43" s="119"/>
      <c r="UQI43" s="119"/>
      <c r="UQJ43" s="119"/>
      <c r="UQK43" s="119"/>
      <c r="UQL43" s="119"/>
      <c r="UQM43" s="119"/>
      <c r="UQN43" s="119"/>
      <c r="UQO43" s="119"/>
      <c r="UQP43" s="119"/>
      <c r="UQQ43" s="119"/>
      <c r="UQR43" s="119"/>
      <c r="UQS43" s="119"/>
      <c r="UQT43" s="119"/>
      <c r="UQU43" s="119"/>
      <c r="UQV43" s="119"/>
      <c r="UQW43" s="119"/>
      <c r="UQX43" s="119"/>
      <c r="UQY43" s="119"/>
      <c r="UQZ43" s="119"/>
      <c r="URA43" s="119"/>
      <c r="URB43" s="119"/>
      <c r="URC43" s="119"/>
      <c r="URD43" s="119"/>
      <c r="URE43" s="119"/>
      <c r="URF43" s="119"/>
      <c r="URG43" s="119"/>
      <c r="URH43" s="119"/>
      <c r="URI43" s="119"/>
      <c r="URJ43" s="119"/>
      <c r="URK43" s="119"/>
      <c r="URL43" s="119"/>
      <c r="URM43" s="119"/>
      <c r="URN43" s="119"/>
      <c r="URO43" s="119"/>
      <c r="URP43" s="119"/>
      <c r="URQ43" s="119"/>
      <c r="URR43" s="119"/>
      <c r="URS43" s="119"/>
      <c r="URT43" s="119"/>
      <c r="URU43" s="119"/>
      <c r="URV43" s="119"/>
      <c r="URW43" s="119"/>
      <c r="URX43" s="119"/>
      <c r="URY43" s="119"/>
      <c r="URZ43" s="119"/>
      <c r="USA43" s="119"/>
      <c r="USB43" s="119"/>
      <c r="USC43" s="119"/>
      <c r="USD43" s="119"/>
      <c r="USE43" s="119"/>
      <c r="USF43" s="119"/>
      <c r="USG43" s="119"/>
      <c r="USH43" s="119"/>
      <c r="USI43" s="119"/>
      <c r="USJ43" s="119"/>
      <c r="USK43" s="119"/>
      <c r="USL43" s="119"/>
      <c r="USM43" s="119"/>
      <c r="USN43" s="119"/>
      <c r="USO43" s="119"/>
      <c r="USP43" s="119"/>
      <c r="USQ43" s="119"/>
      <c r="USR43" s="119"/>
      <c r="USS43" s="119"/>
      <c r="UST43" s="119"/>
      <c r="USU43" s="119"/>
      <c r="USV43" s="119"/>
      <c r="USW43" s="119"/>
      <c r="USX43" s="119"/>
      <c r="USY43" s="119"/>
      <c r="USZ43" s="119"/>
      <c r="UTA43" s="119"/>
      <c r="UTB43" s="119"/>
      <c r="UTC43" s="119"/>
      <c r="UTD43" s="119"/>
      <c r="UTE43" s="119"/>
      <c r="UTF43" s="119"/>
      <c r="UTG43" s="119"/>
      <c r="UTH43" s="119"/>
      <c r="UTI43" s="119"/>
      <c r="UTJ43" s="119"/>
      <c r="UTK43" s="119"/>
      <c r="UTL43" s="119"/>
      <c r="UTM43" s="119"/>
      <c r="UTN43" s="119"/>
      <c r="UTO43" s="119"/>
      <c r="UTP43" s="119"/>
      <c r="UTQ43" s="119"/>
      <c r="UTR43" s="119"/>
      <c r="UTS43" s="119"/>
      <c r="UTT43" s="119"/>
      <c r="UTU43" s="119"/>
      <c r="UTV43" s="119"/>
      <c r="UTW43" s="119"/>
      <c r="UTX43" s="119"/>
      <c r="UTY43" s="119"/>
      <c r="UTZ43" s="119"/>
      <c r="UUA43" s="119"/>
      <c r="UUB43" s="119"/>
      <c r="UUC43" s="119"/>
      <c r="UUD43" s="119"/>
      <c r="UUE43" s="119"/>
      <c r="UUF43" s="119"/>
      <c r="UUG43" s="119"/>
      <c r="UUH43" s="119"/>
      <c r="UUI43" s="119"/>
      <c r="UUJ43" s="119"/>
      <c r="UUK43" s="119"/>
      <c r="UUL43" s="119"/>
      <c r="UUM43" s="119"/>
      <c r="UUN43" s="119"/>
      <c r="UUO43" s="119"/>
      <c r="UUP43" s="119"/>
      <c r="UUQ43" s="119"/>
      <c r="UUR43" s="119"/>
      <c r="UUS43" s="119"/>
      <c r="UUT43" s="119"/>
      <c r="UUU43" s="119"/>
      <c r="UUV43" s="119"/>
      <c r="UUW43" s="119"/>
      <c r="UUX43" s="119"/>
      <c r="UUY43" s="119"/>
      <c r="UUZ43" s="119"/>
      <c r="UVA43" s="119"/>
      <c r="UVB43" s="119"/>
      <c r="UVC43" s="119"/>
      <c r="UVD43" s="119"/>
      <c r="UVE43" s="119"/>
      <c r="UVF43" s="119"/>
      <c r="UVG43" s="119"/>
      <c r="UVH43" s="119"/>
      <c r="UVI43" s="119"/>
      <c r="UVJ43" s="119"/>
      <c r="UVK43" s="119"/>
      <c r="UVL43" s="119"/>
      <c r="UVM43" s="119"/>
      <c r="UVN43" s="119"/>
      <c r="UVO43" s="119"/>
      <c r="UVP43" s="119"/>
      <c r="UVQ43" s="119"/>
      <c r="UVR43" s="119"/>
      <c r="UVS43" s="119"/>
      <c r="UVT43" s="119"/>
      <c r="UVU43" s="119"/>
      <c r="UVV43" s="119"/>
      <c r="UVW43" s="119"/>
      <c r="UVX43" s="119"/>
      <c r="UVY43" s="119"/>
      <c r="UVZ43" s="119"/>
      <c r="UWA43" s="119"/>
      <c r="UWB43" s="119"/>
      <c r="UWC43" s="119"/>
      <c r="UWD43" s="119"/>
      <c r="UWE43" s="119"/>
      <c r="UWF43" s="119"/>
      <c r="UWG43" s="119"/>
      <c r="UWH43" s="119"/>
      <c r="UWI43" s="119"/>
      <c r="UWJ43" s="119"/>
      <c r="UWK43" s="119"/>
      <c r="UWL43" s="119"/>
      <c r="UWM43" s="119"/>
      <c r="UWN43" s="119"/>
      <c r="UWO43" s="119"/>
      <c r="UWP43" s="119"/>
      <c r="UWQ43" s="119"/>
      <c r="UWR43" s="119"/>
      <c r="UWS43" s="119"/>
      <c r="UWT43" s="119"/>
      <c r="UWU43" s="119"/>
      <c r="UWV43" s="119"/>
      <c r="UWW43" s="119"/>
      <c r="UWX43" s="119"/>
      <c r="UWY43" s="119"/>
      <c r="UWZ43" s="119"/>
      <c r="UXA43" s="119"/>
      <c r="UXB43" s="119"/>
      <c r="UXC43" s="119"/>
      <c r="UXD43" s="119"/>
      <c r="UXE43" s="119"/>
      <c r="UXF43" s="119"/>
      <c r="UXG43" s="119"/>
      <c r="UXH43" s="119"/>
      <c r="UXI43" s="119"/>
      <c r="UXJ43" s="119"/>
      <c r="UXK43" s="119"/>
      <c r="UXL43" s="119"/>
      <c r="UXM43" s="119"/>
      <c r="UXN43" s="119"/>
      <c r="UXO43" s="119"/>
      <c r="UXP43" s="119"/>
      <c r="UXQ43" s="119"/>
      <c r="UXR43" s="119"/>
      <c r="UXS43" s="119"/>
      <c r="UXT43" s="119"/>
      <c r="UXU43" s="119"/>
      <c r="UXV43" s="119"/>
      <c r="UXW43" s="119"/>
      <c r="UXX43" s="119"/>
      <c r="UXY43" s="119"/>
      <c r="UXZ43" s="119"/>
      <c r="UYA43" s="119"/>
      <c r="UYB43" s="119"/>
      <c r="UYC43" s="119"/>
      <c r="UYD43" s="119"/>
      <c r="UYE43" s="119"/>
      <c r="UYF43" s="119"/>
      <c r="UYG43" s="119"/>
      <c r="UYH43" s="119"/>
      <c r="UYI43" s="119"/>
      <c r="UYJ43" s="119"/>
      <c r="UYK43" s="119"/>
      <c r="UYL43" s="119"/>
      <c r="UYM43" s="119"/>
      <c r="UYN43" s="119"/>
      <c r="UYO43" s="119"/>
      <c r="UYP43" s="119"/>
      <c r="UYQ43" s="119"/>
      <c r="UYR43" s="119"/>
      <c r="UYS43" s="119"/>
      <c r="UYT43" s="119"/>
      <c r="UYU43" s="119"/>
      <c r="UYV43" s="119"/>
      <c r="UYW43" s="119"/>
      <c r="UYX43" s="119"/>
      <c r="UYY43" s="119"/>
      <c r="UYZ43" s="119"/>
      <c r="UZA43" s="119"/>
      <c r="UZB43" s="119"/>
      <c r="UZC43" s="119"/>
      <c r="UZD43" s="119"/>
      <c r="UZE43" s="119"/>
      <c r="UZF43" s="119"/>
      <c r="UZG43" s="119"/>
      <c r="UZH43" s="119"/>
      <c r="UZI43" s="119"/>
      <c r="UZJ43" s="119"/>
      <c r="UZK43" s="119"/>
      <c r="UZL43" s="119"/>
      <c r="UZM43" s="119"/>
      <c r="UZN43" s="119"/>
      <c r="UZO43" s="119"/>
      <c r="UZP43" s="119"/>
      <c r="UZQ43" s="119"/>
      <c r="UZR43" s="119"/>
      <c r="UZS43" s="119"/>
      <c r="UZT43" s="119"/>
      <c r="UZU43" s="119"/>
      <c r="UZV43" s="119"/>
      <c r="UZW43" s="119"/>
      <c r="UZX43" s="119"/>
      <c r="UZY43" s="119"/>
      <c r="UZZ43" s="119"/>
      <c r="VAA43" s="119"/>
      <c r="VAB43" s="119"/>
      <c r="VAC43" s="119"/>
      <c r="VAD43" s="119"/>
      <c r="VAE43" s="119"/>
      <c r="VAF43" s="119"/>
      <c r="VAG43" s="119"/>
      <c r="VAH43" s="119"/>
      <c r="VAI43" s="119"/>
      <c r="VAJ43" s="119"/>
      <c r="VAK43" s="119"/>
      <c r="VAL43" s="119"/>
      <c r="VAM43" s="119"/>
      <c r="VAN43" s="119"/>
      <c r="VAO43" s="119"/>
      <c r="VAP43" s="119"/>
      <c r="VAQ43" s="119"/>
      <c r="VAR43" s="119"/>
      <c r="VAS43" s="119"/>
      <c r="VAT43" s="119"/>
      <c r="VAU43" s="119"/>
      <c r="VAV43" s="119"/>
      <c r="VAW43" s="119"/>
      <c r="VAX43" s="119"/>
      <c r="VAY43" s="119"/>
      <c r="VAZ43" s="119"/>
      <c r="VBA43" s="119"/>
      <c r="VBB43" s="119"/>
      <c r="VBC43" s="119"/>
      <c r="VBD43" s="119"/>
      <c r="VBE43" s="119"/>
      <c r="VBF43" s="119"/>
      <c r="VBG43" s="119"/>
      <c r="VBH43" s="119"/>
      <c r="VBI43" s="119"/>
      <c r="VBJ43" s="119"/>
      <c r="VBK43" s="119"/>
      <c r="VBL43" s="119"/>
      <c r="VBM43" s="119"/>
      <c r="VBN43" s="119"/>
      <c r="VBO43" s="119"/>
      <c r="VBP43" s="119"/>
      <c r="VBQ43" s="119"/>
      <c r="VBR43" s="119"/>
      <c r="VBS43" s="119"/>
      <c r="VBT43" s="119"/>
      <c r="VBU43" s="119"/>
      <c r="VBV43" s="119"/>
      <c r="VBW43" s="119"/>
      <c r="VBX43" s="119"/>
      <c r="VBY43" s="119"/>
      <c r="VBZ43" s="119"/>
      <c r="VCA43" s="119"/>
      <c r="VCB43" s="119"/>
      <c r="VCC43" s="119"/>
      <c r="VCD43" s="119"/>
      <c r="VCE43" s="119"/>
      <c r="VCF43" s="119"/>
      <c r="VCG43" s="119"/>
      <c r="VCH43" s="119"/>
      <c r="VCI43" s="119"/>
      <c r="VCJ43" s="119"/>
      <c r="VCK43" s="119"/>
      <c r="VCL43" s="119"/>
      <c r="VCM43" s="119"/>
      <c r="VCN43" s="119"/>
      <c r="VCO43" s="119"/>
      <c r="VCP43" s="119"/>
      <c r="VCQ43" s="119"/>
      <c r="VCR43" s="119"/>
      <c r="VCS43" s="119"/>
      <c r="VCT43" s="119"/>
      <c r="VCU43" s="119"/>
      <c r="VCV43" s="119"/>
      <c r="VCW43" s="119"/>
      <c r="VCX43" s="119"/>
      <c r="VCY43" s="119"/>
      <c r="VCZ43" s="119"/>
      <c r="VDA43" s="119"/>
      <c r="VDB43" s="119"/>
      <c r="VDC43" s="119"/>
      <c r="VDD43" s="119"/>
      <c r="VDE43" s="119"/>
      <c r="VDF43" s="119"/>
      <c r="VDG43" s="119"/>
      <c r="VDH43" s="119"/>
      <c r="VDI43" s="119"/>
      <c r="VDJ43" s="119"/>
      <c r="VDK43" s="119"/>
      <c r="VDL43" s="119"/>
      <c r="VDM43" s="119"/>
      <c r="VDN43" s="119"/>
      <c r="VDO43" s="119"/>
      <c r="VDP43" s="119"/>
      <c r="VDQ43" s="119"/>
      <c r="VDR43" s="119"/>
      <c r="VDS43" s="119"/>
      <c r="VDT43" s="119"/>
      <c r="VDU43" s="119"/>
      <c r="VDV43" s="119"/>
      <c r="VDW43" s="119"/>
      <c r="VDX43" s="119"/>
      <c r="VDY43" s="119"/>
      <c r="VDZ43" s="119"/>
      <c r="VEA43" s="119"/>
      <c r="VEB43" s="119"/>
      <c r="VEC43" s="119"/>
      <c r="VED43" s="119"/>
      <c r="VEE43" s="119"/>
      <c r="VEF43" s="119"/>
      <c r="VEG43" s="119"/>
      <c r="VEH43" s="119"/>
      <c r="VEI43" s="119"/>
      <c r="VEJ43" s="119"/>
      <c r="VEK43" s="119"/>
      <c r="VEL43" s="119"/>
      <c r="VEM43" s="119"/>
      <c r="VEN43" s="119"/>
      <c r="VEO43" s="119"/>
      <c r="VEP43" s="119"/>
      <c r="VEQ43" s="119"/>
      <c r="VER43" s="119"/>
      <c r="VES43" s="119"/>
      <c r="VET43" s="119"/>
      <c r="VEU43" s="119"/>
      <c r="VEV43" s="119"/>
      <c r="VEW43" s="119"/>
      <c r="VEX43" s="119"/>
      <c r="VEY43" s="119"/>
      <c r="VEZ43" s="119"/>
      <c r="VFA43" s="119"/>
      <c r="VFB43" s="119"/>
      <c r="VFC43" s="119"/>
      <c r="VFD43" s="119"/>
      <c r="VFE43" s="119"/>
      <c r="VFF43" s="119"/>
      <c r="VFG43" s="119"/>
      <c r="VFH43" s="119"/>
      <c r="VFI43" s="119"/>
      <c r="VFJ43" s="119"/>
      <c r="VFK43" s="119"/>
      <c r="VFL43" s="119"/>
      <c r="VFM43" s="119"/>
      <c r="VFN43" s="119"/>
      <c r="VFO43" s="119"/>
      <c r="VFP43" s="119"/>
      <c r="VFQ43" s="119"/>
      <c r="VFR43" s="119"/>
      <c r="VFS43" s="119"/>
      <c r="VFT43" s="119"/>
      <c r="VFU43" s="119"/>
      <c r="VFV43" s="119"/>
      <c r="VFW43" s="119"/>
      <c r="VFX43" s="119"/>
      <c r="VFY43" s="119"/>
      <c r="VFZ43" s="119"/>
      <c r="VGA43" s="119"/>
      <c r="VGB43" s="119"/>
      <c r="VGC43" s="119"/>
      <c r="VGD43" s="119"/>
      <c r="VGE43" s="119"/>
      <c r="VGF43" s="119"/>
      <c r="VGG43" s="119"/>
      <c r="VGH43" s="119"/>
      <c r="VGI43" s="119"/>
      <c r="VGJ43" s="119"/>
      <c r="VGK43" s="119"/>
      <c r="VGL43" s="119"/>
      <c r="VGM43" s="119"/>
      <c r="VGN43" s="119"/>
      <c r="VGO43" s="119"/>
      <c r="VGP43" s="119"/>
      <c r="VGQ43" s="119"/>
      <c r="VGR43" s="119"/>
      <c r="VGS43" s="119"/>
      <c r="VGT43" s="119"/>
      <c r="VGU43" s="119"/>
      <c r="VGV43" s="119"/>
      <c r="VGW43" s="119"/>
      <c r="VGX43" s="119"/>
      <c r="VGY43" s="119"/>
      <c r="VGZ43" s="119"/>
      <c r="VHA43" s="119"/>
      <c r="VHB43" s="119"/>
      <c r="VHC43" s="119"/>
      <c r="VHD43" s="119"/>
      <c r="VHE43" s="119"/>
      <c r="VHF43" s="119"/>
      <c r="VHG43" s="119"/>
      <c r="VHH43" s="119"/>
      <c r="VHI43" s="119"/>
      <c r="VHJ43" s="119"/>
      <c r="VHK43" s="119"/>
      <c r="VHL43" s="119"/>
      <c r="VHM43" s="119"/>
      <c r="VHN43" s="119"/>
      <c r="VHO43" s="119"/>
      <c r="VHP43" s="119"/>
      <c r="VHQ43" s="119"/>
      <c r="VHR43" s="119"/>
      <c r="VHS43" s="119"/>
      <c r="VHT43" s="119"/>
      <c r="VHU43" s="119"/>
      <c r="VHV43" s="119"/>
      <c r="VHW43" s="119"/>
      <c r="VHX43" s="119"/>
      <c r="VHY43" s="119"/>
      <c r="VHZ43" s="119"/>
      <c r="VIA43" s="119"/>
      <c r="VIB43" s="119"/>
      <c r="VIC43" s="119"/>
      <c r="VID43" s="119"/>
      <c r="VIE43" s="119"/>
      <c r="VIF43" s="119"/>
      <c r="VIG43" s="119"/>
      <c r="VIH43" s="119"/>
      <c r="VII43" s="119"/>
      <c r="VIJ43" s="119"/>
      <c r="VIK43" s="119"/>
      <c r="VIL43" s="119"/>
      <c r="VIM43" s="119"/>
      <c r="VIN43" s="119"/>
      <c r="VIO43" s="119"/>
      <c r="VIP43" s="119"/>
      <c r="VIQ43" s="119"/>
      <c r="VIR43" s="119"/>
      <c r="VIS43" s="119"/>
      <c r="VIT43" s="119"/>
      <c r="VIU43" s="119"/>
      <c r="VIV43" s="119"/>
      <c r="VIW43" s="119"/>
      <c r="VIX43" s="119"/>
      <c r="VIY43" s="119"/>
      <c r="VIZ43" s="119"/>
      <c r="VJA43" s="119"/>
      <c r="VJB43" s="119"/>
      <c r="VJC43" s="119"/>
      <c r="VJD43" s="119"/>
      <c r="VJE43" s="119"/>
      <c r="VJF43" s="119"/>
      <c r="VJG43" s="119"/>
      <c r="VJH43" s="119"/>
      <c r="VJI43" s="119"/>
      <c r="VJJ43" s="119"/>
      <c r="VJK43" s="119"/>
      <c r="VJL43" s="119"/>
      <c r="VJM43" s="119"/>
      <c r="VJN43" s="119"/>
      <c r="VJO43" s="119"/>
      <c r="VJP43" s="119"/>
      <c r="VJQ43" s="119"/>
      <c r="VJR43" s="119"/>
      <c r="VJS43" s="119"/>
      <c r="VJT43" s="119"/>
      <c r="VJU43" s="119"/>
      <c r="VJV43" s="119"/>
      <c r="VJW43" s="119"/>
      <c r="VJX43" s="119"/>
      <c r="VJY43" s="119"/>
      <c r="VJZ43" s="119"/>
      <c r="VKA43" s="119"/>
      <c r="VKB43" s="119"/>
      <c r="VKC43" s="119"/>
      <c r="VKD43" s="119"/>
      <c r="VKE43" s="119"/>
      <c r="VKF43" s="119"/>
      <c r="VKG43" s="119"/>
      <c r="VKH43" s="119"/>
      <c r="VKI43" s="119"/>
      <c r="VKJ43" s="119"/>
      <c r="VKK43" s="119"/>
      <c r="VKL43" s="119"/>
      <c r="VKM43" s="119"/>
      <c r="VKN43" s="119"/>
      <c r="VKO43" s="119"/>
      <c r="VKP43" s="119"/>
      <c r="VKQ43" s="119"/>
      <c r="VKR43" s="119"/>
      <c r="VKS43" s="119"/>
      <c r="VKT43" s="119"/>
      <c r="VKU43" s="119"/>
      <c r="VKV43" s="119"/>
      <c r="VKW43" s="119"/>
      <c r="VKX43" s="119"/>
      <c r="VKY43" s="119"/>
      <c r="VKZ43" s="119"/>
      <c r="VLA43" s="119"/>
      <c r="VLB43" s="119"/>
      <c r="VLC43" s="119"/>
      <c r="VLD43" s="119"/>
      <c r="VLE43" s="119"/>
      <c r="VLF43" s="119"/>
      <c r="VLG43" s="119"/>
      <c r="VLH43" s="119"/>
      <c r="VLI43" s="119"/>
      <c r="VLJ43" s="119"/>
      <c r="VLK43" s="119"/>
      <c r="VLL43" s="119"/>
      <c r="VLM43" s="119"/>
      <c r="VLN43" s="119"/>
      <c r="VLO43" s="119"/>
      <c r="VLP43" s="119"/>
      <c r="VLQ43" s="119"/>
      <c r="VLR43" s="119"/>
      <c r="VLS43" s="119"/>
      <c r="VLT43" s="119"/>
      <c r="VLU43" s="119"/>
      <c r="VLV43" s="119"/>
      <c r="VLW43" s="119"/>
      <c r="VLX43" s="119"/>
      <c r="VLY43" s="119"/>
      <c r="VLZ43" s="119"/>
      <c r="VMA43" s="119"/>
      <c r="VMB43" s="119"/>
      <c r="VMC43" s="119"/>
      <c r="VMD43" s="119"/>
      <c r="VME43" s="119"/>
      <c r="VMF43" s="119"/>
      <c r="VMG43" s="119"/>
      <c r="VMH43" s="119"/>
      <c r="VMI43" s="119"/>
      <c r="VMJ43" s="119"/>
      <c r="VMK43" s="119"/>
      <c r="VML43" s="119"/>
      <c r="VMM43" s="119"/>
      <c r="VMN43" s="119"/>
      <c r="VMO43" s="119"/>
      <c r="VMP43" s="119"/>
      <c r="VMQ43" s="119"/>
      <c r="VMR43" s="119"/>
      <c r="VMS43" s="119"/>
      <c r="VMT43" s="119"/>
      <c r="VMU43" s="119"/>
      <c r="VMV43" s="119"/>
      <c r="VMW43" s="119"/>
      <c r="VMX43" s="119"/>
      <c r="VMY43" s="119"/>
      <c r="VMZ43" s="119"/>
      <c r="VNA43" s="119"/>
      <c r="VNB43" s="119"/>
      <c r="VNC43" s="119"/>
      <c r="VND43" s="119"/>
      <c r="VNE43" s="119"/>
      <c r="VNF43" s="119"/>
      <c r="VNG43" s="119"/>
      <c r="VNH43" s="119"/>
      <c r="VNI43" s="119"/>
      <c r="VNJ43" s="119"/>
      <c r="VNK43" s="119"/>
      <c r="VNL43" s="119"/>
      <c r="VNM43" s="119"/>
      <c r="VNN43" s="119"/>
      <c r="VNO43" s="119"/>
      <c r="VNP43" s="119"/>
      <c r="VNQ43" s="119"/>
      <c r="VNR43" s="119"/>
      <c r="VNS43" s="119"/>
      <c r="VNT43" s="119"/>
      <c r="VNU43" s="119"/>
      <c r="VNV43" s="119"/>
      <c r="VNW43" s="119"/>
      <c r="VNX43" s="119"/>
      <c r="VNY43" s="119"/>
      <c r="VNZ43" s="119"/>
      <c r="VOA43" s="119"/>
      <c r="VOB43" s="119"/>
      <c r="VOC43" s="119"/>
      <c r="VOD43" s="119"/>
      <c r="VOE43" s="119"/>
      <c r="VOF43" s="119"/>
      <c r="VOG43" s="119"/>
      <c r="VOH43" s="119"/>
      <c r="VOI43" s="119"/>
      <c r="VOJ43" s="119"/>
      <c r="VOK43" s="119"/>
      <c r="VOL43" s="119"/>
      <c r="VOM43" s="119"/>
      <c r="VON43" s="119"/>
      <c r="VOO43" s="119"/>
      <c r="VOP43" s="119"/>
      <c r="VOQ43" s="119"/>
      <c r="VOR43" s="119"/>
      <c r="VOS43" s="119"/>
      <c r="VOT43" s="119"/>
      <c r="VOU43" s="119"/>
      <c r="VOV43" s="119"/>
      <c r="VOW43" s="119"/>
      <c r="VOX43" s="119"/>
      <c r="VOY43" s="119"/>
      <c r="VOZ43" s="119"/>
      <c r="VPA43" s="119"/>
      <c r="VPB43" s="119"/>
      <c r="VPC43" s="119"/>
      <c r="VPD43" s="119"/>
      <c r="VPE43" s="119"/>
      <c r="VPF43" s="119"/>
      <c r="VPG43" s="119"/>
      <c r="VPH43" s="119"/>
      <c r="VPI43" s="119"/>
      <c r="VPJ43" s="119"/>
      <c r="VPK43" s="119"/>
      <c r="VPL43" s="119"/>
      <c r="VPM43" s="119"/>
      <c r="VPN43" s="119"/>
      <c r="VPO43" s="119"/>
      <c r="VPP43" s="119"/>
      <c r="VPQ43" s="119"/>
      <c r="VPR43" s="119"/>
      <c r="VPS43" s="119"/>
      <c r="VPT43" s="119"/>
      <c r="VPU43" s="119"/>
      <c r="VPV43" s="119"/>
      <c r="VPW43" s="119"/>
      <c r="VPX43" s="119"/>
      <c r="VPY43" s="119"/>
      <c r="VPZ43" s="119"/>
      <c r="VQA43" s="119"/>
      <c r="VQB43" s="119"/>
      <c r="VQC43" s="119"/>
      <c r="VQD43" s="119"/>
      <c r="VQE43" s="119"/>
      <c r="VQF43" s="119"/>
      <c r="VQG43" s="119"/>
      <c r="VQH43" s="119"/>
      <c r="VQI43" s="119"/>
      <c r="VQJ43" s="119"/>
      <c r="VQK43" s="119"/>
      <c r="VQL43" s="119"/>
      <c r="VQM43" s="119"/>
      <c r="VQN43" s="119"/>
      <c r="VQO43" s="119"/>
      <c r="VQP43" s="119"/>
      <c r="VQQ43" s="119"/>
      <c r="VQR43" s="119"/>
      <c r="VQS43" s="119"/>
      <c r="VQT43" s="119"/>
      <c r="VQU43" s="119"/>
      <c r="VQV43" s="119"/>
      <c r="VQW43" s="119"/>
      <c r="VQX43" s="119"/>
      <c r="VQY43" s="119"/>
      <c r="VQZ43" s="119"/>
      <c r="VRA43" s="119"/>
      <c r="VRB43" s="119"/>
      <c r="VRC43" s="119"/>
      <c r="VRD43" s="119"/>
      <c r="VRE43" s="119"/>
      <c r="VRF43" s="119"/>
      <c r="VRG43" s="119"/>
      <c r="VRH43" s="119"/>
      <c r="VRI43" s="119"/>
      <c r="VRJ43" s="119"/>
      <c r="VRK43" s="119"/>
      <c r="VRL43" s="119"/>
      <c r="VRM43" s="119"/>
      <c r="VRN43" s="119"/>
      <c r="VRO43" s="119"/>
      <c r="VRP43" s="119"/>
      <c r="VRQ43" s="119"/>
      <c r="VRR43" s="119"/>
      <c r="VRS43" s="119"/>
      <c r="VRT43" s="119"/>
      <c r="VRU43" s="119"/>
      <c r="VRV43" s="119"/>
      <c r="VRW43" s="119"/>
      <c r="VRX43" s="119"/>
      <c r="VRY43" s="119"/>
      <c r="VRZ43" s="119"/>
      <c r="VSA43" s="119"/>
      <c r="VSB43" s="119"/>
      <c r="VSC43" s="119"/>
      <c r="VSD43" s="119"/>
      <c r="VSE43" s="119"/>
      <c r="VSF43" s="119"/>
      <c r="VSG43" s="119"/>
      <c r="VSH43" s="119"/>
      <c r="VSI43" s="119"/>
      <c r="VSJ43" s="119"/>
      <c r="VSK43" s="119"/>
      <c r="VSL43" s="119"/>
      <c r="VSM43" s="119"/>
      <c r="VSN43" s="119"/>
      <c r="VSO43" s="119"/>
      <c r="VSP43" s="119"/>
      <c r="VSQ43" s="119"/>
      <c r="VSR43" s="119"/>
      <c r="VSS43" s="119"/>
      <c r="VST43" s="119"/>
      <c r="VSU43" s="119"/>
      <c r="VSV43" s="119"/>
      <c r="VSW43" s="119"/>
      <c r="VSX43" s="119"/>
      <c r="VSY43" s="119"/>
      <c r="VSZ43" s="119"/>
      <c r="VTA43" s="119"/>
      <c r="VTB43" s="119"/>
      <c r="VTC43" s="119"/>
      <c r="VTD43" s="119"/>
      <c r="VTE43" s="119"/>
      <c r="VTF43" s="119"/>
      <c r="VTG43" s="119"/>
      <c r="VTH43" s="119"/>
      <c r="VTI43" s="119"/>
      <c r="VTJ43" s="119"/>
      <c r="VTK43" s="119"/>
      <c r="VTL43" s="119"/>
      <c r="VTM43" s="119"/>
      <c r="VTN43" s="119"/>
      <c r="VTO43" s="119"/>
      <c r="VTP43" s="119"/>
      <c r="VTQ43" s="119"/>
      <c r="VTR43" s="119"/>
      <c r="VTS43" s="119"/>
      <c r="VTT43" s="119"/>
      <c r="VTU43" s="119"/>
      <c r="VTV43" s="119"/>
      <c r="VTW43" s="119"/>
      <c r="VTX43" s="119"/>
      <c r="VTY43" s="119"/>
      <c r="VTZ43" s="119"/>
      <c r="VUA43" s="119"/>
      <c r="VUB43" s="119"/>
      <c r="VUC43" s="119"/>
      <c r="VUD43" s="119"/>
      <c r="VUE43" s="119"/>
      <c r="VUF43" s="119"/>
      <c r="VUG43" s="119"/>
      <c r="VUH43" s="119"/>
      <c r="VUI43" s="119"/>
      <c r="VUJ43" s="119"/>
      <c r="VUK43" s="119"/>
      <c r="VUL43" s="119"/>
      <c r="VUM43" s="119"/>
      <c r="VUN43" s="119"/>
      <c r="VUO43" s="119"/>
      <c r="VUP43" s="119"/>
      <c r="VUQ43" s="119"/>
      <c r="VUR43" s="119"/>
      <c r="VUS43" s="119"/>
      <c r="VUT43" s="119"/>
      <c r="VUU43" s="119"/>
      <c r="VUV43" s="119"/>
      <c r="VUW43" s="119"/>
      <c r="VUX43" s="119"/>
      <c r="VUY43" s="119"/>
      <c r="VUZ43" s="119"/>
      <c r="VVA43" s="119"/>
      <c r="VVB43" s="119"/>
      <c r="VVC43" s="119"/>
      <c r="VVD43" s="119"/>
      <c r="VVE43" s="119"/>
      <c r="VVF43" s="119"/>
      <c r="VVG43" s="119"/>
      <c r="VVH43" s="119"/>
      <c r="VVI43" s="119"/>
      <c r="VVJ43" s="119"/>
      <c r="VVK43" s="119"/>
      <c r="VVL43" s="119"/>
      <c r="VVM43" s="119"/>
      <c r="VVN43" s="119"/>
      <c r="VVO43" s="119"/>
      <c r="VVP43" s="119"/>
      <c r="VVQ43" s="119"/>
      <c r="VVR43" s="119"/>
      <c r="VVS43" s="119"/>
      <c r="VVT43" s="119"/>
      <c r="VVU43" s="119"/>
      <c r="VVV43" s="119"/>
      <c r="VVW43" s="119"/>
      <c r="VVX43" s="119"/>
      <c r="VVY43" s="119"/>
      <c r="VVZ43" s="119"/>
      <c r="VWA43" s="119"/>
      <c r="VWB43" s="119"/>
      <c r="VWC43" s="119"/>
      <c r="VWD43" s="119"/>
      <c r="VWE43" s="119"/>
      <c r="VWF43" s="119"/>
      <c r="VWG43" s="119"/>
      <c r="VWH43" s="119"/>
      <c r="VWI43" s="119"/>
      <c r="VWJ43" s="119"/>
      <c r="VWK43" s="119"/>
      <c r="VWL43" s="119"/>
      <c r="VWM43" s="119"/>
      <c r="VWN43" s="119"/>
      <c r="VWO43" s="119"/>
      <c r="VWP43" s="119"/>
      <c r="VWQ43" s="119"/>
      <c r="VWR43" s="119"/>
      <c r="VWS43" s="119"/>
      <c r="VWT43" s="119"/>
      <c r="VWU43" s="119"/>
      <c r="VWV43" s="119"/>
      <c r="VWW43" s="119"/>
      <c r="VWX43" s="119"/>
      <c r="VWY43" s="119"/>
      <c r="VWZ43" s="119"/>
      <c r="VXA43" s="119"/>
      <c r="VXB43" s="119"/>
      <c r="VXC43" s="119"/>
      <c r="VXD43" s="119"/>
      <c r="VXE43" s="119"/>
      <c r="VXF43" s="119"/>
      <c r="VXG43" s="119"/>
      <c r="VXH43" s="119"/>
      <c r="VXI43" s="119"/>
      <c r="VXJ43" s="119"/>
      <c r="VXK43" s="119"/>
      <c r="VXL43" s="119"/>
      <c r="VXM43" s="119"/>
      <c r="VXN43" s="119"/>
      <c r="VXO43" s="119"/>
      <c r="VXP43" s="119"/>
      <c r="VXQ43" s="119"/>
      <c r="VXR43" s="119"/>
      <c r="VXS43" s="119"/>
      <c r="VXT43" s="119"/>
      <c r="VXU43" s="119"/>
      <c r="VXV43" s="119"/>
      <c r="VXW43" s="119"/>
      <c r="VXX43" s="119"/>
      <c r="VXY43" s="119"/>
      <c r="VXZ43" s="119"/>
      <c r="VYA43" s="119"/>
      <c r="VYB43" s="119"/>
      <c r="VYC43" s="119"/>
      <c r="VYD43" s="119"/>
      <c r="VYE43" s="119"/>
      <c r="VYF43" s="119"/>
      <c r="VYG43" s="119"/>
      <c r="VYH43" s="119"/>
      <c r="VYI43" s="119"/>
      <c r="VYJ43" s="119"/>
      <c r="VYK43" s="119"/>
      <c r="VYL43" s="119"/>
      <c r="VYM43" s="119"/>
      <c r="VYN43" s="119"/>
      <c r="VYO43" s="119"/>
      <c r="VYP43" s="119"/>
      <c r="VYQ43" s="119"/>
      <c r="VYR43" s="119"/>
      <c r="VYS43" s="119"/>
      <c r="VYT43" s="119"/>
      <c r="VYU43" s="119"/>
      <c r="VYV43" s="119"/>
      <c r="VYW43" s="119"/>
      <c r="VYX43" s="119"/>
      <c r="VYY43" s="119"/>
      <c r="VYZ43" s="119"/>
      <c r="VZA43" s="119"/>
      <c r="VZB43" s="119"/>
      <c r="VZC43" s="119"/>
      <c r="VZD43" s="119"/>
      <c r="VZE43" s="119"/>
      <c r="VZF43" s="119"/>
      <c r="VZG43" s="119"/>
      <c r="VZH43" s="119"/>
      <c r="VZI43" s="119"/>
      <c r="VZJ43" s="119"/>
      <c r="VZK43" s="119"/>
      <c r="VZL43" s="119"/>
      <c r="VZM43" s="119"/>
      <c r="VZN43" s="119"/>
      <c r="VZO43" s="119"/>
      <c r="VZP43" s="119"/>
      <c r="VZQ43" s="119"/>
      <c r="VZR43" s="119"/>
      <c r="VZS43" s="119"/>
      <c r="VZT43" s="119"/>
      <c r="VZU43" s="119"/>
      <c r="VZV43" s="119"/>
      <c r="VZW43" s="119"/>
      <c r="VZX43" s="119"/>
      <c r="VZY43" s="119"/>
      <c r="VZZ43" s="119"/>
      <c r="WAA43" s="119"/>
      <c r="WAB43" s="119"/>
      <c r="WAC43" s="119"/>
      <c r="WAD43" s="119"/>
      <c r="WAE43" s="119"/>
      <c r="WAF43" s="119"/>
      <c r="WAG43" s="119"/>
      <c r="WAH43" s="119"/>
      <c r="WAI43" s="119"/>
      <c r="WAJ43" s="119"/>
      <c r="WAK43" s="119"/>
      <c r="WAL43" s="119"/>
      <c r="WAM43" s="119"/>
      <c r="WAN43" s="119"/>
      <c r="WAO43" s="119"/>
      <c r="WAP43" s="119"/>
      <c r="WAQ43" s="119"/>
      <c r="WAR43" s="119"/>
      <c r="WAS43" s="119"/>
      <c r="WAT43" s="119"/>
      <c r="WAU43" s="119"/>
      <c r="WAV43" s="119"/>
      <c r="WAW43" s="119"/>
      <c r="WAX43" s="119"/>
      <c r="WAY43" s="119"/>
      <c r="WAZ43" s="119"/>
      <c r="WBA43" s="119"/>
      <c r="WBB43" s="119"/>
      <c r="WBC43" s="119"/>
      <c r="WBD43" s="119"/>
      <c r="WBE43" s="119"/>
      <c r="WBF43" s="119"/>
      <c r="WBG43" s="119"/>
      <c r="WBH43" s="119"/>
      <c r="WBI43" s="119"/>
      <c r="WBJ43" s="119"/>
      <c r="WBK43" s="119"/>
      <c r="WBL43" s="119"/>
      <c r="WBM43" s="119"/>
      <c r="WBN43" s="119"/>
      <c r="WBO43" s="119"/>
      <c r="WBP43" s="119"/>
      <c r="WBQ43" s="119"/>
      <c r="WBR43" s="119"/>
      <c r="WBS43" s="119"/>
      <c r="WBT43" s="119"/>
      <c r="WBU43" s="119"/>
      <c r="WBV43" s="119"/>
      <c r="WBW43" s="119"/>
      <c r="WBX43" s="119"/>
      <c r="WBY43" s="119"/>
      <c r="WBZ43" s="119"/>
      <c r="WCA43" s="119"/>
      <c r="WCB43" s="119"/>
      <c r="WCC43" s="119"/>
      <c r="WCD43" s="119"/>
      <c r="WCE43" s="119"/>
      <c r="WCF43" s="119"/>
      <c r="WCG43" s="119"/>
      <c r="WCH43" s="119"/>
      <c r="WCI43" s="119"/>
      <c r="WCJ43" s="119"/>
      <c r="WCK43" s="119"/>
      <c r="WCL43" s="119"/>
      <c r="WCM43" s="119"/>
      <c r="WCN43" s="119"/>
      <c r="WCO43" s="119"/>
      <c r="WCP43" s="119"/>
      <c r="WCQ43" s="119"/>
      <c r="WCR43" s="119"/>
      <c r="WCS43" s="119"/>
      <c r="WCT43" s="119"/>
      <c r="WCU43" s="119"/>
      <c r="WCV43" s="119"/>
      <c r="WCW43" s="119"/>
      <c r="WCX43" s="119"/>
      <c r="WCY43" s="119"/>
      <c r="WCZ43" s="119"/>
      <c r="WDA43" s="119"/>
      <c r="WDB43" s="119"/>
      <c r="WDC43" s="119"/>
      <c r="WDD43" s="119"/>
      <c r="WDE43" s="119"/>
      <c r="WDF43" s="119"/>
      <c r="WDG43" s="119"/>
      <c r="WDH43" s="119"/>
      <c r="WDI43" s="119"/>
      <c r="WDJ43" s="119"/>
      <c r="WDK43" s="119"/>
      <c r="WDL43" s="119"/>
      <c r="WDM43" s="119"/>
      <c r="WDN43" s="119"/>
      <c r="WDO43" s="119"/>
      <c r="WDP43" s="119"/>
      <c r="WDQ43" s="119"/>
      <c r="WDR43" s="119"/>
      <c r="WDS43" s="119"/>
      <c r="WDT43" s="119"/>
      <c r="WDU43" s="119"/>
      <c r="WDV43" s="119"/>
      <c r="WDW43" s="119"/>
      <c r="WDX43" s="119"/>
      <c r="WDY43" s="119"/>
      <c r="WDZ43" s="119"/>
      <c r="WEA43" s="119"/>
      <c r="WEB43" s="119"/>
      <c r="WEC43" s="119"/>
      <c r="WED43" s="119"/>
      <c r="WEE43" s="119"/>
      <c r="WEF43" s="119"/>
      <c r="WEG43" s="119"/>
      <c r="WEH43" s="119"/>
      <c r="WEI43" s="119"/>
      <c r="WEJ43" s="119"/>
      <c r="WEK43" s="119"/>
      <c r="WEL43" s="119"/>
      <c r="WEM43" s="119"/>
      <c r="WEN43" s="119"/>
      <c r="WEO43" s="119"/>
      <c r="WEP43" s="119"/>
      <c r="WEQ43" s="119"/>
      <c r="WER43" s="119"/>
      <c r="WES43" s="119"/>
      <c r="WET43" s="119"/>
      <c r="WEU43" s="119"/>
      <c r="WEV43" s="119"/>
      <c r="WEW43" s="119"/>
      <c r="WEX43" s="119"/>
      <c r="WEY43" s="119"/>
      <c r="WEZ43" s="119"/>
      <c r="WFA43" s="119"/>
      <c r="WFB43" s="119"/>
      <c r="WFC43" s="119"/>
      <c r="WFD43" s="119"/>
      <c r="WFE43" s="119"/>
      <c r="WFF43" s="119"/>
      <c r="WFG43" s="119"/>
      <c r="WFH43" s="119"/>
      <c r="WFI43" s="119"/>
      <c r="WFJ43" s="119"/>
      <c r="WFK43" s="119"/>
      <c r="WFL43" s="119"/>
      <c r="WFM43" s="119"/>
      <c r="WFN43" s="119"/>
      <c r="WFO43" s="119"/>
      <c r="WFP43" s="119"/>
      <c r="WFQ43" s="119"/>
      <c r="WFR43" s="119"/>
      <c r="WFS43" s="119"/>
      <c r="WFT43" s="119"/>
      <c r="WFU43" s="119"/>
      <c r="WFV43" s="119"/>
      <c r="WFW43" s="119"/>
      <c r="WFX43" s="119"/>
      <c r="WFY43" s="119"/>
      <c r="WFZ43" s="119"/>
      <c r="WGA43" s="119"/>
      <c r="WGB43" s="119"/>
      <c r="WGC43" s="119"/>
      <c r="WGD43" s="119"/>
      <c r="WGE43" s="119"/>
      <c r="WGF43" s="119"/>
      <c r="WGG43" s="119"/>
      <c r="WGH43" s="119"/>
      <c r="WGI43" s="119"/>
      <c r="WGJ43" s="119"/>
      <c r="WGK43" s="119"/>
      <c r="WGL43" s="119"/>
      <c r="WGM43" s="119"/>
      <c r="WGN43" s="119"/>
      <c r="WGO43" s="119"/>
      <c r="WGP43" s="119"/>
      <c r="WGQ43" s="119"/>
      <c r="WGR43" s="119"/>
      <c r="WGS43" s="119"/>
      <c r="WGT43" s="119"/>
      <c r="WGU43" s="119"/>
      <c r="WGV43" s="119"/>
      <c r="WGW43" s="119"/>
      <c r="WGX43" s="119"/>
      <c r="WGY43" s="119"/>
      <c r="WGZ43" s="119"/>
      <c r="WHA43" s="119"/>
      <c r="WHB43" s="119"/>
      <c r="WHC43" s="119"/>
      <c r="WHD43" s="119"/>
      <c r="WHE43" s="119"/>
      <c r="WHF43" s="119"/>
      <c r="WHG43" s="119"/>
      <c r="WHH43" s="119"/>
      <c r="WHI43" s="119"/>
      <c r="WHJ43" s="119"/>
      <c r="WHK43" s="119"/>
      <c r="WHL43" s="119"/>
      <c r="WHM43" s="119"/>
      <c r="WHN43" s="119"/>
      <c r="WHO43" s="119"/>
      <c r="WHP43" s="119"/>
      <c r="WHQ43" s="119"/>
      <c r="WHR43" s="119"/>
      <c r="WHS43" s="119"/>
      <c r="WHT43" s="119"/>
      <c r="WHU43" s="119"/>
      <c r="WHV43" s="119"/>
      <c r="WHW43" s="119"/>
      <c r="WHX43" s="119"/>
      <c r="WHY43" s="119"/>
      <c r="WHZ43" s="119"/>
      <c r="WIA43" s="119"/>
      <c r="WIB43" s="119"/>
      <c r="WIC43" s="119"/>
      <c r="WID43" s="119"/>
      <c r="WIE43" s="119"/>
      <c r="WIF43" s="119"/>
      <c r="WIG43" s="119"/>
      <c r="WIH43" s="119"/>
      <c r="WII43" s="119"/>
      <c r="WIJ43" s="119"/>
      <c r="WIK43" s="119"/>
      <c r="WIL43" s="119"/>
      <c r="WIM43" s="119"/>
      <c r="WIN43" s="119"/>
      <c r="WIO43" s="119"/>
      <c r="WIP43" s="119"/>
      <c r="WIQ43" s="119"/>
      <c r="WIR43" s="119"/>
      <c r="WIS43" s="119"/>
      <c r="WIT43" s="119"/>
      <c r="WIU43" s="119"/>
      <c r="WIV43" s="119"/>
      <c r="WIW43" s="119"/>
      <c r="WIX43" s="119"/>
      <c r="WIY43" s="119"/>
      <c r="WIZ43" s="119"/>
      <c r="WJA43" s="119"/>
      <c r="WJB43" s="119"/>
      <c r="WJC43" s="119"/>
      <c r="WJD43" s="119"/>
      <c r="WJE43" s="119"/>
      <c r="WJF43" s="119"/>
      <c r="WJG43" s="119"/>
      <c r="WJH43" s="119"/>
      <c r="WJI43" s="119"/>
      <c r="WJJ43" s="119"/>
      <c r="WJK43" s="119"/>
      <c r="WJL43" s="119"/>
      <c r="WJM43" s="119"/>
      <c r="WJN43" s="119"/>
      <c r="WJO43" s="119"/>
      <c r="WJP43" s="119"/>
      <c r="WJQ43" s="119"/>
      <c r="WJR43" s="119"/>
      <c r="WJS43" s="119"/>
      <c r="WJT43" s="119"/>
      <c r="WJU43" s="119"/>
      <c r="WJV43" s="119"/>
      <c r="WJW43" s="119"/>
      <c r="WJX43" s="119"/>
      <c r="WJY43" s="119"/>
      <c r="WJZ43" s="119"/>
      <c r="WKA43" s="119"/>
      <c r="WKB43" s="119"/>
      <c r="WKC43" s="119"/>
      <c r="WKD43" s="119"/>
      <c r="WKE43" s="119"/>
      <c r="WKF43" s="119"/>
      <c r="WKG43" s="119"/>
      <c r="WKH43" s="119"/>
      <c r="WKI43" s="119"/>
      <c r="WKJ43" s="119"/>
      <c r="WKK43" s="119"/>
      <c r="WKL43" s="119"/>
      <c r="WKM43" s="119"/>
      <c r="WKN43" s="119"/>
      <c r="WKO43" s="119"/>
      <c r="WKP43" s="119"/>
      <c r="WKQ43" s="119"/>
      <c r="WKR43" s="119"/>
      <c r="WKS43" s="119"/>
      <c r="WKT43" s="119"/>
      <c r="WKU43" s="119"/>
      <c r="WKV43" s="119"/>
      <c r="WKW43" s="119"/>
      <c r="WKX43" s="119"/>
      <c r="WKY43" s="119"/>
      <c r="WKZ43" s="119"/>
      <c r="WLA43" s="119"/>
      <c r="WLB43" s="119"/>
      <c r="WLC43" s="119"/>
      <c r="WLD43" s="119"/>
      <c r="WLE43" s="119"/>
      <c r="WLF43" s="119"/>
      <c r="WLG43" s="119"/>
      <c r="WLH43" s="119"/>
      <c r="WLI43" s="119"/>
      <c r="WLJ43" s="119"/>
      <c r="WLK43" s="119"/>
      <c r="WLL43" s="119"/>
      <c r="WLM43" s="119"/>
      <c r="WLN43" s="119"/>
      <c r="WLO43" s="119"/>
      <c r="WLP43" s="119"/>
      <c r="WLQ43" s="119"/>
      <c r="WLR43" s="119"/>
      <c r="WLS43" s="119"/>
      <c r="WLT43" s="119"/>
      <c r="WLU43" s="119"/>
      <c r="WLV43" s="119"/>
      <c r="WLW43" s="119"/>
      <c r="WLX43" s="119"/>
      <c r="WLY43" s="119"/>
      <c r="WLZ43" s="119"/>
      <c r="WMA43" s="119"/>
      <c r="WMB43" s="119"/>
      <c r="WMC43" s="119"/>
      <c r="WMD43" s="119"/>
      <c r="WME43" s="119"/>
      <c r="WMF43" s="119"/>
      <c r="WMG43" s="119"/>
      <c r="WMH43" s="119"/>
      <c r="WMI43" s="119"/>
      <c r="WMJ43" s="119"/>
      <c r="WMK43" s="119"/>
      <c r="WML43" s="119"/>
      <c r="WMM43" s="119"/>
      <c r="WMN43" s="119"/>
      <c r="WMO43" s="119"/>
      <c r="WMP43" s="119"/>
      <c r="WMQ43" s="119"/>
      <c r="WMR43" s="119"/>
      <c r="WMS43" s="119"/>
      <c r="WMT43" s="119"/>
      <c r="WMU43" s="119"/>
      <c r="WMV43" s="119"/>
      <c r="WMW43" s="119"/>
      <c r="WMX43" s="119"/>
      <c r="WMY43" s="119"/>
      <c r="WMZ43" s="119"/>
      <c r="WNA43" s="119"/>
      <c r="WNB43" s="119"/>
      <c r="WNC43" s="119"/>
      <c r="WND43" s="119"/>
      <c r="WNE43" s="119"/>
      <c r="WNF43" s="119"/>
      <c r="WNG43" s="119"/>
      <c r="WNH43" s="119"/>
      <c r="WNI43" s="119"/>
      <c r="WNJ43" s="119"/>
      <c r="WNK43" s="119"/>
      <c r="WNL43" s="119"/>
      <c r="WNM43" s="119"/>
      <c r="WNN43" s="119"/>
      <c r="WNO43" s="119"/>
      <c r="WNP43" s="119"/>
      <c r="WNQ43" s="119"/>
      <c r="WNR43" s="119"/>
      <c r="WNS43" s="119"/>
      <c r="WNT43" s="119"/>
      <c r="WNU43" s="119"/>
      <c r="WNV43" s="119"/>
      <c r="WNW43" s="119"/>
      <c r="WNX43" s="119"/>
      <c r="WNY43" s="119"/>
      <c r="WNZ43" s="119"/>
      <c r="WOA43" s="119"/>
      <c r="WOB43" s="119"/>
      <c r="WOC43" s="119"/>
      <c r="WOD43" s="119"/>
      <c r="WOE43" s="119"/>
      <c r="WOF43" s="119"/>
      <c r="WOG43" s="119"/>
      <c r="WOH43" s="119"/>
      <c r="WOI43" s="119"/>
      <c r="WOJ43" s="119"/>
      <c r="WOK43" s="119"/>
      <c r="WOL43" s="119"/>
      <c r="WOM43" s="119"/>
      <c r="WON43" s="119"/>
      <c r="WOO43" s="119"/>
      <c r="WOP43" s="119"/>
      <c r="WOQ43" s="119"/>
      <c r="WOR43" s="119"/>
      <c r="WOS43" s="119"/>
      <c r="WOT43" s="119"/>
      <c r="WOU43" s="119"/>
      <c r="WOV43" s="119"/>
      <c r="WOW43" s="119"/>
      <c r="WOX43" s="119"/>
      <c r="WOY43" s="119"/>
      <c r="WOZ43" s="119"/>
      <c r="WPA43" s="119"/>
      <c r="WPB43" s="119"/>
      <c r="WPC43" s="119"/>
      <c r="WPD43" s="119"/>
      <c r="WPE43" s="119"/>
      <c r="WPF43" s="119"/>
      <c r="WPG43" s="119"/>
      <c r="WPH43" s="119"/>
      <c r="WPI43" s="119"/>
      <c r="WPJ43" s="119"/>
      <c r="WPK43" s="119"/>
      <c r="WPL43" s="119"/>
      <c r="WPM43" s="119"/>
      <c r="WPN43" s="119"/>
      <c r="WPO43" s="119"/>
      <c r="WPP43" s="119"/>
      <c r="WPQ43" s="119"/>
      <c r="WPR43" s="119"/>
      <c r="WPS43" s="119"/>
      <c r="WPT43" s="119"/>
      <c r="WPU43" s="119"/>
      <c r="WPV43" s="119"/>
      <c r="WPW43" s="119"/>
      <c r="WPX43" s="119"/>
      <c r="WPY43" s="119"/>
      <c r="WPZ43" s="119"/>
      <c r="WQA43" s="119"/>
      <c r="WQB43" s="119"/>
      <c r="WQC43" s="119"/>
      <c r="WQD43" s="119"/>
      <c r="WQE43" s="119"/>
      <c r="WQF43" s="119"/>
      <c r="WQG43" s="119"/>
      <c r="WQH43" s="119"/>
      <c r="WQI43" s="119"/>
      <c r="WQJ43" s="119"/>
      <c r="WQK43" s="119"/>
      <c r="WQL43" s="119"/>
      <c r="WQM43" s="119"/>
      <c r="WQN43" s="119"/>
      <c r="WQO43" s="119"/>
      <c r="WQP43" s="119"/>
      <c r="WQQ43" s="119"/>
      <c r="WQR43" s="119"/>
      <c r="WQS43" s="119"/>
      <c r="WQT43" s="119"/>
      <c r="WQU43" s="119"/>
      <c r="WQV43" s="119"/>
      <c r="WQW43" s="119"/>
      <c r="WQX43" s="119"/>
      <c r="WQY43" s="119"/>
      <c r="WQZ43" s="119"/>
      <c r="WRA43" s="119"/>
      <c r="WRB43" s="119"/>
      <c r="WRC43" s="119"/>
      <c r="WRD43" s="119"/>
      <c r="WRE43" s="119"/>
      <c r="WRF43" s="119"/>
      <c r="WRG43" s="119"/>
      <c r="WRH43" s="119"/>
      <c r="WRI43" s="119"/>
      <c r="WRJ43" s="119"/>
      <c r="WRK43" s="119"/>
      <c r="WRL43" s="119"/>
      <c r="WRM43" s="119"/>
      <c r="WRN43" s="119"/>
      <c r="WRO43" s="119"/>
      <c r="WRP43" s="119"/>
      <c r="WRQ43" s="119"/>
      <c r="WRR43" s="119"/>
      <c r="WRS43" s="119"/>
      <c r="WRT43" s="119"/>
      <c r="WRU43" s="119"/>
      <c r="WRV43" s="119"/>
      <c r="WRW43" s="119"/>
      <c r="WRX43" s="119"/>
      <c r="WRY43" s="119"/>
      <c r="WRZ43" s="119"/>
      <c r="WSA43" s="119"/>
      <c r="WSB43" s="119"/>
      <c r="WSC43" s="119"/>
      <c r="WSD43" s="119"/>
      <c r="WSE43" s="119"/>
      <c r="WSF43" s="119"/>
      <c r="WSG43" s="119"/>
      <c r="WSH43" s="119"/>
      <c r="WSI43" s="119"/>
      <c r="WSJ43" s="119"/>
      <c r="WSK43" s="119"/>
      <c r="WSL43" s="119"/>
      <c r="WSM43" s="119"/>
      <c r="WSN43" s="119"/>
      <c r="WSO43" s="119"/>
      <c r="WSP43" s="119"/>
      <c r="WSQ43" s="119"/>
      <c r="WSR43" s="119"/>
      <c r="WSS43" s="119"/>
      <c r="WST43" s="119"/>
      <c r="WSU43" s="119"/>
      <c r="WSV43" s="119"/>
      <c r="WSW43" s="119"/>
      <c r="WSX43" s="119"/>
      <c r="WSY43" s="119"/>
      <c r="WSZ43" s="119"/>
      <c r="WTA43" s="119"/>
      <c r="WTB43" s="119"/>
      <c r="WTC43" s="119"/>
      <c r="WTD43" s="119"/>
      <c r="WTE43" s="119"/>
      <c r="WTF43" s="119"/>
      <c r="WTG43" s="119"/>
      <c r="WTH43" s="119"/>
      <c r="WTI43" s="119"/>
      <c r="WTJ43" s="119"/>
      <c r="WTK43" s="119"/>
      <c r="WTL43" s="119"/>
      <c r="WTM43" s="119"/>
      <c r="WTN43" s="119"/>
      <c r="WTO43" s="119"/>
      <c r="WTP43" s="119"/>
      <c r="WTQ43" s="119"/>
      <c r="WTR43" s="119"/>
      <c r="WTS43" s="119"/>
      <c r="WTT43" s="119"/>
      <c r="WTU43" s="119"/>
      <c r="WTV43" s="119"/>
      <c r="WTW43" s="119"/>
      <c r="WTX43" s="119"/>
      <c r="WTY43" s="119"/>
      <c r="WTZ43" s="119"/>
      <c r="WUA43" s="119"/>
      <c r="WUB43" s="119"/>
      <c r="WUC43" s="119"/>
      <c r="WUD43" s="119"/>
      <c r="WUE43" s="119"/>
      <c r="WUF43" s="119"/>
      <c r="WUG43" s="119"/>
      <c r="WUH43" s="119"/>
      <c r="WUI43" s="119"/>
      <c r="WUJ43" s="119"/>
      <c r="WUK43" s="119"/>
      <c r="WUL43" s="119"/>
      <c r="WUM43" s="119"/>
      <c r="WUN43" s="119"/>
      <c r="WUO43" s="119"/>
      <c r="WUP43" s="119"/>
      <c r="WUQ43" s="119"/>
      <c r="WUR43" s="119"/>
      <c r="WUS43" s="119"/>
      <c r="WUT43" s="119"/>
      <c r="WUU43" s="119"/>
      <c r="WUV43" s="119"/>
      <c r="WUW43" s="119"/>
      <c r="WUX43" s="119"/>
      <c r="WUY43" s="119"/>
      <c r="WUZ43" s="119"/>
      <c r="WVA43" s="119"/>
      <c r="WVB43" s="119"/>
      <c r="WVC43" s="119"/>
      <c r="WVD43" s="119"/>
      <c r="WVE43" s="119"/>
      <c r="WVF43" s="119"/>
      <c r="WVG43" s="119"/>
      <c r="WVH43" s="119"/>
      <c r="WVI43" s="119"/>
      <c r="WVJ43" s="119"/>
      <c r="WVK43" s="119"/>
      <c r="WVL43" s="119"/>
      <c r="WVM43" s="119"/>
      <c r="WVN43" s="119"/>
      <c r="WVO43" s="119"/>
      <c r="WVP43" s="119"/>
      <c r="WVQ43" s="119"/>
      <c r="WVR43" s="119"/>
      <c r="WVS43" s="119"/>
      <c r="WVT43" s="119"/>
      <c r="WVU43" s="119"/>
      <c r="WVV43" s="119"/>
      <c r="WVW43" s="119"/>
      <c r="WVX43" s="119"/>
      <c r="WVY43" s="119"/>
      <c r="WVZ43" s="119"/>
      <c r="WWA43" s="119"/>
      <c r="WWB43" s="119"/>
      <c r="WWC43" s="119"/>
      <c r="WWD43" s="119"/>
      <c r="WWE43" s="119"/>
      <c r="WWF43" s="119"/>
      <c r="WWG43" s="119"/>
      <c r="WWH43" s="119"/>
      <c r="WWI43" s="119"/>
      <c r="WWJ43" s="119"/>
      <c r="WWK43" s="119"/>
      <c r="WWL43" s="119"/>
      <c r="WWM43" s="119"/>
      <c r="WWN43" s="119"/>
      <c r="WWO43" s="119"/>
      <c r="WWP43" s="119"/>
      <c r="WWQ43" s="119"/>
      <c r="WWR43" s="119"/>
      <c r="WWS43" s="119"/>
      <c r="WWT43" s="119"/>
      <c r="WWU43" s="119"/>
      <c r="WWV43" s="119"/>
      <c r="WWW43" s="119"/>
      <c r="WWX43" s="119"/>
      <c r="WWY43" s="119"/>
      <c r="WWZ43" s="119"/>
      <c r="WXA43" s="119"/>
      <c r="WXB43" s="119"/>
      <c r="WXC43" s="119"/>
      <c r="WXD43" s="119"/>
      <c r="WXE43" s="119"/>
      <c r="WXF43" s="119"/>
      <c r="WXG43" s="119"/>
      <c r="WXH43" s="119"/>
      <c r="WXI43" s="119"/>
      <c r="WXJ43" s="119"/>
      <c r="WXK43" s="119"/>
      <c r="WXL43" s="119"/>
      <c r="WXM43" s="119"/>
      <c r="WXN43" s="119"/>
      <c r="WXO43" s="119"/>
      <c r="WXP43" s="119"/>
      <c r="WXQ43" s="119"/>
      <c r="WXR43" s="119"/>
      <c r="WXS43" s="119"/>
      <c r="WXT43" s="119"/>
      <c r="WXU43" s="119"/>
      <c r="WXV43" s="119"/>
      <c r="WXW43" s="119"/>
      <c r="WXX43" s="119"/>
      <c r="WXY43" s="119"/>
      <c r="WXZ43" s="119"/>
      <c r="WYA43" s="119"/>
      <c r="WYB43" s="119"/>
      <c r="WYC43" s="119"/>
      <c r="WYD43" s="119"/>
      <c r="WYE43" s="119"/>
      <c r="WYF43" s="119"/>
      <c r="WYG43" s="119"/>
      <c r="WYH43" s="119"/>
      <c r="WYI43" s="119"/>
      <c r="WYJ43" s="119"/>
      <c r="WYK43" s="119"/>
      <c r="WYL43" s="119"/>
      <c r="WYM43" s="119"/>
      <c r="WYN43" s="119"/>
      <c r="WYO43" s="119"/>
      <c r="WYP43" s="119"/>
      <c r="WYQ43" s="119"/>
      <c r="WYR43" s="119"/>
      <c r="WYS43" s="119"/>
      <c r="WYT43" s="119"/>
      <c r="WYU43" s="119"/>
      <c r="WYV43" s="119"/>
      <c r="WYW43" s="119"/>
      <c r="WYX43" s="119"/>
      <c r="WYY43" s="119"/>
      <c r="WYZ43" s="119"/>
      <c r="WZA43" s="119"/>
      <c r="WZB43" s="119"/>
      <c r="WZC43" s="119"/>
      <c r="WZD43" s="119"/>
      <c r="WZE43" s="119"/>
      <c r="WZF43" s="119"/>
      <c r="WZG43" s="119"/>
      <c r="WZH43" s="119"/>
      <c r="WZI43" s="119"/>
      <c r="WZJ43" s="119"/>
      <c r="WZK43" s="119"/>
      <c r="WZL43" s="119"/>
      <c r="WZM43" s="119"/>
      <c r="WZN43" s="119"/>
      <c r="WZO43" s="119"/>
      <c r="WZP43" s="119"/>
      <c r="WZQ43" s="119"/>
      <c r="WZR43" s="119"/>
      <c r="WZS43" s="119"/>
      <c r="WZT43" s="119"/>
      <c r="WZU43" s="119"/>
      <c r="WZV43" s="119"/>
      <c r="WZW43" s="119"/>
      <c r="WZX43" s="119"/>
      <c r="WZY43" s="119"/>
      <c r="WZZ43" s="119"/>
      <c r="XAA43" s="119"/>
      <c r="XAB43" s="119"/>
      <c r="XAC43" s="119"/>
      <c r="XAD43" s="119"/>
      <c r="XAE43" s="119"/>
      <c r="XAF43" s="119"/>
      <c r="XAG43" s="119"/>
      <c r="XAH43" s="119"/>
      <c r="XAI43" s="119"/>
      <c r="XAJ43" s="119"/>
      <c r="XAK43" s="119"/>
      <c r="XAL43" s="119"/>
      <c r="XAM43" s="119"/>
      <c r="XAN43" s="119"/>
      <c r="XAO43" s="119"/>
      <c r="XAP43" s="119"/>
      <c r="XAQ43" s="119"/>
      <c r="XAR43" s="119"/>
      <c r="XAS43" s="119"/>
      <c r="XAT43" s="119"/>
      <c r="XAU43" s="119"/>
      <c r="XAV43" s="119"/>
      <c r="XAW43" s="119"/>
      <c r="XAX43" s="119"/>
      <c r="XAY43" s="119"/>
      <c r="XAZ43" s="119"/>
      <c r="XBA43" s="119"/>
      <c r="XBB43" s="119"/>
      <c r="XBC43" s="119"/>
      <c r="XBD43" s="119"/>
      <c r="XBE43" s="119"/>
      <c r="XBF43" s="119"/>
      <c r="XBG43" s="119"/>
      <c r="XBH43" s="119"/>
      <c r="XBI43" s="119"/>
      <c r="XBJ43" s="119"/>
      <c r="XBK43" s="119"/>
      <c r="XBL43" s="119"/>
      <c r="XBM43" s="119"/>
      <c r="XBN43" s="119"/>
      <c r="XBO43" s="119"/>
      <c r="XBP43" s="119"/>
      <c r="XBQ43" s="119"/>
      <c r="XBR43" s="119"/>
      <c r="XBS43" s="119"/>
      <c r="XBT43" s="119"/>
      <c r="XBU43" s="119"/>
      <c r="XBV43" s="119"/>
      <c r="XBW43" s="119"/>
      <c r="XBX43" s="119"/>
      <c r="XBY43" s="119"/>
      <c r="XBZ43" s="119"/>
      <c r="XCA43" s="119"/>
      <c r="XCB43" s="119"/>
      <c r="XCC43" s="119"/>
      <c r="XCD43" s="119"/>
      <c r="XCE43" s="119"/>
      <c r="XCF43" s="119"/>
      <c r="XCG43" s="119"/>
      <c r="XCH43" s="119"/>
      <c r="XCI43" s="119"/>
      <c r="XCJ43" s="119"/>
      <c r="XCK43" s="119"/>
      <c r="XCL43" s="119"/>
      <c r="XCM43" s="119"/>
      <c r="XCN43" s="119"/>
      <c r="XCO43" s="119"/>
      <c r="XCP43" s="119"/>
      <c r="XCQ43" s="119"/>
      <c r="XCR43" s="119"/>
      <c r="XCS43" s="119"/>
      <c r="XCT43" s="119"/>
      <c r="XCU43" s="119"/>
      <c r="XCV43" s="119"/>
      <c r="XCW43" s="119"/>
      <c r="XCX43" s="119"/>
      <c r="XCY43" s="119"/>
      <c r="XCZ43" s="119"/>
      <c r="XDA43" s="119"/>
      <c r="XDB43" s="119"/>
      <c r="XDC43" s="119"/>
      <c r="XDD43" s="119"/>
      <c r="XDE43" s="119"/>
      <c r="XDF43" s="119"/>
      <c r="XDG43" s="119"/>
      <c r="XDH43" s="119"/>
      <c r="XDI43" s="119"/>
      <c r="XDJ43" s="119"/>
      <c r="XDK43" s="119"/>
      <c r="XDL43" s="119"/>
      <c r="XDM43" s="119"/>
      <c r="XDN43" s="119"/>
      <c r="XDO43" s="119"/>
      <c r="XDP43" s="119"/>
      <c r="XDQ43" s="119"/>
      <c r="XDR43" s="119"/>
      <c r="XDS43" s="119"/>
      <c r="XDT43" s="119"/>
      <c r="XDU43" s="119"/>
      <c r="XDV43" s="119"/>
      <c r="XDW43" s="119"/>
      <c r="XDX43" s="119"/>
      <c r="XDY43" s="119"/>
      <c r="XDZ43" s="119"/>
      <c r="XEA43" s="119"/>
      <c r="XEB43" s="119"/>
      <c r="XEC43" s="119"/>
      <c r="XED43" s="119"/>
      <c r="XEE43" s="119"/>
      <c r="XEF43" s="119"/>
      <c r="XEG43" s="119"/>
      <c r="XEH43" s="119"/>
      <c r="XEI43" s="119"/>
      <c r="XEJ43" s="119"/>
      <c r="XEK43" s="119"/>
      <c r="XEL43" s="119"/>
      <c r="XEM43" s="119"/>
      <c r="XEN43" s="119"/>
      <c r="XEO43" s="119"/>
      <c r="XEP43" s="119"/>
      <c r="XEQ43" s="119"/>
      <c r="XER43" s="119"/>
      <c r="XES43" s="119"/>
      <c r="XET43" s="119"/>
      <c r="XEU43" s="119"/>
      <c r="XEV43" s="119"/>
      <c r="XEW43" s="119"/>
      <c r="XEX43" s="119"/>
      <c r="XEY43" s="119"/>
    </row>
    <row r="44" spans="1:16379" s="119" customFormat="1" ht="14">
      <c r="A44" s="119" t="s">
        <v>1147</v>
      </c>
      <c r="B44" s="119" t="s">
        <v>1108</v>
      </c>
      <c r="C44" s="119" t="s">
        <v>1233</v>
      </c>
      <c r="D44" s="119" t="s">
        <v>1234</v>
      </c>
      <c r="E44" s="119" t="s">
        <v>919</v>
      </c>
      <c r="F44" s="119" t="s">
        <v>946</v>
      </c>
      <c r="G44" s="119" t="s">
        <v>1235</v>
      </c>
      <c r="H44" s="119" t="s">
        <v>1235</v>
      </c>
      <c r="I44" s="119" t="s">
        <v>936</v>
      </c>
      <c r="J44" s="119" t="s">
        <v>1108</v>
      </c>
      <c r="L44" s="126">
        <v>50000</v>
      </c>
      <c r="M44" s="126">
        <v>50000</v>
      </c>
      <c r="N44" s="127">
        <v>44124</v>
      </c>
      <c r="O44" s="127">
        <v>44469</v>
      </c>
      <c r="P44" s="127" t="s">
        <v>753</v>
      </c>
      <c r="Q44" s="127" t="s">
        <v>753</v>
      </c>
      <c r="AA44" s="119" t="s">
        <v>877</v>
      </c>
      <c r="AB44" s="120"/>
    </row>
    <row r="45" spans="1:16379" s="119" customFormat="1" ht="14">
      <c r="A45" s="119" t="s">
        <v>1147</v>
      </c>
      <c r="B45" s="119" t="s">
        <v>1108</v>
      </c>
      <c r="C45" s="119" t="s">
        <v>1236</v>
      </c>
      <c r="D45" s="119" t="s">
        <v>1237</v>
      </c>
      <c r="E45" s="119" t="s">
        <v>919</v>
      </c>
      <c r="F45" s="119" t="s">
        <v>946</v>
      </c>
      <c r="G45" s="119" t="s">
        <v>1238</v>
      </c>
      <c r="H45" s="119" t="s">
        <v>1238</v>
      </c>
      <c r="I45" s="119" t="s">
        <v>936</v>
      </c>
      <c r="J45" s="119" t="s">
        <v>1108</v>
      </c>
      <c r="L45" s="126">
        <v>50000</v>
      </c>
      <c r="M45" s="126">
        <v>50000</v>
      </c>
      <c r="N45" s="127">
        <v>44124</v>
      </c>
      <c r="O45" s="127">
        <v>44469</v>
      </c>
      <c r="P45" s="127" t="s">
        <v>753</v>
      </c>
      <c r="Q45" s="127" t="s">
        <v>753</v>
      </c>
      <c r="AA45" s="119" t="s">
        <v>877</v>
      </c>
      <c r="AB45" s="120"/>
    </row>
    <row r="46" spans="1:16379" s="119" customFormat="1" ht="14">
      <c r="A46" s="119" t="s">
        <v>1147</v>
      </c>
      <c r="B46" s="119" t="s">
        <v>1108</v>
      </c>
      <c r="C46" s="119" t="s">
        <v>1239</v>
      </c>
      <c r="D46" s="119" t="s">
        <v>1240</v>
      </c>
      <c r="E46" s="119" t="s">
        <v>919</v>
      </c>
      <c r="F46" s="119" t="s">
        <v>946</v>
      </c>
      <c r="G46" s="119" t="s">
        <v>1241</v>
      </c>
      <c r="H46" s="119" t="s">
        <v>1241</v>
      </c>
      <c r="I46" s="119" t="s">
        <v>936</v>
      </c>
      <c r="J46" s="119" t="s">
        <v>1108</v>
      </c>
      <c r="L46" s="126">
        <v>50000</v>
      </c>
      <c r="M46" s="126">
        <v>50000</v>
      </c>
      <c r="N46" s="127">
        <v>44124</v>
      </c>
      <c r="O46" s="127">
        <v>44469</v>
      </c>
      <c r="P46" s="127" t="s">
        <v>753</v>
      </c>
      <c r="Q46" s="127" t="s">
        <v>753</v>
      </c>
      <c r="AA46" s="119" t="s">
        <v>877</v>
      </c>
      <c r="AB46" s="120"/>
    </row>
    <row r="47" spans="1:16379" s="119" customFormat="1" ht="14">
      <c r="A47" s="119" t="s">
        <v>1147</v>
      </c>
      <c r="B47" s="119" t="s">
        <v>1108</v>
      </c>
      <c r="C47" s="119" t="s">
        <v>1242</v>
      </c>
      <c r="D47" s="119" t="s">
        <v>1243</v>
      </c>
      <c r="E47" s="119" t="s">
        <v>919</v>
      </c>
      <c r="F47" s="119" t="s">
        <v>1004</v>
      </c>
      <c r="G47" s="119" t="s">
        <v>1244</v>
      </c>
      <c r="H47" s="119" t="s">
        <v>1244</v>
      </c>
      <c r="I47" s="119" t="s">
        <v>936</v>
      </c>
      <c r="J47" s="119" t="s">
        <v>1108</v>
      </c>
      <c r="L47" s="126">
        <v>50000</v>
      </c>
      <c r="M47" s="126">
        <v>50000</v>
      </c>
      <c r="N47" s="127">
        <v>44126</v>
      </c>
      <c r="O47" s="127">
        <v>44469</v>
      </c>
      <c r="P47" s="127" t="s">
        <v>753</v>
      </c>
      <c r="Q47" s="127" t="s">
        <v>753</v>
      </c>
      <c r="AA47" s="119" t="s">
        <v>877</v>
      </c>
      <c r="AB47" s="120"/>
    </row>
    <row r="48" spans="1:16379" s="119" customFormat="1" ht="14">
      <c r="A48" s="119" t="s">
        <v>1147</v>
      </c>
      <c r="B48" s="119" t="s">
        <v>1108</v>
      </c>
      <c r="C48" s="119" t="s">
        <v>1245</v>
      </c>
      <c r="D48" s="119" t="s">
        <v>1246</v>
      </c>
      <c r="E48" s="119" t="s">
        <v>919</v>
      </c>
      <c r="F48" s="119" t="s">
        <v>1004</v>
      </c>
      <c r="G48" s="119" t="s">
        <v>1247</v>
      </c>
      <c r="H48" s="119" t="s">
        <v>1247</v>
      </c>
      <c r="I48" s="119" t="s">
        <v>936</v>
      </c>
      <c r="J48" s="119" t="s">
        <v>1108</v>
      </c>
      <c r="L48" s="126">
        <v>50000</v>
      </c>
      <c r="M48" s="126">
        <v>50000</v>
      </c>
      <c r="N48" s="127">
        <v>44126</v>
      </c>
      <c r="O48" s="127">
        <v>44469</v>
      </c>
      <c r="P48" s="127" t="s">
        <v>753</v>
      </c>
      <c r="Q48" s="127" t="s">
        <v>753</v>
      </c>
      <c r="AA48" s="119" t="s">
        <v>877</v>
      </c>
      <c r="AB48" s="120"/>
    </row>
    <row r="49" spans="1:29" s="119" customFormat="1" ht="14">
      <c r="A49" s="119" t="s">
        <v>1147</v>
      </c>
      <c r="B49" s="119" t="s">
        <v>1108</v>
      </c>
      <c r="C49" s="119" t="s">
        <v>1248</v>
      </c>
      <c r="D49" s="119" t="s">
        <v>1249</v>
      </c>
      <c r="E49" s="119" t="s">
        <v>919</v>
      </c>
      <c r="F49" s="119" t="s">
        <v>1004</v>
      </c>
      <c r="G49" s="119" t="s">
        <v>1250</v>
      </c>
      <c r="H49" s="119" t="s">
        <v>1250</v>
      </c>
      <c r="I49" s="119" t="s">
        <v>936</v>
      </c>
      <c r="J49" s="119" t="s">
        <v>1108</v>
      </c>
      <c r="L49" s="126">
        <v>50000</v>
      </c>
      <c r="M49" s="126">
        <v>50000</v>
      </c>
      <c r="N49" s="127">
        <v>44126</v>
      </c>
      <c r="O49" s="127">
        <v>44469</v>
      </c>
      <c r="P49" s="127" t="s">
        <v>753</v>
      </c>
      <c r="Q49" s="127" t="s">
        <v>753</v>
      </c>
      <c r="AA49" s="119" t="s">
        <v>877</v>
      </c>
      <c r="AB49" s="120"/>
    </row>
    <row r="50" spans="1:29" s="119" customFormat="1" ht="29" customHeight="1">
      <c r="A50" s="119" t="s">
        <v>2200</v>
      </c>
      <c r="B50" s="120" t="s">
        <v>990</v>
      </c>
      <c r="C50" s="119" t="s">
        <v>991</v>
      </c>
      <c r="D50" s="119" t="s">
        <v>992</v>
      </c>
      <c r="E50" s="119" t="s">
        <v>919</v>
      </c>
      <c r="F50" s="119" t="s">
        <v>912</v>
      </c>
      <c r="G50" s="119" t="s">
        <v>993</v>
      </c>
      <c r="I50" s="119" t="s">
        <v>936</v>
      </c>
      <c r="L50" s="126">
        <v>100000</v>
      </c>
      <c r="M50" s="126">
        <v>100000</v>
      </c>
      <c r="N50" s="127">
        <v>43900</v>
      </c>
      <c r="O50" s="127">
        <v>44255</v>
      </c>
      <c r="P50" s="127" t="s">
        <v>753</v>
      </c>
      <c r="Q50" s="127" t="s">
        <v>753</v>
      </c>
      <c r="AA50" s="119" t="s">
        <v>994</v>
      </c>
      <c r="AB50" s="120"/>
    </row>
    <row r="51" spans="1:29" s="119" customFormat="1" ht="39" customHeight="1">
      <c r="A51" s="119" t="s">
        <v>1147</v>
      </c>
      <c r="C51" s="119" t="s">
        <v>930</v>
      </c>
      <c r="D51" s="119" t="s">
        <v>931</v>
      </c>
      <c r="E51" s="119" t="s">
        <v>919</v>
      </c>
      <c r="F51" s="119" t="s">
        <v>912</v>
      </c>
      <c r="G51" s="119" t="s">
        <v>932</v>
      </c>
      <c r="H51" s="119" t="s">
        <v>932</v>
      </c>
      <c r="L51" s="126">
        <v>50000</v>
      </c>
      <c r="N51" s="127">
        <v>42618</v>
      </c>
      <c r="O51" s="127">
        <v>44074</v>
      </c>
      <c r="P51" s="127">
        <v>43998</v>
      </c>
      <c r="Q51" s="127">
        <v>43708</v>
      </c>
      <c r="S51" s="211">
        <v>44105</v>
      </c>
      <c r="AA51" s="120" t="s">
        <v>933</v>
      </c>
      <c r="AB51" s="120" t="s">
        <v>934</v>
      </c>
    </row>
    <row r="52" spans="1:29" s="165" customFormat="1" ht="14">
      <c r="A52" s="249">
        <v>44133</v>
      </c>
      <c r="C52" s="165" t="s">
        <v>948</v>
      </c>
      <c r="D52" s="165" t="s">
        <v>949</v>
      </c>
      <c r="E52" s="165" t="s">
        <v>919</v>
      </c>
      <c r="F52" s="165" t="s">
        <v>946</v>
      </c>
      <c r="G52" s="165" t="s">
        <v>950</v>
      </c>
      <c r="H52" s="165" t="s">
        <v>950</v>
      </c>
      <c r="I52" s="165" t="s">
        <v>627</v>
      </c>
      <c r="L52" s="229">
        <v>1</v>
      </c>
      <c r="N52" s="230">
        <v>43811</v>
      </c>
      <c r="O52" s="230">
        <v>44165</v>
      </c>
      <c r="P52" s="230" t="s">
        <v>753</v>
      </c>
      <c r="Q52" s="230" t="s">
        <v>753</v>
      </c>
      <c r="U52" s="119"/>
      <c r="V52" s="119"/>
      <c r="W52" s="119"/>
      <c r="X52" s="119"/>
      <c r="AA52" s="165" t="s">
        <v>877</v>
      </c>
      <c r="AC52" s="231"/>
    </row>
  </sheetData>
  <autoFilter ref="A1:X51" xr:uid="{F57480D3-3EF6-3549-BEE6-5711035DFBBA}">
    <filterColumn colId="1">
      <filters>
        <filter val="Jason"/>
      </filters>
    </filterColumn>
  </autoFilter>
  <phoneticPr fontId="3" type="noConversion"/>
  <hyperlinks>
    <hyperlink ref="K8" r:id="rId1" display="84039085/27961799@QQ.COM" xr:uid="{00000000-0004-0000-0500-000000000000}"/>
    <hyperlink ref="K37" r:id="rId2" xr:uid="{8F6755D4-BF45-5A47-ABA3-5503C723B35C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44"/>
  <sheetViews>
    <sheetView workbookViewId="0">
      <pane xSplit="2" ySplit="1" topLeftCell="C28" activePane="bottomRight" state="frozen"/>
      <selection pane="topRight" activeCell="D1" sqref="D1"/>
      <selection pane="bottomLeft" activeCell="A2" sqref="A2"/>
      <selection pane="bottomRight" activeCell="B47" sqref="B47"/>
    </sheetView>
  </sheetViews>
  <sheetFormatPr baseColWidth="10" defaultColWidth="10.83203125" defaultRowHeight="14"/>
  <cols>
    <col min="1" max="1" width="11.6640625" style="97" bestFit="1" customWidth="1"/>
    <col min="2" max="2" width="49.5" style="97" customWidth="1"/>
    <col min="3" max="3" width="17.5" style="97" customWidth="1"/>
    <col min="4" max="4" width="25.83203125" style="97" bestFit="1" customWidth="1"/>
    <col min="5" max="16384" width="10.83203125" style="97"/>
  </cols>
  <sheetData>
    <row r="1" spans="1:10" s="89" customFormat="1" ht="32">
      <c r="A1" s="89" t="s">
        <v>0</v>
      </c>
      <c r="B1" s="89" t="s">
        <v>1251</v>
      </c>
      <c r="C1" s="89" t="s">
        <v>1252</v>
      </c>
      <c r="D1" s="89" t="s">
        <v>1253</v>
      </c>
      <c r="E1" s="89" t="s">
        <v>1254</v>
      </c>
      <c r="F1" s="89" t="s">
        <v>1255</v>
      </c>
      <c r="G1" s="89" t="s">
        <v>1256</v>
      </c>
      <c r="H1" s="89" t="s">
        <v>1257</v>
      </c>
      <c r="I1" s="89" t="s">
        <v>1258</v>
      </c>
      <c r="J1" s="89" t="s">
        <v>1259</v>
      </c>
    </row>
    <row r="2" spans="1:10" s="94" customFormat="1" ht="15">
      <c r="A2" s="94" t="s">
        <v>1260</v>
      </c>
      <c r="B2" s="94" t="s">
        <v>1261</v>
      </c>
      <c r="C2" s="90">
        <v>42594</v>
      </c>
      <c r="D2" s="91" t="s">
        <v>473</v>
      </c>
      <c r="E2" s="95">
        <f t="shared" ref="E2:E16" si="0">C2</f>
        <v>42594</v>
      </c>
      <c r="F2" s="95">
        <f t="shared" ref="F2:F24" si="1">E2+364</f>
        <v>42958</v>
      </c>
      <c r="G2" s="94" t="s">
        <v>1262</v>
      </c>
      <c r="J2" s="96">
        <v>43677</v>
      </c>
    </row>
    <row r="3" spans="1:10" s="94" customFormat="1" ht="15">
      <c r="A3" s="94" t="s">
        <v>880</v>
      </c>
      <c r="B3" s="94" t="s">
        <v>1263</v>
      </c>
      <c r="C3" s="92">
        <v>42913</v>
      </c>
      <c r="D3" s="93" t="s">
        <v>716</v>
      </c>
      <c r="E3" s="95">
        <f t="shared" si="0"/>
        <v>42913</v>
      </c>
      <c r="F3" s="95">
        <f t="shared" si="1"/>
        <v>43277</v>
      </c>
      <c r="G3" s="94" t="s">
        <v>1262</v>
      </c>
      <c r="J3" s="96">
        <v>43616</v>
      </c>
    </row>
    <row r="4" spans="1:10" s="94" customFormat="1" ht="15">
      <c r="A4" s="94" t="s">
        <v>237</v>
      </c>
      <c r="B4" s="94" t="s">
        <v>975</v>
      </c>
      <c r="C4" s="90">
        <v>43054</v>
      </c>
      <c r="D4" s="91" t="s">
        <v>979</v>
      </c>
      <c r="E4" s="95">
        <f t="shared" si="0"/>
        <v>43054</v>
      </c>
      <c r="F4" s="95">
        <f t="shared" si="1"/>
        <v>43418</v>
      </c>
      <c r="G4" s="94" t="s">
        <v>1262</v>
      </c>
      <c r="J4" s="96">
        <v>43769</v>
      </c>
    </row>
    <row r="5" spans="1:10" s="94" customFormat="1" ht="15">
      <c r="A5" s="94" t="s">
        <v>282</v>
      </c>
      <c r="B5" s="94" t="s">
        <v>1264</v>
      </c>
      <c r="C5" s="90">
        <v>43151</v>
      </c>
      <c r="D5" s="91" t="s">
        <v>979</v>
      </c>
      <c r="E5" s="95">
        <f t="shared" si="0"/>
        <v>43151</v>
      </c>
      <c r="F5" s="95">
        <f t="shared" si="1"/>
        <v>43515</v>
      </c>
      <c r="G5" s="94" t="s">
        <v>1262</v>
      </c>
      <c r="J5" s="96">
        <v>43861</v>
      </c>
    </row>
    <row r="6" spans="1:10" s="94" customFormat="1" ht="15">
      <c r="A6" s="94" t="s">
        <v>1265</v>
      </c>
      <c r="B6" s="94" t="s">
        <v>1266</v>
      </c>
      <c r="C6" s="90">
        <v>43224</v>
      </c>
      <c r="D6" s="91" t="s">
        <v>473</v>
      </c>
      <c r="E6" s="95">
        <f t="shared" si="0"/>
        <v>43224</v>
      </c>
      <c r="F6" s="95">
        <f t="shared" si="1"/>
        <v>43588</v>
      </c>
      <c r="G6" s="94" t="s">
        <v>1262</v>
      </c>
      <c r="J6" s="96">
        <v>43951</v>
      </c>
    </row>
    <row r="7" spans="1:10" s="94" customFormat="1" ht="15">
      <c r="A7" s="94" t="s">
        <v>859</v>
      </c>
      <c r="B7" s="94" t="s">
        <v>1267</v>
      </c>
      <c r="C7" s="90">
        <v>43263</v>
      </c>
      <c r="D7" s="91" t="s">
        <v>473</v>
      </c>
      <c r="E7" s="95">
        <f t="shared" si="0"/>
        <v>43263</v>
      </c>
      <c r="F7" s="95">
        <f t="shared" si="1"/>
        <v>43627</v>
      </c>
      <c r="G7" s="94" t="s">
        <v>1262</v>
      </c>
      <c r="J7" s="96">
        <v>43982</v>
      </c>
    </row>
    <row r="8" spans="1:10" s="94" customFormat="1" ht="15">
      <c r="A8" s="94" t="s">
        <v>1268</v>
      </c>
      <c r="B8" s="94" t="s">
        <v>1269</v>
      </c>
      <c r="C8" s="90">
        <v>43375</v>
      </c>
      <c r="D8" s="91" t="s">
        <v>935</v>
      </c>
      <c r="E8" s="95">
        <f t="shared" si="0"/>
        <v>43375</v>
      </c>
      <c r="F8" s="95">
        <f t="shared" si="1"/>
        <v>43739</v>
      </c>
      <c r="G8" s="94" t="s">
        <v>1262</v>
      </c>
      <c r="H8" s="94" t="s">
        <v>1262</v>
      </c>
      <c r="J8" s="96">
        <v>43738</v>
      </c>
    </row>
    <row r="9" spans="1:10" s="94" customFormat="1" ht="15">
      <c r="A9" s="94" t="s">
        <v>1270</v>
      </c>
      <c r="B9" s="94" t="s">
        <v>1164</v>
      </c>
      <c r="C9" s="90">
        <v>43396</v>
      </c>
      <c r="D9" s="91" t="s">
        <v>935</v>
      </c>
      <c r="E9" s="95">
        <f t="shared" si="0"/>
        <v>43396</v>
      </c>
      <c r="F9" s="95">
        <f t="shared" si="1"/>
        <v>43760</v>
      </c>
      <c r="G9" s="94" t="s">
        <v>1262</v>
      </c>
      <c r="J9" s="96">
        <v>43738</v>
      </c>
    </row>
    <row r="10" spans="1:10" s="94" customFormat="1" ht="15">
      <c r="A10" s="94" t="s">
        <v>965</v>
      </c>
      <c r="B10" s="94" t="s">
        <v>1271</v>
      </c>
      <c r="C10" s="90">
        <v>43425</v>
      </c>
      <c r="D10" s="91" t="s">
        <v>473</v>
      </c>
      <c r="E10" s="95">
        <f t="shared" si="0"/>
        <v>43425</v>
      </c>
      <c r="F10" s="95">
        <f t="shared" si="1"/>
        <v>43789</v>
      </c>
      <c r="G10" s="94" t="s">
        <v>1262</v>
      </c>
      <c r="J10" s="96">
        <f>'Masterlist 050421'!R22</f>
        <v>43830</v>
      </c>
    </row>
    <row r="11" spans="1:10" s="94" customFormat="1" ht="15">
      <c r="A11" s="94" t="s">
        <v>966</v>
      </c>
      <c r="B11" s="94" t="s">
        <v>967</v>
      </c>
      <c r="C11" s="92">
        <v>43442</v>
      </c>
      <c r="D11" s="93" t="s">
        <v>716</v>
      </c>
      <c r="E11" s="95">
        <f t="shared" si="0"/>
        <v>43442</v>
      </c>
      <c r="F11" s="95">
        <f t="shared" si="1"/>
        <v>43806</v>
      </c>
      <c r="G11" s="94" t="s">
        <v>1262</v>
      </c>
      <c r="H11" s="94" t="s">
        <v>1262</v>
      </c>
      <c r="J11" s="96">
        <f>Ex!Q22</f>
        <v>43921</v>
      </c>
    </row>
    <row r="12" spans="1:10" s="104" customFormat="1" ht="15">
      <c r="A12" s="104" t="s">
        <v>714</v>
      </c>
      <c r="B12" s="104" t="s">
        <v>715</v>
      </c>
      <c r="C12" s="105">
        <v>43569</v>
      </c>
      <c r="D12" s="106" t="s">
        <v>716</v>
      </c>
      <c r="E12" s="107">
        <f t="shared" si="0"/>
        <v>43569</v>
      </c>
      <c r="F12" s="107">
        <f t="shared" si="1"/>
        <v>43933</v>
      </c>
      <c r="G12" s="104" t="s">
        <v>1272</v>
      </c>
    </row>
    <row r="13" spans="1:10" s="104" customFormat="1" ht="15">
      <c r="A13" s="104" t="s">
        <v>720</v>
      </c>
      <c r="B13" s="104" t="s">
        <v>721</v>
      </c>
      <c r="C13" s="105" t="s">
        <v>724</v>
      </c>
      <c r="D13" s="108" t="s">
        <v>716</v>
      </c>
      <c r="E13" s="107" t="str">
        <f t="shared" si="0"/>
        <v>16/04/2019</v>
      </c>
      <c r="F13" s="107">
        <f t="shared" si="1"/>
        <v>43935</v>
      </c>
      <c r="G13" s="104" t="s">
        <v>1272</v>
      </c>
    </row>
    <row r="14" spans="1:10" s="104" customFormat="1" ht="15">
      <c r="A14" s="104" t="s">
        <v>1161</v>
      </c>
      <c r="B14" s="104" t="s">
        <v>1273</v>
      </c>
      <c r="C14" s="105">
        <v>43595</v>
      </c>
      <c r="D14" s="106" t="s">
        <v>946</v>
      </c>
      <c r="E14" s="107">
        <f t="shared" si="0"/>
        <v>43595</v>
      </c>
      <c r="F14" s="107">
        <f t="shared" si="1"/>
        <v>43959</v>
      </c>
      <c r="G14" s="104" t="s">
        <v>1272</v>
      </c>
    </row>
    <row r="15" spans="1:10" s="104" customFormat="1" ht="15">
      <c r="A15" s="104" t="s">
        <v>1015</v>
      </c>
      <c r="B15" s="104" t="s">
        <v>1274</v>
      </c>
      <c r="C15" s="105">
        <v>43628</v>
      </c>
      <c r="D15" s="106" t="s">
        <v>716</v>
      </c>
      <c r="E15" s="107">
        <f t="shared" si="0"/>
        <v>43628</v>
      </c>
      <c r="F15" s="107">
        <f t="shared" si="1"/>
        <v>43992</v>
      </c>
      <c r="G15" s="104" t="s">
        <v>1272</v>
      </c>
    </row>
    <row r="16" spans="1:10" s="104" customFormat="1" ht="15">
      <c r="A16" s="104" t="s">
        <v>1032</v>
      </c>
      <c r="B16" s="104" t="s">
        <v>1033</v>
      </c>
      <c r="C16" s="105">
        <v>43648</v>
      </c>
      <c r="D16" s="106" t="s">
        <v>946</v>
      </c>
      <c r="E16" s="107">
        <f t="shared" si="0"/>
        <v>43648</v>
      </c>
      <c r="F16" s="107">
        <f t="shared" si="1"/>
        <v>44012</v>
      </c>
      <c r="G16" s="104" t="s">
        <v>1272</v>
      </c>
    </row>
    <row r="17" spans="1:10" s="104" customFormat="1" ht="15">
      <c r="A17" s="104" t="s">
        <v>1275</v>
      </c>
      <c r="B17" s="104" t="s">
        <v>1276</v>
      </c>
      <c r="C17" s="109">
        <v>43202</v>
      </c>
      <c r="D17" s="108" t="s">
        <v>946</v>
      </c>
      <c r="E17" s="107">
        <v>43657</v>
      </c>
      <c r="F17" s="107">
        <f t="shared" si="1"/>
        <v>44021</v>
      </c>
      <c r="G17" s="104" t="s">
        <v>1272</v>
      </c>
    </row>
    <row r="18" spans="1:10" s="104" customFormat="1" ht="60">
      <c r="A18" s="104" t="s">
        <v>1277</v>
      </c>
      <c r="B18" s="104" t="s">
        <v>1278</v>
      </c>
      <c r="C18" s="109">
        <v>43207</v>
      </c>
      <c r="D18" s="108" t="s">
        <v>946</v>
      </c>
      <c r="E18" s="107">
        <v>43657</v>
      </c>
      <c r="F18" s="107">
        <f t="shared" si="1"/>
        <v>44021</v>
      </c>
      <c r="G18" s="104" t="s">
        <v>1279</v>
      </c>
      <c r="I18" s="104" t="s">
        <v>1280</v>
      </c>
    </row>
    <row r="19" spans="1:10" s="168" customFormat="1" ht="30">
      <c r="A19" s="168" t="s">
        <v>1281</v>
      </c>
      <c r="B19" s="168" t="s">
        <v>1219</v>
      </c>
      <c r="C19" s="171">
        <v>43383</v>
      </c>
      <c r="D19" s="170" t="s">
        <v>935</v>
      </c>
      <c r="E19" s="172">
        <v>43748</v>
      </c>
      <c r="F19" s="172">
        <f t="shared" si="1"/>
        <v>44112</v>
      </c>
      <c r="G19" s="168" t="s">
        <v>1272</v>
      </c>
      <c r="H19" s="168" t="s">
        <v>1282</v>
      </c>
      <c r="I19" s="168" t="s">
        <v>1283</v>
      </c>
      <c r="J19" s="173">
        <v>43738</v>
      </c>
    </row>
    <row r="20" spans="1:10" s="168" customFormat="1" ht="15">
      <c r="A20" s="168" t="s">
        <v>1284</v>
      </c>
      <c r="B20" s="168" t="s">
        <v>1285</v>
      </c>
      <c r="C20" s="174">
        <v>43371</v>
      </c>
      <c r="D20" s="175" t="s">
        <v>1286</v>
      </c>
      <c r="E20" s="172">
        <v>43753</v>
      </c>
      <c r="F20" s="172">
        <f t="shared" si="1"/>
        <v>44117</v>
      </c>
      <c r="G20" s="168" t="s">
        <v>1272</v>
      </c>
    </row>
    <row r="21" spans="1:10" s="168" customFormat="1" ht="30">
      <c r="A21" s="168" t="s">
        <v>1287</v>
      </c>
      <c r="B21" s="168" t="s">
        <v>940</v>
      </c>
      <c r="C21" s="171">
        <v>43392</v>
      </c>
      <c r="D21" s="170" t="s">
        <v>941</v>
      </c>
      <c r="E21" s="172">
        <v>43757</v>
      </c>
      <c r="F21" s="172">
        <f t="shared" si="1"/>
        <v>44121</v>
      </c>
      <c r="G21" s="168" t="s">
        <v>1272</v>
      </c>
      <c r="H21" s="168" t="s">
        <v>1282</v>
      </c>
      <c r="I21" s="168" t="s">
        <v>1283</v>
      </c>
      <c r="J21" s="173">
        <v>43738</v>
      </c>
    </row>
    <row r="22" spans="1:10" s="168" customFormat="1" ht="15">
      <c r="A22" s="168" t="s">
        <v>948</v>
      </c>
      <c r="B22" s="168" t="s">
        <v>949</v>
      </c>
      <c r="C22" s="169">
        <v>43811</v>
      </c>
      <c r="D22" s="176" t="s">
        <v>946</v>
      </c>
      <c r="E22" s="172">
        <f>C22</f>
        <v>43811</v>
      </c>
      <c r="F22" s="172">
        <f t="shared" si="1"/>
        <v>44175</v>
      </c>
      <c r="G22" s="168" t="s">
        <v>1272</v>
      </c>
    </row>
    <row r="23" spans="1:10" s="168" customFormat="1" ht="15">
      <c r="A23" s="168" t="s">
        <v>944</v>
      </c>
      <c r="B23" s="168" t="s">
        <v>945</v>
      </c>
      <c r="C23" s="169">
        <v>43742</v>
      </c>
      <c r="D23" s="176" t="s">
        <v>946</v>
      </c>
      <c r="E23" s="172">
        <f>C23</f>
        <v>43742</v>
      </c>
      <c r="F23" s="172">
        <f t="shared" si="1"/>
        <v>44106</v>
      </c>
      <c r="G23" s="168" t="s">
        <v>1272</v>
      </c>
    </row>
    <row r="24" spans="1:10" s="168" customFormat="1" ht="15">
      <c r="A24" s="168" t="s">
        <v>917</v>
      </c>
      <c r="B24" s="168" t="s">
        <v>918</v>
      </c>
      <c r="C24" s="169">
        <v>43314</v>
      </c>
      <c r="D24" s="176" t="s">
        <v>946</v>
      </c>
      <c r="E24" s="172">
        <v>43731</v>
      </c>
      <c r="F24" s="172">
        <f t="shared" si="1"/>
        <v>44095</v>
      </c>
      <c r="G24" s="168" t="s">
        <v>1272</v>
      </c>
    </row>
    <row r="25" spans="1:10" s="168" customFormat="1" ht="15">
      <c r="A25" s="168" t="s">
        <v>980</v>
      </c>
      <c r="B25" s="168" t="s">
        <v>981</v>
      </c>
      <c r="C25" s="169">
        <v>43886</v>
      </c>
      <c r="D25" s="170" t="s">
        <v>935</v>
      </c>
      <c r="E25" s="172">
        <v>43886</v>
      </c>
      <c r="F25" s="172">
        <f t="shared" ref="F25:F36" si="2">E25+364</f>
        <v>44250</v>
      </c>
      <c r="G25" s="168" t="s">
        <v>1272</v>
      </c>
      <c r="H25" s="168" t="s">
        <v>1262</v>
      </c>
      <c r="J25" s="173">
        <v>44227</v>
      </c>
    </row>
    <row r="26" spans="1:10" s="168" customFormat="1" ht="15">
      <c r="A26" s="118" t="s">
        <v>1019</v>
      </c>
      <c r="B26" s="118" t="s">
        <v>1020</v>
      </c>
      <c r="C26" s="169">
        <v>43990</v>
      </c>
      <c r="D26" s="176" t="s">
        <v>946</v>
      </c>
      <c r="E26" s="172">
        <v>43990</v>
      </c>
      <c r="F26" s="172">
        <f t="shared" si="2"/>
        <v>44354</v>
      </c>
      <c r="G26" s="168" t="s">
        <v>1272</v>
      </c>
      <c r="H26" s="168" t="s">
        <v>1262</v>
      </c>
      <c r="J26" s="173"/>
    </row>
    <row r="27" spans="1:10" s="168" customFormat="1" ht="15">
      <c r="A27" s="118" t="s">
        <v>1022</v>
      </c>
      <c r="B27" s="118" t="s">
        <v>1023</v>
      </c>
      <c r="C27" s="169">
        <v>44007</v>
      </c>
      <c r="D27" s="176" t="s">
        <v>946</v>
      </c>
      <c r="E27" s="172">
        <v>44007</v>
      </c>
      <c r="F27" s="172">
        <f t="shared" si="2"/>
        <v>44371</v>
      </c>
      <c r="G27" s="168" t="s">
        <v>1272</v>
      </c>
      <c r="H27" s="168" t="s">
        <v>1262</v>
      </c>
      <c r="J27" s="173"/>
    </row>
    <row r="28" spans="1:10" s="168" customFormat="1" ht="15">
      <c r="A28" s="118" t="s">
        <v>1038</v>
      </c>
      <c r="B28" s="118" t="s">
        <v>1039</v>
      </c>
      <c r="C28" s="171">
        <v>44025</v>
      </c>
      <c r="D28" s="176" t="s">
        <v>946</v>
      </c>
      <c r="E28" s="172">
        <v>44025</v>
      </c>
      <c r="F28" s="172">
        <f t="shared" si="2"/>
        <v>44389</v>
      </c>
      <c r="G28" s="168" t="s">
        <v>1272</v>
      </c>
      <c r="H28" s="168" t="s">
        <v>1262</v>
      </c>
      <c r="J28" s="173"/>
    </row>
    <row r="29" spans="1:10" s="168" customFormat="1" ht="15">
      <c r="A29" s="118" t="s">
        <v>1043</v>
      </c>
      <c r="B29" s="168" t="s">
        <v>1044</v>
      </c>
      <c r="C29" s="171">
        <v>44025</v>
      </c>
      <c r="D29" s="176" t="s">
        <v>946</v>
      </c>
      <c r="E29" s="172">
        <v>44025</v>
      </c>
      <c r="F29" s="172">
        <f t="shared" si="2"/>
        <v>44389</v>
      </c>
      <c r="G29" s="168" t="s">
        <v>1272</v>
      </c>
      <c r="H29" s="168" t="s">
        <v>1262</v>
      </c>
      <c r="J29" s="173"/>
    </row>
    <row r="30" spans="1:10" s="168" customFormat="1" ht="15">
      <c r="A30" s="168" t="s">
        <v>1055</v>
      </c>
      <c r="B30" s="168" t="s">
        <v>1288</v>
      </c>
      <c r="C30" s="169">
        <v>44048</v>
      </c>
      <c r="D30" s="176" t="s">
        <v>946</v>
      </c>
      <c r="E30" s="172">
        <v>44048</v>
      </c>
      <c r="F30" s="172">
        <f t="shared" si="2"/>
        <v>44412</v>
      </c>
      <c r="G30" s="168" t="s">
        <v>1272</v>
      </c>
      <c r="H30" s="168" t="s">
        <v>1262</v>
      </c>
      <c r="J30" s="173">
        <v>44408</v>
      </c>
    </row>
    <row r="31" spans="1:10" s="168" customFormat="1" ht="15">
      <c r="A31" s="168" t="s">
        <v>1069</v>
      </c>
      <c r="B31" s="168" t="s">
        <v>1070</v>
      </c>
      <c r="C31" s="169">
        <v>44076</v>
      </c>
      <c r="D31" s="170" t="s">
        <v>1004</v>
      </c>
      <c r="E31" s="177">
        <v>44076</v>
      </c>
      <c r="F31" s="172">
        <f t="shared" si="2"/>
        <v>44440</v>
      </c>
      <c r="G31" s="168" t="s">
        <v>1272</v>
      </c>
      <c r="H31" s="168" t="s">
        <v>1262</v>
      </c>
      <c r="J31" s="173">
        <v>44439</v>
      </c>
    </row>
    <row r="32" spans="1:10" s="168" customFormat="1" ht="15">
      <c r="A32" s="168" t="s">
        <v>1073</v>
      </c>
      <c r="B32" s="168" t="s">
        <v>1074</v>
      </c>
      <c r="C32" s="169">
        <v>44084</v>
      </c>
      <c r="D32" s="170" t="s">
        <v>1004</v>
      </c>
      <c r="E32" s="172">
        <v>44084</v>
      </c>
      <c r="F32" s="172">
        <f t="shared" si="2"/>
        <v>44448</v>
      </c>
      <c r="G32" s="168" t="s">
        <v>1272</v>
      </c>
      <c r="H32" s="168" t="s">
        <v>1262</v>
      </c>
      <c r="J32" s="173">
        <v>44439</v>
      </c>
    </row>
    <row r="33" spans="1:10" s="168" customFormat="1" ht="15">
      <c r="A33" s="168" t="s">
        <v>1076</v>
      </c>
      <c r="B33" s="168" t="s">
        <v>1077</v>
      </c>
      <c r="C33" s="169">
        <v>44085</v>
      </c>
      <c r="D33" s="170" t="s">
        <v>1004</v>
      </c>
      <c r="E33" s="177">
        <v>44085</v>
      </c>
      <c r="F33" s="172">
        <f t="shared" si="2"/>
        <v>44449</v>
      </c>
      <c r="G33" s="168" t="s">
        <v>1272</v>
      </c>
      <c r="H33" s="168" t="s">
        <v>1262</v>
      </c>
      <c r="J33" s="173">
        <v>44439</v>
      </c>
    </row>
    <row r="34" spans="1:10" s="168" customFormat="1" ht="15">
      <c r="A34" s="168" t="s">
        <v>1079</v>
      </c>
      <c r="B34" s="168" t="s">
        <v>1289</v>
      </c>
      <c r="C34" s="169">
        <v>44093</v>
      </c>
      <c r="D34" s="170" t="s">
        <v>1004</v>
      </c>
      <c r="E34" s="177">
        <v>44093</v>
      </c>
      <c r="F34" s="172">
        <f t="shared" si="2"/>
        <v>44457</v>
      </c>
      <c r="G34" s="168" t="s">
        <v>1272</v>
      </c>
      <c r="H34" s="168" t="s">
        <v>1262</v>
      </c>
      <c r="J34" s="173">
        <v>44439</v>
      </c>
    </row>
    <row r="35" spans="1:10" s="168" customFormat="1" ht="15">
      <c r="A35" s="168" t="s">
        <v>1084</v>
      </c>
      <c r="B35" s="168" t="s">
        <v>1085</v>
      </c>
      <c r="C35" s="169">
        <v>44096</v>
      </c>
      <c r="D35" s="170" t="s">
        <v>1004</v>
      </c>
      <c r="E35" s="177">
        <v>44096</v>
      </c>
      <c r="F35" s="172">
        <f t="shared" si="2"/>
        <v>44460</v>
      </c>
      <c r="G35" s="168" t="s">
        <v>1272</v>
      </c>
      <c r="H35" s="168" t="s">
        <v>1262</v>
      </c>
      <c r="J35" s="173">
        <v>44439</v>
      </c>
    </row>
    <row r="36" spans="1:10" s="168" customFormat="1" ht="15">
      <c r="A36" s="168" t="s">
        <v>1277</v>
      </c>
      <c r="B36" s="168" t="s">
        <v>1290</v>
      </c>
      <c r="C36" s="169"/>
      <c r="D36" s="170" t="s">
        <v>1004</v>
      </c>
      <c r="E36" s="177">
        <v>44090</v>
      </c>
      <c r="F36" s="172">
        <f t="shared" si="2"/>
        <v>44454</v>
      </c>
      <c r="G36" s="168" t="s">
        <v>1272</v>
      </c>
      <c r="H36" s="168" t="s">
        <v>1262</v>
      </c>
    </row>
    <row r="37" spans="1:10" s="168" customFormat="1" ht="15">
      <c r="A37" s="168" t="s">
        <v>1081</v>
      </c>
      <c r="B37" s="168" t="s">
        <v>1082</v>
      </c>
      <c r="C37" s="169">
        <v>44096</v>
      </c>
      <c r="D37" s="170" t="s">
        <v>1004</v>
      </c>
      <c r="E37" s="177">
        <v>44096</v>
      </c>
      <c r="F37" s="177">
        <v>44460</v>
      </c>
      <c r="G37" s="168" t="s">
        <v>1272</v>
      </c>
      <c r="H37" s="168" t="s">
        <v>1262</v>
      </c>
      <c r="J37" s="173">
        <v>44439</v>
      </c>
    </row>
    <row r="38" spans="1:10" s="168" customFormat="1" ht="15">
      <c r="A38" s="168" t="s">
        <v>1095</v>
      </c>
      <c r="B38" s="168" t="s">
        <v>1291</v>
      </c>
      <c r="C38" s="169">
        <v>44103</v>
      </c>
      <c r="D38" s="170" t="s">
        <v>1004</v>
      </c>
      <c r="E38" s="177">
        <v>44103</v>
      </c>
      <c r="F38" s="177">
        <v>44467</v>
      </c>
      <c r="G38" s="168" t="s">
        <v>1272</v>
      </c>
      <c r="H38" s="168" t="s">
        <v>1262</v>
      </c>
      <c r="J38" s="173">
        <v>44439</v>
      </c>
    </row>
    <row r="39" spans="1:10" s="168" customFormat="1" ht="15">
      <c r="A39" s="178" t="s">
        <v>1092</v>
      </c>
      <c r="B39" s="178" t="s">
        <v>1093</v>
      </c>
      <c r="C39" s="169">
        <v>44103</v>
      </c>
      <c r="D39" s="170" t="s">
        <v>1004</v>
      </c>
      <c r="E39" s="177">
        <v>44102</v>
      </c>
      <c r="F39" s="177">
        <v>44466</v>
      </c>
      <c r="G39" s="168" t="s">
        <v>1272</v>
      </c>
      <c r="H39" s="168" t="s">
        <v>1262</v>
      </c>
      <c r="J39" s="173">
        <v>44439</v>
      </c>
    </row>
    <row r="40" spans="1:10" s="168" customFormat="1" ht="15">
      <c r="A40" s="178" t="s">
        <v>1088</v>
      </c>
      <c r="B40" s="178" t="s">
        <v>1089</v>
      </c>
      <c r="C40" s="169">
        <v>44099</v>
      </c>
      <c r="D40" s="170" t="s">
        <v>1004</v>
      </c>
      <c r="E40" s="177">
        <v>44099</v>
      </c>
      <c r="F40" s="177">
        <v>44463</v>
      </c>
      <c r="G40" s="168" t="s">
        <v>1272</v>
      </c>
      <c r="H40" s="168" t="s">
        <v>1262</v>
      </c>
      <c r="J40" s="173">
        <v>44439</v>
      </c>
    </row>
    <row r="41" spans="1:10" ht="15">
      <c r="B41" s="97" t="s">
        <v>1292</v>
      </c>
    </row>
    <row r="42" spans="1:10" ht="15">
      <c r="A42" s="119" t="s">
        <v>972</v>
      </c>
      <c r="B42" s="97" t="s">
        <v>973</v>
      </c>
      <c r="D42" s="176" t="s">
        <v>946</v>
      </c>
      <c r="E42" s="215">
        <v>44120</v>
      </c>
      <c r="F42" s="215">
        <v>44484</v>
      </c>
      <c r="G42" s="97" t="s">
        <v>1272</v>
      </c>
      <c r="H42" s="97" t="s">
        <v>1262</v>
      </c>
    </row>
    <row r="43" spans="1:10" ht="15">
      <c r="B43" s="97" t="s">
        <v>2150</v>
      </c>
      <c r="D43" s="88" t="s">
        <v>2152</v>
      </c>
    </row>
    <row r="44" spans="1:10" ht="15">
      <c r="B44" s="97" t="s">
        <v>1082</v>
      </c>
      <c r="D44" s="88" t="s">
        <v>2152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B424-1231-B24F-BD4E-5B5D300CFBC1}">
  <dimension ref="A1:F4"/>
  <sheetViews>
    <sheetView workbookViewId="0">
      <selection activeCell="D17" sqref="D17"/>
    </sheetView>
  </sheetViews>
  <sheetFormatPr baseColWidth="10" defaultRowHeight="13"/>
  <cols>
    <col min="1" max="2" width="14.6640625" customWidth="1"/>
    <col min="3" max="3" width="15.5" bestFit="1" customWidth="1"/>
    <col min="6" max="6" width="21.5" customWidth="1"/>
  </cols>
  <sheetData>
    <row r="1" spans="1:6">
      <c r="A1" t="s">
        <v>2166</v>
      </c>
      <c r="B1" t="s">
        <v>2171</v>
      </c>
      <c r="C1" t="s">
        <v>2167</v>
      </c>
      <c r="D1" t="s">
        <v>2168</v>
      </c>
      <c r="E1" t="s">
        <v>2169</v>
      </c>
      <c r="F1" t="s">
        <v>2170</v>
      </c>
    </row>
    <row r="2" spans="1:6">
      <c r="A2" s="239">
        <v>44197</v>
      </c>
      <c r="B2" s="240">
        <v>300</v>
      </c>
      <c r="C2" t="s">
        <v>2165</v>
      </c>
      <c r="F2" t="s">
        <v>2152</v>
      </c>
    </row>
    <row r="3" spans="1:6">
      <c r="A3" s="239">
        <v>44197</v>
      </c>
      <c r="B3" s="240">
        <v>300</v>
      </c>
      <c r="C3" t="s">
        <v>2150</v>
      </c>
      <c r="D3" s="51">
        <v>44204</v>
      </c>
      <c r="E3" s="51">
        <v>44203</v>
      </c>
      <c r="F3" t="s">
        <v>2152</v>
      </c>
    </row>
    <row r="4" spans="1:6">
      <c r="A4" s="239"/>
      <c r="B4" s="24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Y149"/>
  <sheetViews>
    <sheetView topLeftCell="F1" zoomScale="90" zoomScaleNormal="80" workbookViewId="0">
      <pane ySplit="1" topLeftCell="A114" activePane="bottomLeft" state="frozen"/>
      <selection pane="bottomLeft" activeCell="M109" sqref="M109"/>
    </sheetView>
  </sheetViews>
  <sheetFormatPr baseColWidth="10" defaultColWidth="10.83203125" defaultRowHeight="13"/>
  <cols>
    <col min="1" max="1" width="5.6640625" style="83" bestFit="1" customWidth="1"/>
    <col min="2" max="2" width="10.33203125" style="83" bestFit="1" customWidth="1"/>
    <col min="3" max="3" width="8.6640625" style="83" bestFit="1" customWidth="1"/>
    <col min="4" max="4" width="10.1640625" style="83" bestFit="1" customWidth="1"/>
    <col min="5" max="5" width="12.1640625" style="83" bestFit="1" customWidth="1"/>
    <col min="6" max="6" width="44.5" style="83" customWidth="1"/>
    <col min="7" max="7" width="17.6640625" style="83" bestFit="1" customWidth="1"/>
    <col min="8" max="8" width="16" style="83" bestFit="1" customWidth="1"/>
    <col min="9" max="9" width="16" style="83" customWidth="1"/>
    <col min="10" max="10" width="16" style="83" bestFit="1" customWidth="1"/>
    <col min="11" max="11" width="13.1640625" style="83" bestFit="1" customWidth="1"/>
    <col min="12" max="12" width="7.6640625" style="83" bestFit="1" customWidth="1"/>
    <col min="13" max="13" width="57.83203125" style="83" customWidth="1"/>
    <col min="14" max="14" width="10.83203125" style="83"/>
    <col min="15" max="15" width="10.1640625" style="83" bestFit="1" customWidth="1"/>
    <col min="16" max="16" width="19" style="83" customWidth="1"/>
    <col min="17" max="17" width="24.1640625" style="83" customWidth="1"/>
    <col min="18" max="18" width="29" style="83" customWidth="1"/>
    <col min="19" max="19" width="14.33203125" style="83" bestFit="1" customWidth="1"/>
    <col min="20" max="20" width="6" style="83" bestFit="1" customWidth="1"/>
    <col min="21" max="21" width="10.33203125" style="83" bestFit="1" customWidth="1"/>
    <col min="22" max="22" width="8.1640625" style="83" bestFit="1" customWidth="1"/>
    <col min="23" max="23" width="9.6640625" style="83" bestFit="1" customWidth="1"/>
    <col min="24" max="24" width="17.1640625" style="83" customWidth="1"/>
    <col min="25" max="16384" width="10.83203125" style="83"/>
  </cols>
  <sheetData>
    <row r="1" spans="1:25" ht="28">
      <c r="A1" s="83" t="s">
        <v>1293</v>
      </c>
      <c r="B1" s="83" t="s">
        <v>1294</v>
      </c>
      <c r="C1" s="83" t="s">
        <v>1295</v>
      </c>
      <c r="D1" s="83" t="s">
        <v>1296</v>
      </c>
      <c r="E1" s="83" t="s">
        <v>1252</v>
      </c>
      <c r="F1" s="83" t="s">
        <v>1297</v>
      </c>
      <c r="G1" s="83" t="s">
        <v>1298</v>
      </c>
      <c r="H1" s="83" t="s">
        <v>1299</v>
      </c>
      <c r="I1" s="83" t="s">
        <v>1300</v>
      </c>
      <c r="J1" s="83" t="s">
        <v>10</v>
      </c>
      <c r="K1" s="83" t="s">
        <v>1301</v>
      </c>
      <c r="L1" s="83" t="s">
        <v>1302</v>
      </c>
      <c r="M1" s="83" t="s">
        <v>1303</v>
      </c>
      <c r="N1" s="83" t="s">
        <v>1304</v>
      </c>
      <c r="O1" s="83" t="s">
        <v>1305</v>
      </c>
      <c r="P1" s="83" t="s">
        <v>1306</v>
      </c>
      <c r="Q1" s="83" t="s">
        <v>1307</v>
      </c>
      <c r="R1" s="83" t="s">
        <v>1308</v>
      </c>
      <c r="S1" s="83" t="s">
        <v>1309</v>
      </c>
      <c r="T1" s="83" t="s">
        <v>1310</v>
      </c>
      <c r="U1" s="83" t="s">
        <v>1311</v>
      </c>
      <c r="V1" s="83" t="s">
        <v>1312</v>
      </c>
      <c r="W1" s="83" t="s">
        <v>1313</v>
      </c>
      <c r="X1" s="83" t="s">
        <v>1314</v>
      </c>
      <c r="Y1" s="83" t="s">
        <v>1315</v>
      </c>
    </row>
    <row r="2" spans="1:25" s="84" customFormat="1" ht="42">
      <c r="B2" s="85">
        <v>43571</v>
      </c>
      <c r="C2" s="84" t="s">
        <v>1316</v>
      </c>
      <c r="D2" s="84" t="s">
        <v>1317</v>
      </c>
      <c r="E2" s="85">
        <v>43569</v>
      </c>
      <c r="F2" s="84" t="s">
        <v>1318</v>
      </c>
      <c r="K2" s="84" t="s">
        <v>1319</v>
      </c>
      <c r="M2" s="84" t="s">
        <v>1320</v>
      </c>
      <c r="N2" s="84" t="s">
        <v>1321</v>
      </c>
    </row>
    <row r="3" spans="1:25" s="84" customFormat="1" ht="56">
      <c r="B3" s="85">
        <v>43578</v>
      </c>
      <c r="C3" s="84" t="s">
        <v>1316</v>
      </c>
      <c r="D3" s="84" t="s">
        <v>1317</v>
      </c>
      <c r="F3" s="84" t="s">
        <v>731</v>
      </c>
      <c r="G3" s="84" t="s">
        <v>1322</v>
      </c>
      <c r="H3" s="84" t="s">
        <v>1173</v>
      </c>
      <c r="J3" s="84" t="s">
        <v>1323</v>
      </c>
      <c r="K3" s="84" t="s">
        <v>1324</v>
      </c>
      <c r="M3" s="84" t="s">
        <v>1325</v>
      </c>
      <c r="N3" s="84" t="s">
        <v>1321</v>
      </c>
      <c r="O3" s="85"/>
      <c r="P3" s="85"/>
      <c r="Q3" s="85"/>
      <c r="R3" s="85"/>
    </row>
    <row r="4" spans="1:25" s="84" customFormat="1" ht="70">
      <c r="B4" s="85">
        <v>43578</v>
      </c>
      <c r="C4" s="84" t="s">
        <v>1316</v>
      </c>
      <c r="D4" s="84" t="s">
        <v>1317</v>
      </c>
      <c r="F4" s="84" t="s">
        <v>1326</v>
      </c>
      <c r="H4" s="84" t="s">
        <v>1327</v>
      </c>
      <c r="J4" s="84" t="s">
        <v>1323</v>
      </c>
      <c r="K4" s="84" t="s">
        <v>1324</v>
      </c>
      <c r="M4" s="84" t="s">
        <v>1328</v>
      </c>
      <c r="N4" s="84" t="s">
        <v>1321</v>
      </c>
    </row>
    <row r="5" spans="1:25" s="86" customFormat="1" ht="42">
      <c r="B5" s="87">
        <v>43591</v>
      </c>
      <c r="C5" s="86" t="s">
        <v>1316</v>
      </c>
      <c r="D5" s="86" t="s">
        <v>1317</v>
      </c>
      <c r="F5" s="86" t="s">
        <v>1329</v>
      </c>
      <c r="G5" s="86" t="s">
        <v>1330</v>
      </c>
      <c r="J5" s="86" t="s">
        <v>1323</v>
      </c>
      <c r="K5" s="86" t="s">
        <v>1324</v>
      </c>
      <c r="M5" s="86" t="s">
        <v>1331</v>
      </c>
      <c r="N5" s="86" t="s">
        <v>1332</v>
      </c>
    </row>
    <row r="6" spans="1:25" s="86" customFormat="1" ht="42">
      <c r="B6" s="87">
        <v>43594</v>
      </c>
      <c r="C6" s="86" t="s">
        <v>1316</v>
      </c>
      <c r="D6" s="86" t="s">
        <v>1333</v>
      </c>
      <c r="F6" s="86" t="s">
        <v>1334</v>
      </c>
      <c r="K6" s="86" t="s">
        <v>1335</v>
      </c>
      <c r="M6" s="86" t="s">
        <v>1336</v>
      </c>
      <c r="N6" s="86" t="s">
        <v>1337</v>
      </c>
    </row>
    <row r="7" spans="1:25" s="86" customFormat="1" ht="28">
      <c r="B7" s="87">
        <v>43565</v>
      </c>
      <c r="C7" s="86" t="s">
        <v>1316</v>
      </c>
      <c r="D7" s="86" t="s">
        <v>1338</v>
      </c>
      <c r="F7" s="86" t="s">
        <v>1339</v>
      </c>
      <c r="G7" s="86" t="s">
        <v>1340</v>
      </c>
      <c r="H7" s="86" t="s">
        <v>1341</v>
      </c>
      <c r="M7" s="86" t="s">
        <v>1342</v>
      </c>
      <c r="N7" s="86" t="s">
        <v>1343</v>
      </c>
    </row>
    <row r="8" spans="1:25" s="84" customFormat="1" ht="28">
      <c r="B8" s="85">
        <v>43565</v>
      </c>
      <c r="C8" s="84" t="s">
        <v>1316</v>
      </c>
      <c r="D8" s="84" t="s">
        <v>1338</v>
      </c>
      <c r="F8" s="84" t="s">
        <v>1344</v>
      </c>
      <c r="G8" s="84" t="s">
        <v>1345</v>
      </c>
      <c r="H8" s="84" t="s">
        <v>1346</v>
      </c>
      <c r="K8" s="84" t="s">
        <v>1324</v>
      </c>
      <c r="M8" s="84" t="s">
        <v>1347</v>
      </c>
      <c r="N8" s="84" t="s">
        <v>1321</v>
      </c>
    </row>
    <row r="9" spans="1:25" s="84" customFormat="1" ht="42">
      <c r="B9" s="85">
        <v>43565</v>
      </c>
      <c r="C9" s="84" t="s">
        <v>1316</v>
      </c>
      <c r="D9" s="84" t="s">
        <v>1338</v>
      </c>
      <c r="F9" s="84" t="s">
        <v>1348</v>
      </c>
      <c r="G9" s="84" t="s">
        <v>1349</v>
      </c>
      <c r="H9" s="84" t="s">
        <v>1341</v>
      </c>
      <c r="M9" s="84" t="s">
        <v>1350</v>
      </c>
      <c r="N9" s="84" t="s">
        <v>1321</v>
      </c>
    </row>
    <row r="10" spans="1:25" s="84" customFormat="1" ht="42">
      <c r="B10" s="85">
        <v>43565</v>
      </c>
      <c r="C10" s="84" t="s">
        <v>1316</v>
      </c>
      <c r="D10" s="84" t="s">
        <v>1338</v>
      </c>
      <c r="F10" s="84" t="s">
        <v>1351</v>
      </c>
      <c r="G10" s="84" t="s">
        <v>1352</v>
      </c>
      <c r="H10" s="84" t="s">
        <v>1346</v>
      </c>
      <c r="K10" s="84" t="s">
        <v>1324</v>
      </c>
      <c r="M10" s="84" t="s">
        <v>1347</v>
      </c>
      <c r="N10" s="84" t="s">
        <v>1353</v>
      </c>
    </row>
    <row r="11" spans="1:25" s="84" customFormat="1" ht="42">
      <c r="B11" s="85">
        <v>43565</v>
      </c>
      <c r="C11" s="84" t="s">
        <v>1316</v>
      </c>
      <c r="D11" s="84" t="s">
        <v>1338</v>
      </c>
      <c r="F11" s="84" t="s">
        <v>1354</v>
      </c>
      <c r="G11" s="84" t="s">
        <v>1355</v>
      </c>
      <c r="H11" s="84" t="s">
        <v>1356</v>
      </c>
      <c r="M11" s="84" t="s">
        <v>1350</v>
      </c>
      <c r="N11" s="84" t="s">
        <v>1321</v>
      </c>
    </row>
    <row r="12" spans="1:25" s="84" customFormat="1" ht="42">
      <c r="B12" s="85">
        <v>43565</v>
      </c>
      <c r="C12" s="84" t="s">
        <v>1316</v>
      </c>
      <c r="D12" s="84" t="s">
        <v>1338</v>
      </c>
      <c r="F12" s="84" t="s">
        <v>1357</v>
      </c>
      <c r="G12" s="84" t="s">
        <v>1358</v>
      </c>
      <c r="H12" s="84" t="s">
        <v>1356</v>
      </c>
      <c r="M12" s="84" t="s">
        <v>1350</v>
      </c>
      <c r="N12" s="84" t="s">
        <v>1321</v>
      </c>
    </row>
    <row r="13" spans="1:25" s="84" customFormat="1" ht="42">
      <c r="B13" s="85">
        <v>43597</v>
      </c>
      <c r="C13" s="84" t="s">
        <v>1316</v>
      </c>
      <c r="D13" s="84" t="s">
        <v>1333</v>
      </c>
      <c r="F13" s="84" t="s">
        <v>1359</v>
      </c>
      <c r="K13" s="84" t="s">
        <v>1360</v>
      </c>
      <c r="M13" s="84" t="s">
        <v>1361</v>
      </c>
      <c r="N13" s="84" t="s">
        <v>1321</v>
      </c>
    </row>
    <row r="14" spans="1:25" s="84" customFormat="1" ht="42">
      <c r="B14" s="85">
        <v>43591</v>
      </c>
      <c r="C14" s="84" t="s">
        <v>1316</v>
      </c>
      <c r="D14" s="84" t="s">
        <v>1333</v>
      </c>
      <c r="F14" s="84" t="s">
        <v>1329</v>
      </c>
      <c r="G14" s="84" t="s">
        <v>1330</v>
      </c>
      <c r="J14" s="84" t="s">
        <v>1323</v>
      </c>
      <c r="K14" s="84" t="s">
        <v>1360</v>
      </c>
      <c r="M14" s="84" t="s">
        <v>1331</v>
      </c>
      <c r="N14" s="84" t="s">
        <v>1321</v>
      </c>
    </row>
    <row r="15" spans="1:25" s="84" customFormat="1" ht="42">
      <c r="B15" s="85">
        <v>43612</v>
      </c>
      <c r="C15" s="84" t="s">
        <v>1316</v>
      </c>
      <c r="D15" s="84" t="s">
        <v>1362</v>
      </c>
      <c r="F15" s="84" t="s">
        <v>1363</v>
      </c>
      <c r="G15" s="84" t="s">
        <v>1364</v>
      </c>
      <c r="K15" s="84" t="s">
        <v>1365</v>
      </c>
      <c r="M15" s="84" t="s">
        <v>1366</v>
      </c>
      <c r="N15" s="84" t="s">
        <v>1321</v>
      </c>
    </row>
    <row r="16" spans="1:25" s="84" customFormat="1" ht="42">
      <c r="B16" s="85">
        <v>43612</v>
      </c>
      <c r="C16" s="84" t="s">
        <v>1316</v>
      </c>
      <c r="D16" s="84" t="s">
        <v>1362</v>
      </c>
      <c r="F16" s="84" t="s">
        <v>1363</v>
      </c>
      <c r="G16" s="84" t="s">
        <v>1364</v>
      </c>
      <c r="K16" s="84" t="s">
        <v>1367</v>
      </c>
      <c r="M16" s="84" t="s">
        <v>1368</v>
      </c>
      <c r="N16" s="84" t="s">
        <v>1321</v>
      </c>
    </row>
    <row r="17" spans="2:16" s="84" customFormat="1" ht="42">
      <c r="B17" s="85">
        <v>43612</v>
      </c>
      <c r="C17" s="84" t="s">
        <v>1316</v>
      </c>
      <c r="D17" s="84" t="s">
        <v>1362</v>
      </c>
      <c r="F17" s="84" t="s">
        <v>1369</v>
      </c>
      <c r="G17" s="84" t="s">
        <v>1364</v>
      </c>
      <c r="K17" s="84" t="s">
        <v>1319</v>
      </c>
      <c r="M17" s="84" t="s">
        <v>1370</v>
      </c>
      <c r="N17" s="84" t="s">
        <v>1321</v>
      </c>
    </row>
    <row r="18" spans="2:16" s="84" customFormat="1" ht="70">
      <c r="B18" s="85">
        <v>43656</v>
      </c>
      <c r="C18" s="84" t="s">
        <v>1160</v>
      </c>
      <c r="D18" s="84" t="s">
        <v>1371</v>
      </c>
      <c r="F18" s="84" t="s">
        <v>1372</v>
      </c>
      <c r="K18" s="84" t="s">
        <v>1319</v>
      </c>
      <c r="M18" s="84" t="s">
        <v>1373</v>
      </c>
      <c r="N18" s="84" t="s">
        <v>1321</v>
      </c>
    </row>
    <row r="19" spans="2:16" s="84" customFormat="1" ht="28">
      <c r="D19" s="84" t="s">
        <v>1374</v>
      </c>
      <c r="F19" s="84" t="s">
        <v>1375</v>
      </c>
      <c r="K19" s="84" t="s">
        <v>1376</v>
      </c>
      <c r="N19" s="84" t="s">
        <v>1321</v>
      </c>
    </row>
    <row r="20" spans="2:16" s="86" customFormat="1" ht="42">
      <c r="B20" s="87">
        <v>43718</v>
      </c>
      <c r="C20" s="86" t="s">
        <v>1316</v>
      </c>
      <c r="D20" s="86" t="s">
        <v>1362</v>
      </c>
      <c r="F20" s="86" t="s">
        <v>1377</v>
      </c>
      <c r="K20" s="86" t="s">
        <v>1378</v>
      </c>
      <c r="M20" s="86" t="s">
        <v>1379</v>
      </c>
      <c r="N20" s="86" t="s">
        <v>1380</v>
      </c>
    </row>
    <row r="21" spans="2:16" s="86" customFormat="1" ht="42">
      <c r="B21" s="87">
        <v>43725</v>
      </c>
      <c r="C21" s="86" t="s">
        <v>1316</v>
      </c>
      <c r="D21" s="86" t="s">
        <v>1362</v>
      </c>
      <c r="F21" s="86" t="s">
        <v>1381</v>
      </c>
      <c r="K21" s="86" t="s">
        <v>1378</v>
      </c>
      <c r="M21" s="86" t="s">
        <v>1382</v>
      </c>
      <c r="N21" s="86" t="s">
        <v>1380</v>
      </c>
    </row>
    <row r="22" spans="2:16" s="84" customFormat="1" ht="42">
      <c r="B22" s="85">
        <v>43710</v>
      </c>
      <c r="C22" s="84" t="s">
        <v>1316</v>
      </c>
      <c r="D22" s="84" t="s">
        <v>1374</v>
      </c>
      <c r="F22" s="84" t="s">
        <v>1383</v>
      </c>
      <c r="K22" s="84" t="s">
        <v>1376</v>
      </c>
      <c r="M22" s="84" t="s">
        <v>1384</v>
      </c>
      <c r="N22" s="84" t="s">
        <v>1321</v>
      </c>
    </row>
    <row r="23" spans="2:16" s="84" customFormat="1" ht="42">
      <c r="B23" s="85">
        <v>43700</v>
      </c>
      <c r="C23" s="84" t="s">
        <v>1316</v>
      </c>
      <c r="D23" s="84" t="s">
        <v>1374</v>
      </c>
      <c r="F23" s="84" t="s">
        <v>1385</v>
      </c>
      <c r="K23" s="84" t="s">
        <v>1319</v>
      </c>
      <c r="M23" s="84" t="s">
        <v>1386</v>
      </c>
      <c r="N23" s="84" t="s">
        <v>1321</v>
      </c>
    </row>
    <row r="24" spans="2:16" s="84" customFormat="1" ht="56">
      <c r="B24" s="85">
        <v>43703</v>
      </c>
      <c r="C24" s="84" t="s">
        <v>1316</v>
      </c>
      <c r="D24" s="84" t="s">
        <v>1387</v>
      </c>
      <c r="F24" s="84" t="s">
        <v>1388</v>
      </c>
      <c r="K24" s="84" t="s">
        <v>1389</v>
      </c>
      <c r="M24" s="84" t="s">
        <v>1390</v>
      </c>
      <c r="N24" s="84" t="s">
        <v>1321</v>
      </c>
    </row>
    <row r="25" spans="2:16" s="86" customFormat="1" ht="42">
      <c r="B25" s="87">
        <v>43718</v>
      </c>
      <c r="C25" s="86" t="s">
        <v>1316</v>
      </c>
      <c r="D25" s="86" t="s">
        <v>1371</v>
      </c>
      <c r="F25" s="86" t="s">
        <v>1391</v>
      </c>
      <c r="K25" s="86" t="s">
        <v>1389</v>
      </c>
      <c r="M25" s="86" t="s">
        <v>1392</v>
      </c>
      <c r="N25" s="86" t="s">
        <v>1343</v>
      </c>
    </row>
    <row r="26" spans="2:16" s="86" customFormat="1" ht="28">
      <c r="B26" s="87">
        <v>43724</v>
      </c>
      <c r="C26" s="86" t="s">
        <v>1316</v>
      </c>
      <c r="D26" s="86" t="s">
        <v>1374</v>
      </c>
      <c r="F26" s="86" t="s">
        <v>1393</v>
      </c>
      <c r="K26" s="86" t="s">
        <v>1376</v>
      </c>
      <c r="M26" s="86" t="s">
        <v>1394</v>
      </c>
      <c r="N26" s="86" t="s">
        <v>1395</v>
      </c>
    </row>
    <row r="27" spans="2:16" s="86" customFormat="1" ht="28">
      <c r="B27" s="87">
        <v>43724</v>
      </c>
      <c r="C27" s="86" t="s">
        <v>1316</v>
      </c>
      <c r="D27" s="86" t="s">
        <v>1374</v>
      </c>
      <c r="F27" s="86" t="s">
        <v>1396</v>
      </c>
      <c r="K27" s="86" t="s">
        <v>1389</v>
      </c>
      <c r="M27" s="86" t="s">
        <v>1397</v>
      </c>
      <c r="N27" s="86" t="s">
        <v>1343</v>
      </c>
    </row>
    <row r="28" spans="2:16" s="84" customFormat="1" ht="70">
      <c r="B28" s="85">
        <v>43730</v>
      </c>
      <c r="C28" s="84" t="s">
        <v>1316</v>
      </c>
      <c r="D28" s="84" t="s">
        <v>1398</v>
      </c>
      <c r="F28" s="84" t="s">
        <v>1399</v>
      </c>
      <c r="K28" s="84" t="s">
        <v>1319</v>
      </c>
      <c r="M28" s="84" t="s">
        <v>1400</v>
      </c>
      <c r="N28" s="84" t="s">
        <v>1321</v>
      </c>
    </row>
    <row r="29" spans="2:16" s="84" customFormat="1" ht="42">
      <c r="D29" s="84" t="s">
        <v>1398</v>
      </c>
      <c r="F29" s="84" t="s">
        <v>1401</v>
      </c>
      <c r="K29" s="84" t="s">
        <v>1402</v>
      </c>
      <c r="M29" s="84" t="s">
        <v>1403</v>
      </c>
      <c r="N29" s="84" t="s">
        <v>1321</v>
      </c>
    </row>
    <row r="30" spans="2:16" s="84" customFormat="1" ht="56">
      <c r="B30" s="85">
        <v>43770</v>
      </c>
      <c r="D30" s="84" t="s">
        <v>1404</v>
      </c>
      <c r="F30" s="84" t="s">
        <v>1405</v>
      </c>
      <c r="G30" s="84" t="s">
        <v>1406</v>
      </c>
      <c r="K30" s="84" t="s">
        <v>1389</v>
      </c>
      <c r="M30" s="84" t="s">
        <v>1407</v>
      </c>
      <c r="N30" s="84" t="s">
        <v>1321</v>
      </c>
      <c r="P30" s="84" t="s">
        <v>1408</v>
      </c>
    </row>
    <row r="31" spans="2:16" s="86" customFormat="1" ht="140">
      <c r="B31" s="87">
        <v>43770</v>
      </c>
      <c r="C31" s="86" t="s">
        <v>1409</v>
      </c>
      <c r="D31" s="86" t="s">
        <v>1410</v>
      </c>
      <c r="F31" s="86" t="s">
        <v>1411</v>
      </c>
      <c r="G31" s="86" t="s">
        <v>1412</v>
      </c>
      <c r="K31" s="86" t="s">
        <v>1389</v>
      </c>
      <c r="M31" s="86" t="s">
        <v>1413</v>
      </c>
      <c r="N31" s="86" t="s">
        <v>1332</v>
      </c>
    </row>
    <row r="32" spans="2:16" s="84" customFormat="1" ht="140">
      <c r="B32" s="85">
        <v>43770</v>
      </c>
      <c r="C32" s="84" t="s">
        <v>1409</v>
      </c>
      <c r="D32" s="84" t="s">
        <v>1410</v>
      </c>
      <c r="F32" s="84" t="s">
        <v>1414</v>
      </c>
      <c r="G32" s="84" t="s">
        <v>1415</v>
      </c>
      <c r="K32" s="84" t="s">
        <v>1389</v>
      </c>
      <c r="M32" s="84" t="s">
        <v>1416</v>
      </c>
      <c r="N32" s="84" t="s">
        <v>1321</v>
      </c>
      <c r="O32" s="84" t="s">
        <v>1417</v>
      </c>
    </row>
    <row r="33" spans="1:24" s="84" customFormat="1" ht="56">
      <c r="B33" s="85">
        <v>43783</v>
      </c>
      <c r="C33" s="84" t="s">
        <v>1418</v>
      </c>
      <c r="D33" s="84" t="s">
        <v>1419</v>
      </c>
      <c r="F33" s="84" t="s">
        <v>1420</v>
      </c>
      <c r="G33" s="84" t="s">
        <v>1421</v>
      </c>
      <c r="K33" s="84" t="s">
        <v>1378</v>
      </c>
      <c r="M33" s="84" t="s">
        <v>1422</v>
      </c>
      <c r="N33" s="84" t="s">
        <v>1353</v>
      </c>
      <c r="P33" s="84" t="s">
        <v>1423</v>
      </c>
      <c r="Q33" s="84" t="s">
        <v>1424</v>
      </c>
      <c r="R33" s="84" t="s">
        <v>1425</v>
      </c>
      <c r="X33" s="84" t="s">
        <v>1426</v>
      </c>
    </row>
    <row r="34" spans="1:24" s="86" customFormat="1" ht="112">
      <c r="B34" s="87">
        <v>43788</v>
      </c>
      <c r="C34" s="86" t="s">
        <v>1409</v>
      </c>
      <c r="D34" s="86" t="s">
        <v>1427</v>
      </c>
      <c r="E34" s="87">
        <v>43763</v>
      </c>
      <c r="F34" s="86" t="s">
        <v>1428</v>
      </c>
      <c r="G34" s="86" t="s">
        <v>1429</v>
      </c>
      <c r="H34" s="86" t="s">
        <v>1430</v>
      </c>
      <c r="I34" s="86" t="s">
        <v>1431</v>
      </c>
      <c r="J34" s="86" t="s">
        <v>1430</v>
      </c>
      <c r="K34" s="86" t="s">
        <v>1389</v>
      </c>
      <c r="M34" s="86" t="s">
        <v>1432</v>
      </c>
      <c r="N34" s="86" t="s">
        <v>1332</v>
      </c>
    </row>
    <row r="35" spans="1:24" s="86" customFormat="1" ht="84">
      <c r="B35" s="87">
        <v>43789</v>
      </c>
      <c r="C35" s="86" t="s">
        <v>1409</v>
      </c>
      <c r="D35" s="86" t="s">
        <v>1433</v>
      </c>
      <c r="E35" s="87">
        <v>43761</v>
      </c>
      <c r="F35" s="86" t="s">
        <v>1434</v>
      </c>
      <c r="G35" s="86" t="s">
        <v>1435</v>
      </c>
      <c r="H35" s="86" t="s">
        <v>1430</v>
      </c>
      <c r="I35" s="86" t="s">
        <v>1435</v>
      </c>
      <c r="J35" s="86" t="s">
        <v>1430</v>
      </c>
      <c r="K35" s="86" t="s">
        <v>1389</v>
      </c>
      <c r="M35" s="86" t="s">
        <v>1436</v>
      </c>
      <c r="N35" s="86" t="s">
        <v>1332</v>
      </c>
    </row>
    <row r="36" spans="1:24" s="86" customFormat="1" ht="126">
      <c r="B36" s="87">
        <v>43790</v>
      </c>
      <c r="C36" s="86" t="s">
        <v>1409</v>
      </c>
      <c r="D36" s="86" t="s">
        <v>1371</v>
      </c>
      <c r="F36" s="86" t="s">
        <v>1437</v>
      </c>
      <c r="G36" s="86" t="s">
        <v>1438</v>
      </c>
      <c r="K36" s="86" t="s">
        <v>1389</v>
      </c>
      <c r="M36" s="86" t="s">
        <v>1439</v>
      </c>
      <c r="N36" s="86" t="s">
        <v>1332</v>
      </c>
    </row>
    <row r="37" spans="1:24" s="86" customFormat="1" ht="56">
      <c r="B37" s="87">
        <v>43790</v>
      </c>
      <c r="C37" s="86" t="s">
        <v>1409</v>
      </c>
      <c r="D37" s="86" t="s">
        <v>1440</v>
      </c>
      <c r="F37" s="86" t="s">
        <v>1441</v>
      </c>
      <c r="G37" s="86" t="s">
        <v>1442</v>
      </c>
      <c r="H37" s="86" t="s">
        <v>1443</v>
      </c>
      <c r="J37" s="86" t="s">
        <v>1443</v>
      </c>
      <c r="K37" s="86" t="s">
        <v>1389</v>
      </c>
      <c r="M37" s="86" t="s">
        <v>1444</v>
      </c>
      <c r="N37" s="86" t="s">
        <v>1445</v>
      </c>
    </row>
    <row r="38" spans="1:24" s="84" customFormat="1" ht="126">
      <c r="A38" s="84" t="s">
        <v>1446</v>
      </c>
      <c r="B38" s="85">
        <v>43790</v>
      </c>
      <c r="C38" s="84" t="s">
        <v>1409</v>
      </c>
      <c r="D38" s="84" t="s">
        <v>1371</v>
      </c>
      <c r="E38" s="85">
        <v>43675</v>
      </c>
      <c r="F38" s="84" t="s">
        <v>1447</v>
      </c>
      <c r="G38" s="84" t="s">
        <v>1448</v>
      </c>
      <c r="K38" s="84" t="s">
        <v>1389</v>
      </c>
      <c r="M38" s="84" t="s">
        <v>1449</v>
      </c>
      <c r="N38" s="84" t="s">
        <v>1321</v>
      </c>
    </row>
    <row r="39" spans="1:24" s="86" customFormat="1" ht="112">
      <c r="B39" s="87">
        <v>43791</v>
      </c>
      <c r="C39" s="86" t="s">
        <v>1409</v>
      </c>
      <c r="D39" s="86" t="s">
        <v>1371</v>
      </c>
      <c r="E39" s="87">
        <v>43419</v>
      </c>
      <c r="F39" s="86" t="s">
        <v>1450</v>
      </c>
      <c r="G39" s="86" t="s">
        <v>1451</v>
      </c>
      <c r="K39" s="86" t="s">
        <v>1389</v>
      </c>
      <c r="M39" s="86" t="s">
        <v>1452</v>
      </c>
      <c r="N39" s="86" t="s">
        <v>1332</v>
      </c>
    </row>
    <row r="40" spans="1:24" s="86" customFormat="1" ht="112">
      <c r="B40" s="87">
        <v>43791</v>
      </c>
      <c r="D40" s="86" t="s">
        <v>1453</v>
      </c>
      <c r="F40" s="86" t="s">
        <v>1454</v>
      </c>
      <c r="I40" s="86" t="s">
        <v>1165</v>
      </c>
      <c r="K40" s="86" t="s">
        <v>1376</v>
      </c>
      <c r="M40" s="86" t="s">
        <v>1455</v>
      </c>
      <c r="N40" s="86" t="s">
        <v>1337</v>
      </c>
    </row>
    <row r="41" spans="1:24" s="86" customFormat="1" ht="42">
      <c r="B41" s="87">
        <v>43798</v>
      </c>
      <c r="C41" s="86" t="s">
        <v>1409</v>
      </c>
      <c r="D41" s="86" t="s">
        <v>1398</v>
      </c>
      <c r="F41" s="86" t="s">
        <v>1456</v>
      </c>
      <c r="G41" s="86" t="s">
        <v>1457</v>
      </c>
      <c r="K41" s="86" t="s">
        <v>1458</v>
      </c>
      <c r="M41" s="86" t="s">
        <v>1459</v>
      </c>
      <c r="N41" s="86" t="s">
        <v>1332</v>
      </c>
    </row>
    <row r="42" spans="1:24" s="86" customFormat="1" ht="42">
      <c r="B42" s="87">
        <v>43798</v>
      </c>
      <c r="C42" s="86" t="s">
        <v>1409</v>
      </c>
      <c r="D42" s="86" t="s">
        <v>1398</v>
      </c>
      <c r="F42" s="86" t="s">
        <v>1460</v>
      </c>
      <c r="G42" s="86" t="s">
        <v>1461</v>
      </c>
      <c r="K42" s="86" t="s">
        <v>1458</v>
      </c>
      <c r="M42" s="86" t="s">
        <v>1459</v>
      </c>
      <c r="N42" s="86" t="s">
        <v>1332</v>
      </c>
    </row>
    <row r="43" spans="1:24" s="100" customFormat="1" ht="84">
      <c r="B43" s="101">
        <v>43798</v>
      </c>
      <c r="C43" s="100" t="s">
        <v>1409</v>
      </c>
      <c r="D43" s="100" t="s">
        <v>1371</v>
      </c>
      <c r="F43" s="100" t="s">
        <v>1462</v>
      </c>
      <c r="G43" s="100" t="s">
        <v>1463</v>
      </c>
      <c r="K43" s="100" t="s">
        <v>1389</v>
      </c>
      <c r="M43" s="100" t="s">
        <v>1464</v>
      </c>
      <c r="N43" s="100" t="s">
        <v>1337</v>
      </c>
    </row>
    <row r="44" spans="1:24" s="86" customFormat="1" ht="70">
      <c r="B44" s="87">
        <v>43798</v>
      </c>
      <c r="C44" s="86" t="s">
        <v>1409</v>
      </c>
      <c r="D44" s="86" t="s">
        <v>1371</v>
      </c>
      <c r="F44" s="86" t="s">
        <v>1465</v>
      </c>
      <c r="G44" s="86" t="s">
        <v>1466</v>
      </c>
      <c r="K44" s="86" t="s">
        <v>1389</v>
      </c>
      <c r="M44" s="86" t="s">
        <v>1467</v>
      </c>
      <c r="N44" s="86" t="s">
        <v>1337</v>
      </c>
    </row>
    <row r="45" spans="1:24" s="100" customFormat="1" ht="84">
      <c r="B45" s="101">
        <v>43798</v>
      </c>
      <c r="C45" s="100" t="s">
        <v>1409</v>
      </c>
      <c r="D45" s="100" t="s">
        <v>1371</v>
      </c>
      <c r="F45" s="100" t="s">
        <v>1468</v>
      </c>
      <c r="G45" s="100" t="s">
        <v>1469</v>
      </c>
      <c r="K45" s="100" t="s">
        <v>1389</v>
      </c>
      <c r="M45" s="100" t="s">
        <v>1470</v>
      </c>
      <c r="N45" s="100" t="s">
        <v>1332</v>
      </c>
    </row>
    <row r="46" spans="1:24" s="86" customFormat="1" ht="56">
      <c r="B46" s="87">
        <v>43798</v>
      </c>
      <c r="C46" s="86" t="s">
        <v>1409</v>
      </c>
      <c r="D46" s="86" t="s">
        <v>1371</v>
      </c>
      <c r="F46" s="86" t="s">
        <v>1471</v>
      </c>
      <c r="G46" s="86" t="s">
        <v>1472</v>
      </c>
      <c r="K46" s="86" t="s">
        <v>1389</v>
      </c>
      <c r="M46" s="86" t="s">
        <v>1473</v>
      </c>
      <c r="N46" s="86" t="s">
        <v>1332</v>
      </c>
    </row>
    <row r="47" spans="1:24" s="100" customFormat="1" ht="98">
      <c r="B47" s="101">
        <v>43798</v>
      </c>
      <c r="C47" s="100" t="s">
        <v>1409</v>
      </c>
      <c r="D47" s="100" t="s">
        <v>1371</v>
      </c>
      <c r="F47" s="100" t="s">
        <v>1474</v>
      </c>
      <c r="G47" s="100" t="s">
        <v>1475</v>
      </c>
      <c r="K47" s="100" t="s">
        <v>1389</v>
      </c>
      <c r="M47" s="100" t="s">
        <v>1476</v>
      </c>
      <c r="N47" s="100" t="s">
        <v>1332</v>
      </c>
    </row>
    <row r="48" spans="1:24" s="86" customFormat="1" ht="42">
      <c r="B48" s="87">
        <v>43798</v>
      </c>
      <c r="C48" s="86" t="s">
        <v>1409</v>
      </c>
      <c r="D48" s="86" t="s">
        <v>1371</v>
      </c>
      <c r="F48" s="86" t="s">
        <v>1462</v>
      </c>
      <c r="G48" s="86" t="s">
        <v>1463</v>
      </c>
      <c r="K48" s="86" t="s">
        <v>1477</v>
      </c>
      <c r="M48" s="86" t="s">
        <v>1478</v>
      </c>
      <c r="N48" s="86" t="s">
        <v>1445</v>
      </c>
    </row>
    <row r="49" spans="2:18" s="86" customFormat="1" ht="42">
      <c r="B49" s="87">
        <v>43798</v>
      </c>
      <c r="C49" s="86" t="s">
        <v>1409</v>
      </c>
      <c r="D49" s="86" t="s">
        <v>1371</v>
      </c>
      <c r="F49" s="86" t="s">
        <v>1465</v>
      </c>
      <c r="G49" s="86" t="s">
        <v>1466</v>
      </c>
      <c r="K49" s="86" t="s">
        <v>1477</v>
      </c>
      <c r="M49" s="86" t="s">
        <v>1478</v>
      </c>
      <c r="N49" s="86" t="s">
        <v>1445</v>
      </c>
    </row>
    <row r="50" spans="2:18" s="86" customFormat="1" ht="42">
      <c r="B50" s="87">
        <v>43798</v>
      </c>
      <c r="C50" s="86" t="s">
        <v>1409</v>
      </c>
      <c r="D50" s="86" t="s">
        <v>1371</v>
      </c>
      <c r="F50" s="86" t="s">
        <v>1468</v>
      </c>
      <c r="G50" s="86" t="s">
        <v>1469</v>
      </c>
      <c r="K50" s="86" t="s">
        <v>1477</v>
      </c>
      <c r="M50" s="86" t="s">
        <v>1478</v>
      </c>
      <c r="N50" s="86" t="s">
        <v>1445</v>
      </c>
    </row>
    <row r="51" spans="2:18" s="86" customFormat="1" ht="42">
      <c r="B51" s="87">
        <v>43798</v>
      </c>
      <c r="C51" s="86" t="s">
        <v>1409</v>
      </c>
      <c r="D51" s="86" t="s">
        <v>1371</v>
      </c>
      <c r="F51" s="86" t="s">
        <v>1471</v>
      </c>
      <c r="G51" s="86" t="s">
        <v>1472</v>
      </c>
      <c r="K51" s="86" t="s">
        <v>1477</v>
      </c>
      <c r="M51" s="86" t="s">
        <v>1478</v>
      </c>
      <c r="N51" s="86" t="s">
        <v>1445</v>
      </c>
    </row>
    <row r="52" spans="2:18" s="86" customFormat="1" ht="42">
      <c r="B52" s="87">
        <v>43798</v>
      </c>
      <c r="C52" s="86" t="s">
        <v>1409</v>
      </c>
      <c r="D52" s="86" t="s">
        <v>1371</v>
      </c>
      <c r="F52" s="86" t="s">
        <v>1474</v>
      </c>
      <c r="G52" s="86" t="s">
        <v>1475</v>
      </c>
      <c r="K52" s="86" t="s">
        <v>1477</v>
      </c>
      <c r="M52" s="86" t="s">
        <v>1478</v>
      </c>
      <c r="N52" s="86" t="s">
        <v>1445</v>
      </c>
    </row>
    <row r="53" spans="2:18" s="86" customFormat="1" ht="42">
      <c r="B53" s="87">
        <v>43798</v>
      </c>
      <c r="C53" s="86" t="s">
        <v>1409</v>
      </c>
      <c r="D53" s="86" t="s">
        <v>1371</v>
      </c>
      <c r="F53" s="86" t="s">
        <v>1441</v>
      </c>
      <c r="G53" s="86" t="s">
        <v>1442</v>
      </c>
      <c r="K53" s="86" t="s">
        <v>1477</v>
      </c>
      <c r="M53" s="86" t="s">
        <v>1478</v>
      </c>
      <c r="N53" s="86" t="s">
        <v>1445</v>
      </c>
    </row>
    <row r="54" spans="2:18" s="86" customFormat="1" ht="252">
      <c r="B54" s="87">
        <v>43802</v>
      </c>
      <c r="C54" s="86" t="s">
        <v>1316</v>
      </c>
      <c r="D54" s="86" t="s">
        <v>1479</v>
      </c>
      <c r="F54" s="86" t="s">
        <v>1480</v>
      </c>
      <c r="G54" s="86" t="s">
        <v>1481</v>
      </c>
      <c r="K54" s="86" t="s">
        <v>1482</v>
      </c>
      <c r="M54" s="86" t="s">
        <v>1483</v>
      </c>
      <c r="N54" s="86" t="s">
        <v>1343</v>
      </c>
    </row>
    <row r="55" spans="2:18" s="86" customFormat="1" ht="70">
      <c r="B55" s="87">
        <v>43818</v>
      </c>
      <c r="C55" s="86" t="s">
        <v>1409</v>
      </c>
      <c r="D55" s="86" t="s">
        <v>1440</v>
      </c>
      <c r="F55" s="86" t="s">
        <v>1484</v>
      </c>
      <c r="G55" s="86" t="s">
        <v>1485</v>
      </c>
      <c r="K55" s="86" t="s">
        <v>1389</v>
      </c>
      <c r="M55" s="86" t="s">
        <v>1486</v>
      </c>
      <c r="N55" s="86" t="s">
        <v>1332</v>
      </c>
    </row>
    <row r="56" spans="2:18" s="86" customFormat="1" ht="56">
      <c r="B56" s="87">
        <v>43818</v>
      </c>
      <c r="C56" s="86" t="s">
        <v>1409</v>
      </c>
      <c r="D56" s="86" t="s">
        <v>1440</v>
      </c>
      <c r="F56" s="86" t="s">
        <v>1487</v>
      </c>
      <c r="G56" s="86" t="s">
        <v>1488</v>
      </c>
      <c r="K56" s="86" t="s">
        <v>1389</v>
      </c>
      <c r="M56" s="86" t="s">
        <v>1489</v>
      </c>
      <c r="N56" s="86" t="s">
        <v>1332</v>
      </c>
    </row>
    <row r="57" spans="2:18" s="86" customFormat="1" ht="84">
      <c r="B57" s="87">
        <v>43836</v>
      </c>
      <c r="C57" s="86" t="s">
        <v>1409</v>
      </c>
      <c r="D57" s="86" t="s">
        <v>1440</v>
      </c>
      <c r="F57" s="86" t="s">
        <v>1490</v>
      </c>
      <c r="G57" s="86" t="s">
        <v>1491</v>
      </c>
      <c r="K57" s="86" t="s">
        <v>1389</v>
      </c>
      <c r="M57" s="86" t="s">
        <v>1492</v>
      </c>
      <c r="N57" s="86" t="s">
        <v>1445</v>
      </c>
      <c r="R57" s="86" t="s">
        <v>1493</v>
      </c>
    </row>
    <row r="58" spans="2:18" s="86" customFormat="1" ht="84">
      <c r="B58" s="87">
        <v>43836</v>
      </c>
      <c r="C58" s="86" t="s">
        <v>1409</v>
      </c>
      <c r="D58" s="86" t="s">
        <v>1440</v>
      </c>
      <c r="F58" s="86" t="s">
        <v>1494</v>
      </c>
      <c r="G58" s="86" t="s">
        <v>1495</v>
      </c>
      <c r="K58" s="86" t="s">
        <v>1389</v>
      </c>
      <c r="M58" s="86" t="s">
        <v>1496</v>
      </c>
      <c r="N58" s="86" t="s">
        <v>1445</v>
      </c>
    </row>
    <row r="59" spans="2:18" s="86" customFormat="1" ht="56">
      <c r="B59" s="87">
        <v>43870</v>
      </c>
      <c r="C59" s="86" t="s">
        <v>1497</v>
      </c>
      <c r="D59" s="86" t="s">
        <v>1387</v>
      </c>
      <c r="E59" s="87">
        <v>43829</v>
      </c>
      <c r="F59" s="86" t="s">
        <v>1498</v>
      </c>
      <c r="G59" s="86" t="s">
        <v>1499</v>
      </c>
      <c r="K59" s="86" t="s">
        <v>1389</v>
      </c>
      <c r="M59" s="86" t="s">
        <v>1500</v>
      </c>
      <c r="N59" s="86" t="s">
        <v>1380</v>
      </c>
    </row>
    <row r="60" spans="2:18" s="86" customFormat="1" ht="56">
      <c r="B60" s="87">
        <v>43870</v>
      </c>
      <c r="C60" s="86" t="s">
        <v>1497</v>
      </c>
      <c r="D60" s="86" t="s">
        <v>1387</v>
      </c>
      <c r="E60" s="87">
        <v>43823</v>
      </c>
      <c r="F60" s="86" t="s">
        <v>1501</v>
      </c>
      <c r="G60" s="86" t="s">
        <v>1502</v>
      </c>
      <c r="K60" s="86" t="s">
        <v>1389</v>
      </c>
      <c r="M60" s="86" t="s">
        <v>1500</v>
      </c>
      <c r="N60" s="86" t="s">
        <v>1380</v>
      </c>
    </row>
    <row r="61" spans="2:18" s="86" customFormat="1" ht="98">
      <c r="B61" s="87">
        <v>43870</v>
      </c>
      <c r="C61" s="86" t="s">
        <v>1497</v>
      </c>
      <c r="D61" s="86" t="s">
        <v>1503</v>
      </c>
      <c r="E61" s="87">
        <v>43833</v>
      </c>
      <c r="F61" s="86" t="s">
        <v>1504</v>
      </c>
      <c r="G61" s="86" t="s">
        <v>1505</v>
      </c>
      <c r="K61" s="86" t="s">
        <v>1506</v>
      </c>
      <c r="M61" s="86" t="s">
        <v>1507</v>
      </c>
      <c r="N61" s="86" t="s">
        <v>1380</v>
      </c>
    </row>
    <row r="62" spans="2:18" s="100" customFormat="1" ht="126">
      <c r="B62" s="101">
        <v>43879</v>
      </c>
      <c r="C62" s="100" t="s">
        <v>1508</v>
      </c>
      <c r="D62" s="100" t="s">
        <v>1419</v>
      </c>
      <c r="F62" s="102" t="s">
        <v>945</v>
      </c>
      <c r="K62" s="100" t="s">
        <v>1482</v>
      </c>
      <c r="M62" s="100" t="s">
        <v>1509</v>
      </c>
      <c r="N62" s="100" t="s">
        <v>1380</v>
      </c>
    </row>
    <row r="63" spans="2:18" s="86" customFormat="1" ht="70">
      <c r="B63" s="87">
        <v>43880</v>
      </c>
      <c r="C63" s="86" t="s">
        <v>1160</v>
      </c>
      <c r="D63" s="86" t="s">
        <v>1371</v>
      </c>
      <c r="F63" s="86" t="s">
        <v>1391</v>
      </c>
      <c r="K63" s="86" t="s">
        <v>1389</v>
      </c>
      <c r="M63" s="86" t="s">
        <v>1510</v>
      </c>
      <c r="N63" s="86" t="s">
        <v>1380</v>
      </c>
    </row>
    <row r="64" spans="2:18" s="84" customFormat="1" ht="140">
      <c r="B64" s="85">
        <v>43880</v>
      </c>
      <c r="C64" s="84" t="s">
        <v>1160</v>
      </c>
      <c r="D64" s="84" t="s">
        <v>1511</v>
      </c>
      <c r="F64" s="84" t="s">
        <v>1512</v>
      </c>
      <c r="K64" s="84" t="s">
        <v>1513</v>
      </c>
      <c r="M64" s="84" t="s">
        <v>1514</v>
      </c>
      <c r="N64" s="84" t="s">
        <v>1321</v>
      </c>
    </row>
    <row r="65" spans="2:16" s="84" customFormat="1" ht="140">
      <c r="B65" s="85">
        <v>43880</v>
      </c>
      <c r="C65" s="84" t="s">
        <v>1160</v>
      </c>
      <c r="D65" s="84" t="s">
        <v>1362</v>
      </c>
      <c r="F65" s="84" t="s">
        <v>1515</v>
      </c>
      <c r="K65" s="84" t="s">
        <v>1389</v>
      </c>
      <c r="M65" s="84" t="s">
        <v>1516</v>
      </c>
      <c r="N65" s="84" t="s">
        <v>1321</v>
      </c>
      <c r="P65" s="84" t="s">
        <v>1517</v>
      </c>
    </row>
    <row r="66" spans="2:16" s="86" customFormat="1" ht="14">
      <c r="B66" s="87">
        <v>43885</v>
      </c>
      <c r="C66" s="86" t="s">
        <v>1409</v>
      </c>
      <c r="F66" s="86" t="s">
        <v>1518</v>
      </c>
      <c r="M66" s="86" t="s">
        <v>1519</v>
      </c>
      <c r="N66" s="86" t="s">
        <v>1332</v>
      </c>
    </row>
    <row r="67" spans="2:16" s="86" customFormat="1" ht="98">
      <c r="B67" s="87">
        <v>43893</v>
      </c>
      <c r="C67" s="86" t="s">
        <v>1497</v>
      </c>
      <c r="D67" s="86" t="s">
        <v>1503</v>
      </c>
      <c r="E67" s="87">
        <v>43833</v>
      </c>
      <c r="F67" s="86" t="s">
        <v>1504</v>
      </c>
      <c r="G67" s="86" t="s">
        <v>1520</v>
      </c>
      <c r="K67" s="86" t="s">
        <v>1521</v>
      </c>
      <c r="M67" s="86" t="s">
        <v>1522</v>
      </c>
      <c r="N67" s="86" t="s">
        <v>1523</v>
      </c>
    </row>
    <row r="68" spans="2:16" s="86" customFormat="1" ht="98">
      <c r="B68" s="87">
        <v>43893</v>
      </c>
      <c r="C68" s="86" t="s">
        <v>1497</v>
      </c>
      <c r="D68" s="86" t="s">
        <v>1503</v>
      </c>
      <c r="E68" s="87">
        <v>43810</v>
      </c>
      <c r="F68" s="86" t="s">
        <v>1524</v>
      </c>
      <c r="G68" s="86" t="s">
        <v>1525</v>
      </c>
      <c r="K68" s="86" t="s">
        <v>1521</v>
      </c>
      <c r="M68" s="86" t="s">
        <v>1526</v>
      </c>
      <c r="N68" s="86" t="s">
        <v>1523</v>
      </c>
    </row>
    <row r="69" spans="2:16" s="86" customFormat="1" ht="98">
      <c r="B69" s="87">
        <v>43893</v>
      </c>
      <c r="C69" s="86" t="s">
        <v>1497</v>
      </c>
      <c r="D69" s="86" t="s">
        <v>1503</v>
      </c>
      <c r="F69" s="86" t="s">
        <v>1504</v>
      </c>
      <c r="G69" s="86" t="s">
        <v>1520</v>
      </c>
      <c r="K69" s="86" t="s">
        <v>1513</v>
      </c>
      <c r="M69" s="86" t="s">
        <v>1527</v>
      </c>
      <c r="N69" s="86" t="s">
        <v>1380</v>
      </c>
    </row>
    <row r="70" spans="2:16" s="86" customFormat="1" ht="98">
      <c r="B70" s="87">
        <v>43893</v>
      </c>
      <c r="C70" s="86" t="s">
        <v>1497</v>
      </c>
      <c r="D70" s="86" t="s">
        <v>1503</v>
      </c>
      <c r="F70" s="86" t="s">
        <v>1524</v>
      </c>
      <c r="G70" s="86" t="s">
        <v>1525</v>
      </c>
      <c r="K70" s="86" t="s">
        <v>1389</v>
      </c>
      <c r="M70" s="86" t="s">
        <v>1528</v>
      </c>
      <c r="N70" s="86" t="s">
        <v>1529</v>
      </c>
    </row>
    <row r="71" spans="2:16" s="84" customFormat="1" ht="140">
      <c r="B71" s="103">
        <v>43894</v>
      </c>
      <c r="C71" s="84" t="s">
        <v>1530</v>
      </c>
      <c r="D71" s="84" t="s">
        <v>1440</v>
      </c>
      <c r="F71" s="84" t="s">
        <v>1531</v>
      </c>
      <c r="G71" s="84" t="s">
        <v>1532</v>
      </c>
      <c r="K71" s="84" t="s">
        <v>1533</v>
      </c>
      <c r="M71" s="84" t="s">
        <v>1534</v>
      </c>
      <c r="N71" s="84" t="s">
        <v>1321</v>
      </c>
      <c r="P71" s="84" t="s">
        <v>1535</v>
      </c>
    </row>
    <row r="72" spans="2:16" s="86" customFormat="1" ht="42">
      <c r="B72" s="87">
        <v>43899</v>
      </c>
      <c r="C72" s="86" t="s">
        <v>1497</v>
      </c>
      <c r="D72" s="86" t="s">
        <v>1362</v>
      </c>
      <c r="F72" s="86" t="s">
        <v>1536</v>
      </c>
      <c r="K72" s="86" t="s">
        <v>1389</v>
      </c>
      <c r="M72" s="86" t="s">
        <v>1537</v>
      </c>
      <c r="N72" s="86" t="s">
        <v>1445</v>
      </c>
    </row>
    <row r="73" spans="2:16" s="84" customFormat="1" ht="98">
      <c r="B73" s="85">
        <v>43909</v>
      </c>
      <c r="C73" s="84" t="s">
        <v>1538</v>
      </c>
      <c r="D73" s="84" t="s">
        <v>1419</v>
      </c>
      <c r="F73" s="84" t="s">
        <v>1539</v>
      </c>
      <c r="G73" s="84" t="s">
        <v>1540</v>
      </c>
      <c r="K73" s="84" t="s">
        <v>1541</v>
      </c>
      <c r="M73" s="84" t="s">
        <v>1542</v>
      </c>
      <c r="N73" s="84" t="s">
        <v>1321</v>
      </c>
    </row>
    <row r="74" spans="2:16" s="86" customFormat="1" ht="98">
      <c r="B74" s="87">
        <v>43893</v>
      </c>
      <c r="C74" s="86" t="s">
        <v>1497</v>
      </c>
      <c r="D74" s="86" t="s">
        <v>1503</v>
      </c>
      <c r="E74" s="87">
        <v>43810</v>
      </c>
      <c r="F74" s="86" t="s">
        <v>1524</v>
      </c>
      <c r="G74" s="86" t="s">
        <v>1525</v>
      </c>
      <c r="K74" s="86" t="s">
        <v>1513</v>
      </c>
      <c r="M74" s="86" t="s">
        <v>1543</v>
      </c>
      <c r="N74" s="86" t="s">
        <v>1529</v>
      </c>
    </row>
    <row r="75" spans="2:16" s="84" customFormat="1" ht="112">
      <c r="B75" s="85">
        <v>43944</v>
      </c>
      <c r="C75" s="84" t="s">
        <v>1316</v>
      </c>
      <c r="D75" s="84" t="s">
        <v>1544</v>
      </c>
      <c r="F75" s="84" t="s">
        <v>1545</v>
      </c>
      <c r="K75" s="84" t="s">
        <v>1546</v>
      </c>
      <c r="M75" s="84" t="s">
        <v>1547</v>
      </c>
      <c r="N75" s="84" t="s">
        <v>1321</v>
      </c>
    </row>
    <row r="76" spans="2:16" s="86" customFormat="1" ht="56">
      <c r="B76" s="87">
        <v>43969</v>
      </c>
      <c r="C76" s="86" t="s">
        <v>1409</v>
      </c>
      <c r="D76" s="86" t="s">
        <v>1440</v>
      </c>
      <c r="F76" s="86" t="s">
        <v>1548</v>
      </c>
      <c r="G76" s="86" t="s">
        <v>1549</v>
      </c>
      <c r="K76" s="86" t="s">
        <v>1513</v>
      </c>
      <c r="M76" s="86" t="s">
        <v>1550</v>
      </c>
      <c r="N76" s="86" t="s">
        <v>1445</v>
      </c>
    </row>
    <row r="77" spans="2:16" s="86" customFormat="1" ht="70">
      <c r="B77" s="87">
        <v>43969</v>
      </c>
      <c r="C77" s="86" t="s">
        <v>1409</v>
      </c>
      <c r="D77" s="86" t="s">
        <v>1440</v>
      </c>
      <c r="F77" s="86" t="s">
        <v>1551</v>
      </c>
      <c r="G77" s="86" t="s">
        <v>1552</v>
      </c>
      <c r="K77" s="86" t="s">
        <v>1513</v>
      </c>
      <c r="M77" s="86" t="s">
        <v>1553</v>
      </c>
      <c r="N77" s="86" t="s">
        <v>1445</v>
      </c>
    </row>
    <row r="78" spans="2:16" s="86" customFormat="1" ht="56">
      <c r="B78" s="87">
        <v>43969</v>
      </c>
      <c r="C78" s="86" t="s">
        <v>1409</v>
      </c>
      <c r="D78" s="86" t="s">
        <v>1440</v>
      </c>
      <c r="F78" s="86" t="s">
        <v>1554</v>
      </c>
      <c r="G78" s="86" t="s">
        <v>1555</v>
      </c>
      <c r="K78" s="86" t="s">
        <v>1513</v>
      </c>
      <c r="M78" s="86" t="s">
        <v>1556</v>
      </c>
      <c r="N78" s="86" t="s">
        <v>1445</v>
      </c>
    </row>
    <row r="79" spans="2:16" s="86" customFormat="1" ht="56">
      <c r="B79" s="87">
        <v>43983</v>
      </c>
      <c r="C79" s="86" t="s">
        <v>1409</v>
      </c>
      <c r="D79" s="86" t="s">
        <v>1440</v>
      </c>
      <c r="F79" s="86" t="s">
        <v>1557</v>
      </c>
      <c r="G79" s="86" t="s">
        <v>1558</v>
      </c>
      <c r="K79" s="86" t="s">
        <v>1513</v>
      </c>
      <c r="M79" s="86" t="s">
        <v>1559</v>
      </c>
      <c r="N79" s="86" t="s">
        <v>1445</v>
      </c>
    </row>
    <row r="80" spans="2:16" s="86" customFormat="1" ht="42">
      <c r="B80" s="87">
        <v>43985</v>
      </c>
      <c r="C80" s="86" t="s">
        <v>1160</v>
      </c>
      <c r="D80" s="86" t="s">
        <v>1371</v>
      </c>
      <c r="F80" s="86" t="s">
        <v>1391</v>
      </c>
      <c r="K80" s="86" t="s">
        <v>1513</v>
      </c>
      <c r="M80" s="86" t="s">
        <v>1560</v>
      </c>
      <c r="N80" s="86" t="s">
        <v>1445</v>
      </c>
    </row>
    <row r="81" spans="2:17" s="86" customFormat="1" ht="84">
      <c r="B81" s="87">
        <v>43985</v>
      </c>
      <c r="C81" s="86" t="s">
        <v>1160</v>
      </c>
      <c r="D81" s="86" t="s">
        <v>1371</v>
      </c>
      <c r="F81" s="86" t="s">
        <v>1391</v>
      </c>
      <c r="K81" s="86" t="s">
        <v>1561</v>
      </c>
      <c r="M81" s="86" t="s">
        <v>1562</v>
      </c>
      <c r="N81" s="86" t="s">
        <v>1445</v>
      </c>
    </row>
    <row r="82" spans="2:17" s="84" customFormat="1" ht="56">
      <c r="B82" s="85">
        <v>43990</v>
      </c>
      <c r="D82" s="84" t="s">
        <v>1419</v>
      </c>
      <c r="F82" s="84" t="s">
        <v>1563</v>
      </c>
      <c r="K82" s="84" t="s">
        <v>1376</v>
      </c>
      <c r="M82" s="84" t="s">
        <v>1564</v>
      </c>
      <c r="N82" s="84" t="s">
        <v>1321</v>
      </c>
      <c r="P82" s="84" t="s">
        <v>1565</v>
      </c>
    </row>
    <row r="83" spans="2:17" s="84" customFormat="1" ht="56">
      <c r="F83" s="84" t="s">
        <v>1010</v>
      </c>
      <c r="K83" s="84" t="s">
        <v>1376</v>
      </c>
      <c r="M83" s="84" t="s">
        <v>1566</v>
      </c>
      <c r="N83" s="84" t="s">
        <v>1321</v>
      </c>
      <c r="Q83" s="84" t="s">
        <v>1567</v>
      </c>
    </row>
    <row r="84" spans="2:17" s="86" customFormat="1" ht="70">
      <c r="C84" s="86" t="s">
        <v>1568</v>
      </c>
      <c r="F84" s="86" t="s">
        <v>1569</v>
      </c>
      <c r="M84" s="86" t="s">
        <v>1570</v>
      </c>
      <c r="N84" s="86" t="s">
        <v>1332</v>
      </c>
    </row>
    <row r="85" spans="2:17" s="86" customFormat="1" ht="98">
      <c r="C85" s="86" t="s">
        <v>898</v>
      </c>
      <c r="F85" s="158" t="s">
        <v>1023</v>
      </c>
      <c r="K85" s="86" t="s">
        <v>1541</v>
      </c>
      <c r="M85" s="86" t="s">
        <v>1571</v>
      </c>
      <c r="N85" s="86" t="s">
        <v>1332</v>
      </c>
    </row>
    <row r="86" spans="2:17" s="86" customFormat="1" ht="196">
      <c r="B86" s="87">
        <v>44034</v>
      </c>
      <c r="D86" s="86" t="s">
        <v>1572</v>
      </c>
      <c r="F86" s="123" t="s">
        <v>1573</v>
      </c>
      <c r="K86" s="86" t="s">
        <v>1541</v>
      </c>
      <c r="M86" s="86" t="s">
        <v>1574</v>
      </c>
      <c r="N86" s="86" t="s">
        <v>1380</v>
      </c>
    </row>
    <row r="87" spans="2:17" s="84" customFormat="1" ht="168">
      <c r="C87" s="84" t="s">
        <v>1160</v>
      </c>
      <c r="D87" s="84" t="s">
        <v>1371</v>
      </c>
      <c r="F87" s="84" t="s">
        <v>1391</v>
      </c>
      <c r="K87" s="84" t="s">
        <v>1541</v>
      </c>
      <c r="M87" s="84" t="s">
        <v>1575</v>
      </c>
      <c r="N87" s="84" t="s">
        <v>1321</v>
      </c>
    </row>
    <row r="88" spans="2:17" s="98" customFormat="1" ht="56">
      <c r="B88" s="99">
        <v>44054</v>
      </c>
      <c r="C88" s="98" t="s">
        <v>1576</v>
      </c>
      <c r="D88" s="98" t="s">
        <v>1572</v>
      </c>
      <c r="E88" s="112"/>
      <c r="F88" s="112" t="s">
        <v>1056</v>
      </c>
      <c r="M88" s="98" t="s">
        <v>1577</v>
      </c>
      <c r="N88" s="98" t="s">
        <v>1445</v>
      </c>
    </row>
    <row r="89" spans="2:17" s="98" customFormat="1" ht="112">
      <c r="F89" s="112" t="s">
        <v>1060</v>
      </c>
      <c r="K89" s="98" t="s">
        <v>1578</v>
      </c>
      <c r="M89" s="98" t="s">
        <v>1579</v>
      </c>
      <c r="N89" s="98" t="s">
        <v>1380</v>
      </c>
    </row>
    <row r="90" spans="2:17" s="98" customFormat="1" ht="238">
      <c r="B90" s="99">
        <v>44057</v>
      </c>
      <c r="C90" s="98" t="s">
        <v>1576</v>
      </c>
      <c r="D90" s="98" t="s">
        <v>1572</v>
      </c>
      <c r="E90" s="112"/>
      <c r="F90" s="112" t="s">
        <v>1056</v>
      </c>
      <c r="K90" s="98" t="s">
        <v>1541</v>
      </c>
      <c r="M90" s="98" t="s">
        <v>1580</v>
      </c>
      <c r="N90" s="98" t="s">
        <v>1581</v>
      </c>
    </row>
    <row r="91" spans="2:17" s="84" customFormat="1" ht="252">
      <c r="B91" s="85">
        <v>44062</v>
      </c>
      <c r="C91" s="84" t="s">
        <v>1160</v>
      </c>
      <c r="D91" s="84" t="s">
        <v>1371</v>
      </c>
      <c r="F91" s="170" t="s">
        <v>1582</v>
      </c>
      <c r="I91" s="84" t="s">
        <v>1583</v>
      </c>
      <c r="K91" s="84" t="s">
        <v>1324</v>
      </c>
      <c r="M91" s="84" t="s">
        <v>2131</v>
      </c>
      <c r="N91" s="84" t="s">
        <v>1008</v>
      </c>
      <c r="P91" s="84" t="s">
        <v>1584</v>
      </c>
      <c r="Q91" s="84" t="s">
        <v>2130</v>
      </c>
    </row>
    <row r="92" spans="2:17" s="86" customFormat="1" ht="56">
      <c r="B92" s="87">
        <v>44069</v>
      </c>
      <c r="C92" s="86" t="s">
        <v>898</v>
      </c>
      <c r="D92" s="86" t="s">
        <v>1371</v>
      </c>
      <c r="F92" s="123" t="s">
        <v>1585</v>
      </c>
      <c r="K92" s="86" t="s">
        <v>1533</v>
      </c>
      <c r="M92" s="86" t="s">
        <v>1586</v>
      </c>
      <c r="N92" s="86" t="s">
        <v>1445</v>
      </c>
    </row>
    <row r="93" spans="2:17" s="86" customFormat="1" ht="42">
      <c r="B93" s="87">
        <v>44069</v>
      </c>
      <c r="C93" s="86" t="s">
        <v>898</v>
      </c>
      <c r="D93" s="86" t="s">
        <v>1371</v>
      </c>
      <c r="F93" s="123" t="s">
        <v>1587</v>
      </c>
      <c r="K93" s="86" t="s">
        <v>1588</v>
      </c>
      <c r="M93" s="86" t="s">
        <v>1589</v>
      </c>
      <c r="N93" s="86" t="s">
        <v>1445</v>
      </c>
    </row>
    <row r="94" spans="2:17" s="84" customFormat="1" ht="112">
      <c r="B94" s="85">
        <v>44069</v>
      </c>
      <c r="C94" s="84" t="s">
        <v>898</v>
      </c>
      <c r="D94" s="84" t="s">
        <v>1371</v>
      </c>
      <c r="F94" s="170" t="s">
        <v>1590</v>
      </c>
      <c r="K94" s="84" t="s">
        <v>1324</v>
      </c>
      <c r="M94" s="84" t="s">
        <v>1591</v>
      </c>
      <c r="N94" s="84" t="s">
        <v>1008</v>
      </c>
      <c r="O94" s="85">
        <v>44112</v>
      </c>
    </row>
    <row r="95" spans="2:17" s="86" customFormat="1" ht="168">
      <c r="B95" s="87">
        <v>44070</v>
      </c>
      <c r="C95" s="86" t="s">
        <v>1160</v>
      </c>
      <c r="D95" s="86" t="s">
        <v>1592</v>
      </c>
      <c r="F95" s="86" t="s">
        <v>1593</v>
      </c>
      <c r="I95" s="86" t="s">
        <v>1594</v>
      </c>
      <c r="K95" s="86" t="s">
        <v>1324</v>
      </c>
      <c r="M95" s="86" t="s">
        <v>1595</v>
      </c>
      <c r="N95" s="86" t="s">
        <v>1445</v>
      </c>
    </row>
    <row r="96" spans="2:17" s="86" customFormat="1" ht="266">
      <c r="B96" s="87">
        <v>44084</v>
      </c>
      <c r="C96" s="86" t="s">
        <v>1072</v>
      </c>
      <c r="D96" s="86" t="s">
        <v>1572</v>
      </c>
      <c r="F96" s="86" t="s">
        <v>1074</v>
      </c>
      <c r="K96" s="86" t="s">
        <v>1596</v>
      </c>
      <c r="M96" s="86" t="s">
        <v>1597</v>
      </c>
      <c r="N96" s="86" t="s">
        <v>1581</v>
      </c>
    </row>
    <row r="97" spans="2:18" s="86" customFormat="1" ht="98">
      <c r="B97" s="87">
        <v>44084</v>
      </c>
      <c r="C97" s="86" t="s">
        <v>898</v>
      </c>
      <c r="D97" s="86" t="s">
        <v>1371</v>
      </c>
      <c r="F97" s="123" t="s">
        <v>1587</v>
      </c>
      <c r="K97" s="86" t="s">
        <v>1324</v>
      </c>
      <c r="M97" s="86" t="s">
        <v>1598</v>
      </c>
      <c r="N97" s="86" t="s">
        <v>1581</v>
      </c>
    </row>
    <row r="98" spans="2:18" s="86" customFormat="1" ht="42">
      <c r="B98" s="87">
        <v>44069</v>
      </c>
      <c r="C98" s="86" t="s">
        <v>898</v>
      </c>
      <c r="D98" s="86" t="s">
        <v>1371</v>
      </c>
      <c r="F98" s="123" t="s">
        <v>1585</v>
      </c>
      <c r="K98" s="86" t="s">
        <v>1324</v>
      </c>
      <c r="M98" s="86" t="s">
        <v>2134</v>
      </c>
      <c r="N98" s="86" t="s">
        <v>1380</v>
      </c>
    </row>
    <row r="99" spans="2:18" s="123" customFormat="1" ht="90">
      <c r="B99" s="163">
        <v>44085</v>
      </c>
      <c r="C99" s="123" t="s">
        <v>1160</v>
      </c>
      <c r="D99" s="123" t="s">
        <v>1371</v>
      </c>
      <c r="F99" s="123" t="s">
        <v>1600</v>
      </c>
      <c r="K99" s="123" t="s">
        <v>1601</v>
      </c>
      <c r="M99" s="123" t="s">
        <v>1602</v>
      </c>
      <c r="N99" s="123" t="s">
        <v>1380</v>
      </c>
      <c r="Q99" s="164"/>
      <c r="R99" s="164"/>
    </row>
    <row r="100" spans="2:18" s="123" customFormat="1" ht="45">
      <c r="B100" s="163">
        <v>44085</v>
      </c>
      <c r="C100" s="123" t="s">
        <v>1160</v>
      </c>
      <c r="D100" s="123" t="s">
        <v>1371</v>
      </c>
      <c r="F100" s="123" t="s">
        <v>1603</v>
      </c>
      <c r="K100" s="123" t="s">
        <v>1604</v>
      </c>
      <c r="M100" s="123" t="s">
        <v>1605</v>
      </c>
      <c r="N100" s="123" t="s">
        <v>1380</v>
      </c>
      <c r="Q100" s="164"/>
      <c r="R100" s="164"/>
    </row>
    <row r="101" spans="2:18" s="227" customFormat="1" ht="195">
      <c r="B101" s="226">
        <v>44090</v>
      </c>
      <c r="C101" s="227" t="s">
        <v>1606</v>
      </c>
      <c r="D101" s="227" t="s">
        <v>1607</v>
      </c>
      <c r="F101" s="227" t="s">
        <v>1608</v>
      </c>
      <c r="K101" s="227" t="s">
        <v>1376</v>
      </c>
      <c r="M101" s="227" t="s">
        <v>1609</v>
      </c>
      <c r="N101" s="227" t="s">
        <v>1445</v>
      </c>
      <c r="Q101" s="228"/>
      <c r="R101" s="228"/>
    </row>
    <row r="102" spans="2:18" s="86" customFormat="1" ht="126">
      <c r="B102" s="87">
        <v>44098</v>
      </c>
      <c r="C102" s="86" t="s">
        <v>1068</v>
      </c>
      <c r="D102" s="86" t="s">
        <v>1572</v>
      </c>
      <c r="F102" s="86" t="s">
        <v>1070</v>
      </c>
      <c r="K102" s="86" t="s">
        <v>1596</v>
      </c>
      <c r="M102" s="86" t="s">
        <v>1610</v>
      </c>
      <c r="N102" s="86" t="s">
        <v>1581</v>
      </c>
    </row>
    <row r="103" spans="2:18" s="86" customFormat="1" ht="70">
      <c r="B103" s="87">
        <v>44183</v>
      </c>
      <c r="C103" s="86" t="s">
        <v>1068</v>
      </c>
      <c r="D103" s="86" t="s">
        <v>1607</v>
      </c>
      <c r="F103" s="86" t="s">
        <v>1070</v>
      </c>
      <c r="K103" s="86" t="s">
        <v>2132</v>
      </c>
      <c r="M103" s="86" t="s">
        <v>2209</v>
      </c>
      <c r="N103" s="86" t="s">
        <v>1380</v>
      </c>
    </row>
    <row r="104" spans="2:18" s="86" customFormat="1" ht="112">
      <c r="B104" s="87">
        <v>44063</v>
      </c>
      <c r="C104" s="86" t="s">
        <v>1611</v>
      </c>
      <c r="D104" s="86" t="s">
        <v>1362</v>
      </c>
      <c r="F104" s="86" t="s">
        <v>1612</v>
      </c>
      <c r="K104" s="86" t="s">
        <v>1613</v>
      </c>
      <c r="M104" s="86" t="s">
        <v>1614</v>
      </c>
      <c r="N104" s="86" t="s">
        <v>1581</v>
      </c>
    </row>
    <row r="105" spans="2:18" s="86" customFormat="1" ht="42">
      <c r="B105" s="87">
        <v>44103</v>
      </c>
      <c r="C105" s="86" t="s">
        <v>1083</v>
      </c>
      <c r="D105" s="86" t="s">
        <v>1607</v>
      </c>
      <c r="F105" s="86" t="s">
        <v>1085</v>
      </c>
      <c r="K105" s="86" t="s">
        <v>1615</v>
      </c>
      <c r="M105" s="86" t="s">
        <v>1616</v>
      </c>
      <c r="N105" s="86" t="s">
        <v>1380</v>
      </c>
    </row>
    <row r="106" spans="2:18" s="86" customFormat="1" ht="42">
      <c r="B106" s="87">
        <v>44103</v>
      </c>
      <c r="C106" s="86" t="s">
        <v>1068</v>
      </c>
      <c r="D106" s="86" t="s">
        <v>1607</v>
      </c>
      <c r="F106" s="86" t="s">
        <v>1082</v>
      </c>
      <c r="K106" s="86" t="s">
        <v>1376</v>
      </c>
      <c r="M106" s="86" t="s">
        <v>1617</v>
      </c>
      <c r="N106" s="86" t="s">
        <v>1445</v>
      </c>
    </row>
    <row r="107" spans="2:18" s="86" customFormat="1" ht="42">
      <c r="B107" s="87">
        <v>44105</v>
      </c>
      <c r="D107" s="86" t="s">
        <v>1607</v>
      </c>
      <c r="F107" s="181" t="s">
        <v>1096</v>
      </c>
      <c r="K107" s="86" t="s">
        <v>1618</v>
      </c>
      <c r="M107" s="86" t="s">
        <v>1619</v>
      </c>
      <c r="N107" s="86" t="s">
        <v>1380</v>
      </c>
    </row>
    <row r="108" spans="2:18" s="116" customFormat="1" ht="70">
      <c r="B108" s="115">
        <v>44105</v>
      </c>
      <c r="D108" s="116" t="s">
        <v>1607</v>
      </c>
      <c r="F108" s="159" t="s">
        <v>1093</v>
      </c>
      <c r="K108" s="116" t="s">
        <v>1618</v>
      </c>
      <c r="M108" s="116" t="s">
        <v>2139</v>
      </c>
      <c r="N108" s="116" t="s">
        <v>1620</v>
      </c>
    </row>
    <row r="109" spans="2:18" s="116" customFormat="1" ht="154">
      <c r="B109" s="115">
        <v>44105</v>
      </c>
      <c r="D109" s="116" t="s">
        <v>1607</v>
      </c>
      <c r="F109" s="159" t="s">
        <v>1096</v>
      </c>
      <c r="K109" s="116" t="s">
        <v>1615</v>
      </c>
      <c r="M109" s="116" t="s">
        <v>2138</v>
      </c>
      <c r="N109" s="116" t="s">
        <v>1621</v>
      </c>
    </row>
    <row r="110" spans="2:18" s="84" customFormat="1" ht="84">
      <c r="B110" s="85">
        <v>44103</v>
      </c>
      <c r="C110" s="84" t="s">
        <v>1083</v>
      </c>
      <c r="D110" s="84" t="s">
        <v>1607</v>
      </c>
      <c r="F110" s="84" t="s">
        <v>1085</v>
      </c>
      <c r="K110" s="84" t="s">
        <v>1622</v>
      </c>
      <c r="M110" s="84" t="s">
        <v>1623</v>
      </c>
      <c r="N110" s="84" t="s">
        <v>1008</v>
      </c>
    </row>
    <row r="111" spans="2:18" s="123" customFormat="1" ht="90">
      <c r="B111" s="163">
        <v>44085</v>
      </c>
      <c r="C111" s="123" t="s">
        <v>1160</v>
      </c>
      <c r="D111" s="123" t="s">
        <v>1371</v>
      </c>
      <c r="F111" s="123" t="s">
        <v>1600</v>
      </c>
      <c r="K111" s="123" t="s">
        <v>1624</v>
      </c>
      <c r="M111" s="123" t="s">
        <v>1625</v>
      </c>
      <c r="N111" s="123" t="s">
        <v>1380</v>
      </c>
      <c r="Q111" s="164"/>
      <c r="R111" s="164"/>
    </row>
    <row r="112" spans="2:18" s="86" customFormat="1" ht="70">
      <c r="B112" s="87">
        <v>44116</v>
      </c>
      <c r="C112" s="86" t="s">
        <v>1068</v>
      </c>
      <c r="D112" s="86" t="s">
        <v>1607</v>
      </c>
      <c r="F112" s="86" t="s">
        <v>1082</v>
      </c>
      <c r="K112" s="86" t="s">
        <v>1615</v>
      </c>
      <c r="M112" s="86" t="s">
        <v>2188</v>
      </c>
      <c r="N112" s="86" t="s">
        <v>1445</v>
      </c>
    </row>
    <row r="113" spans="2:14" s="86" customFormat="1" ht="140">
      <c r="B113" s="87">
        <v>44116</v>
      </c>
      <c r="C113" s="86" t="s">
        <v>1068</v>
      </c>
      <c r="D113" s="86" t="s">
        <v>1607</v>
      </c>
      <c r="F113" s="86" t="s">
        <v>1082</v>
      </c>
      <c r="K113" s="86" t="s">
        <v>1324</v>
      </c>
      <c r="M113" s="86" t="s">
        <v>1626</v>
      </c>
      <c r="N113" s="86" t="s">
        <v>1581</v>
      </c>
    </row>
    <row r="114" spans="2:14" s="86" customFormat="1" ht="126">
      <c r="B114" s="87">
        <v>44116</v>
      </c>
      <c r="C114" s="86" t="s">
        <v>1068</v>
      </c>
      <c r="D114" s="86" t="s">
        <v>1607</v>
      </c>
      <c r="F114" s="86" t="s">
        <v>1627</v>
      </c>
      <c r="K114" s="86" t="s">
        <v>1376</v>
      </c>
      <c r="M114" s="86" t="s">
        <v>1628</v>
      </c>
      <c r="N114" s="86" t="s">
        <v>1445</v>
      </c>
    </row>
    <row r="115" spans="2:14" s="86" customFormat="1" ht="42">
      <c r="B115" s="87">
        <v>44116</v>
      </c>
      <c r="C115" s="86" t="s">
        <v>1629</v>
      </c>
      <c r="D115" s="86" t="s">
        <v>1630</v>
      </c>
      <c r="F115" s="86" t="s">
        <v>1631</v>
      </c>
      <c r="K115" s="86" t="s">
        <v>1632</v>
      </c>
      <c r="M115" s="86" t="s">
        <v>1633</v>
      </c>
      <c r="N115" s="86" t="s">
        <v>1445</v>
      </c>
    </row>
    <row r="116" spans="2:14" s="86" customFormat="1" ht="42">
      <c r="B116" s="87">
        <v>44116</v>
      </c>
      <c r="C116" s="86" t="s">
        <v>1629</v>
      </c>
      <c r="D116" s="86" t="s">
        <v>1630</v>
      </c>
      <c r="F116" s="86" t="s">
        <v>1634</v>
      </c>
      <c r="K116" s="86" t="s">
        <v>1632</v>
      </c>
      <c r="M116" s="86" t="s">
        <v>1635</v>
      </c>
      <c r="N116" s="86" t="s">
        <v>1380</v>
      </c>
    </row>
    <row r="117" spans="2:14" s="86" customFormat="1" ht="98">
      <c r="B117" s="87">
        <v>44116</v>
      </c>
      <c r="C117" s="86" t="s">
        <v>1629</v>
      </c>
      <c r="D117" s="86" t="s">
        <v>1371</v>
      </c>
      <c r="F117" s="86" t="s">
        <v>1636</v>
      </c>
      <c r="K117" s="86" t="s">
        <v>1324</v>
      </c>
      <c r="M117" s="86" t="s">
        <v>1637</v>
      </c>
      <c r="N117" s="86" t="s">
        <v>1581</v>
      </c>
    </row>
    <row r="118" spans="2:14" s="86" customFormat="1" ht="42">
      <c r="B118" s="87">
        <v>44116</v>
      </c>
      <c r="C118" s="86" t="s">
        <v>1629</v>
      </c>
      <c r="D118" s="86" t="s">
        <v>1362</v>
      </c>
      <c r="F118" s="86" t="s">
        <v>1638</v>
      </c>
      <c r="K118" s="86" t="s">
        <v>1613</v>
      </c>
      <c r="M118" s="86" t="s">
        <v>1639</v>
      </c>
      <c r="N118" s="86" t="s">
        <v>1445</v>
      </c>
    </row>
    <row r="119" spans="2:14" s="86" customFormat="1" ht="42">
      <c r="B119" s="87">
        <v>44125</v>
      </c>
      <c r="C119" s="86" t="s">
        <v>1108</v>
      </c>
      <c r="D119" s="86" t="s">
        <v>1607</v>
      </c>
      <c r="F119" s="86" t="s">
        <v>1640</v>
      </c>
      <c r="G119" s="86" t="s">
        <v>1226</v>
      </c>
      <c r="K119" s="86" t="s">
        <v>1604</v>
      </c>
      <c r="M119" s="86" t="s">
        <v>1641</v>
      </c>
      <c r="N119" s="86" t="s">
        <v>1380</v>
      </c>
    </row>
    <row r="120" spans="2:14" s="86" customFormat="1" ht="42">
      <c r="B120" s="87">
        <v>44125</v>
      </c>
      <c r="C120" s="86" t="s">
        <v>1108</v>
      </c>
      <c r="D120" s="86" t="s">
        <v>1607</v>
      </c>
      <c r="F120" s="86" t="s">
        <v>1642</v>
      </c>
      <c r="G120" s="86" t="s">
        <v>1114</v>
      </c>
      <c r="K120" s="86" t="s">
        <v>1604</v>
      </c>
      <c r="M120" s="86" t="s">
        <v>1641</v>
      </c>
      <c r="N120" s="86" t="s">
        <v>1380</v>
      </c>
    </row>
    <row r="121" spans="2:14" s="86" customFormat="1" ht="42">
      <c r="B121" s="87">
        <v>44125</v>
      </c>
      <c r="C121" s="86" t="s">
        <v>1108</v>
      </c>
      <c r="D121" s="86" t="s">
        <v>1607</v>
      </c>
      <c r="F121" s="86" t="s">
        <v>1643</v>
      </c>
      <c r="G121" s="86" t="s">
        <v>1111</v>
      </c>
      <c r="K121" s="86" t="s">
        <v>1604</v>
      </c>
      <c r="M121" s="86" t="s">
        <v>1641</v>
      </c>
      <c r="N121" s="86" t="s">
        <v>1380</v>
      </c>
    </row>
    <row r="122" spans="2:14" s="86" customFormat="1" ht="42">
      <c r="B122" s="87">
        <v>44125</v>
      </c>
      <c r="C122" s="86" t="s">
        <v>1108</v>
      </c>
      <c r="D122" s="86" t="s">
        <v>1607</v>
      </c>
      <c r="F122" s="86" t="s">
        <v>1644</v>
      </c>
      <c r="G122" s="86" t="s">
        <v>1232</v>
      </c>
      <c r="K122" s="86" t="s">
        <v>1604</v>
      </c>
      <c r="M122" s="86" t="s">
        <v>1641</v>
      </c>
      <c r="N122" s="86" t="s">
        <v>1380</v>
      </c>
    </row>
    <row r="123" spans="2:14" s="86" customFormat="1" ht="42">
      <c r="B123" s="87">
        <v>44126</v>
      </c>
      <c r="C123" s="86" t="s">
        <v>1068</v>
      </c>
      <c r="D123" s="86" t="s">
        <v>1607</v>
      </c>
      <c r="F123" s="86" t="s">
        <v>1645</v>
      </c>
      <c r="K123" s="86" t="s">
        <v>1376</v>
      </c>
      <c r="M123" s="86" t="s">
        <v>1646</v>
      </c>
      <c r="N123" s="86" t="s">
        <v>1445</v>
      </c>
    </row>
    <row r="124" spans="2:14" s="86" customFormat="1" ht="42">
      <c r="B124" s="87">
        <v>44183</v>
      </c>
      <c r="C124" s="86" t="s">
        <v>1068</v>
      </c>
      <c r="D124" s="86" t="s">
        <v>1607</v>
      </c>
      <c r="F124" s="86" t="s">
        <v>1647</v>
      </c>
      <c r="K124" s="86" t="s">
        <v>2133</v>
      </c>
      <c r="M124" s="86" t="s">
        <v>2189</v>
      </c>
      <c r="N124" s="86" t="s">
        <v>1445</v>
      </c>
    </row>
    <row r="125" spans="2:14" s="86" customFormat="1" ht="42">
      <c r="B125" s="87">
        <v>44130</v>
      </c>
      <c r="C125" s="86" t="s">
        <v>1068</v>
      </c>
      <c r="D125" s="86" t="s">
        <v>1607</v>
      </c>
      <c r="F125" s="86" t="s">
        <v>1627</v>
      </c>
      <c r="K125" s="86" t="s">
        <v>1648</v>
      </c>
      <c r="M125" s="86" t="s">
        <v>1649</v>
      </c>
      <c r="N125" s="86" t="s">
        <v>1445</v>
      </c>
    </row>
    <row r="126" spans="2:14" s="86" customFormat="1" ht="42">
      <c r="B126" s="87">
        <v>44137</v>
      </c>
      <c r="C126" s="86" t="s">
        <v>1068</v>
      </c>
      <c r="D126" s="86" t="s">
        <v>1607</v>
      </c>
      <c r="F126" s="86" t="s">
        <v>1627</v>
      </c>
      <c r="K126" s="86" t="s">
        <v>1324</v>
      </c>
      <c r="M126" s="86" t="s">
        <v>1650</v>
      </c>
      <c r="N126" s="86" t="s">
        <v>1581</v>
      </c>
    </row>
    <row r="127" spans="2:14" s="86" customFormat="1" ht="48" customHeight="1">
      <c r="B127" s="87">
        <v>44183</v>
      </c>
      <c r="C127" s="86" t="s">
        <v>1068</v>
      </c>
      <c r="D127" s="86" t="s">
        <v>1607</v>
      </c>
      <c r="F127" s="86" t="s">
        <v>1627</v>
      </c>
      <c r="K127" s="86" t="s">
        <v>2133</v>
      </c>
      <c r="M127" s="86" t="s">
        <v>2190</v>
      </c>
      <c r="N127" s="86" t="s">
        <v>1445</v>
      </c>
    </row>
    <row r="128" spans="2:14" s="86" customFormat="1" ht="56">
      <c r="B128" s="87">
        <v>44160</v>
      </c>
      <c r="C128" s="86" t="s">
        <v>907</v>
      </c>
      <c r="D128" s="86" t="s">
        <v>1572</v>
      </c>
      <c r="F128" s="86" t="s">
        <v>1651</v>
      </c>
      <c r="H128" s="86" t="s">
        <v>1652</v>
      </c>
      <c r="K128" s="86" t="s">
        <v>1615</v>
      </c>
      <c r="M128" s="86" t="s">
        <v>2208</v>
      </c>
      <c r="N128" s="86" t="s">
        <v>1445</v>
      </c>
    </row>
    <row r="129" spans="2:19" s="246" customFormat="1" ht="154">
      <c r="B129" s="245">
        <v>44161</v>
      </c>
      <c r="C129" s="246" t="s">
        <v>1068</v>
      </c>
      <c r="D129" s="246" t="s">
        <v>1572</v>
      </c>
      <c r="F129" s="246" t="s">
        <v>1653</v>
      </c>
      <c r="K129" s="246" t="s">
        <v>1615</v>
      </c>
      <c r="M129" s="246" t="s">
        <v>2331</v>
      </c>
      <c r="N129" s="246" t="s">
        <v>1620</v>
      </c>
    </row>
    <row r="130" spans="2:19" s="86" customFormat="1" ht="42">
      <c r="B130" s="87">
        <v>44173</v>
      </c>
      <c r="C130" s="86" t="s">
        <v>1606</v>
      </c>
      <c r="D130" s="86" t="s">
        <v>1103</v>
      </c>
      <c r="F130" s="86" t="s">
        <v>1654</v>
      </c>
      <c r="K130" s="86" t="s">
        <v>1615</v>
      </c>
      <c r="M130" s="86" t="s">
        <v>2191</v>
      </c>
      <c r="N130" s="86" t="s">
        <v>1445</v>
      </c>
    </row>
    <row r="131" spans="2:19" s="86" customFormat="1" ht="28">
      <c r="B131" s="87">
        <v>44173</v>
      </c>
      <c r="C131" s="86" t="s">
        <v>1606</v>
      </c>
      <c r="D131" s="86" t="s">
        <v>1103</v>
      </c>
      <c r="F131" s="86" t="s">
        <v>1655</v>
      </c>
      <c r="K131" s="86" t="s">
        <v>1615</v>
      </c>
      <c r="M131" s="86" t="s">
        <v>1656</v>
      </c>
      <c r="N131" s="86" t="s">
        <v>1529</v>
      </c>
    </row>
    <row r="132" spans="2:19" s="86" customFormat="1" ht="70">
      <c r="B132" s="87">
        <v>44084</v>
      </c>
      <c r="C132" s="86" t="s">
        <v>1072</v>
      </c>
      <c r="D132" s="86" t="s">
        <v>1572</v>
      </c>
      <c r="F132" s="86" t="s">
        <v>1074</v>
      </c>
      <c r="K132" s="86" t="s">
        <v>1615</v>
      </c>
      <c r="M132" s="86" t="s">
        <v>2184</v>
      </c>
      <c r="N132" s="86" t="s">
        <v>1445</v>
      </c>
    </row>
    <row r="133" spans="2:19" s="86" customFormat="1" ht="42">
      <c r="B133" s="87">
        <v>44057</v>
      </c>
      <c r="C133" s="86" t="s">
        <v>1576</v>
      </c>
      <c r="D133" s="86" t="s">
        <v>1572</v>
      </c>
      <c r="E133" s="158"/>
      <c r="F133" s="158" t="s">
        <v>1056</v>
      </c>
      <c r="K133" s="86" t="s">
        <v>1615</v>
      </c>
      <c r="M133" s="86" t="s">
        <v>2147</v>
      </c>
      <c r="N133" s="86" t="s">
        <v>1445</v>
      </c>
    </row>
    <row r="134" spans="2:19" s="86" customFormat="1" ht="42">
      <c r="B134" s="87">
        <v>44221</v>
      </c>
      <c r="C134" s="86" t="s">
        <v>1606</v>
      </c>
      <c r="D134" s="86" t="s">
        <v>1371</v>
      </c>
      <c r="F134" s="86" t="s">
        <v>1582</v>
      </c>
      <c r="K134" s="86" t="s">
        <v>2146</v>
      </c>
      <c r="M134" s="86" t="s">
        <v>2148</v>
      </c>
      <c r="N134" s="86" t="s">
        <v>1445</v>
      </c>
    </row>
    <row r="135" spans="2:19" s="86" customFormat="1" ht="42">
      <c r="B135" s="87">
        <v>44221</v>
      </c>
      <c r="C135" s="86" t="s">
        <v>1606</v>
      </c>
      <c r="D135" s="86" t="s">
        <v>1362</v>
      </c>
      <c r="F135" s="86" t="s">
        <v>1515</v>
      </c>
      <c r="K135" s="86" t="s">
        <v>2155</v>
      </c>
      <c r="M135" s="86" t="s">
        <v>2149</v>
      </c>
      <c r="N135" s="86" t="s">
        <v>1445</v>
      </c>
    </row>
    <row r="136" spans="2:19" s="86" customFormat="1" ht="56">
      <c r="B136" s="87">
        <v>44222</v>
      </c>
      <c r="C136" s="86" t="s">
        <v>2154</v>
      </c>
      <c r="D136" s="86" t="s">
        <v>1572</v>
      </c>
      <c r="F136" s="86" t="s">
        <v>2153</v>
      </c>
      <c r="K136" s="86" t="s">
        <v>1615</v>
      </c>
      <c r="M136" s="86" t="s">
        <v>2207</v>
      </c>
      <c r="N136" s="86" t="s">
        <v>1445</v>
      </c>
    </row>
    <row r="137" spans="2:19" s="110" customFormat="1" ht="70">
      <c r="B137" s="111">
        <v>44277</v>
      </c>
      <c r="C137" s="110" t="s">
        <v>2154</v>
      </c>
      <c r="D137" s="110" t="s">
        <v>1607</v>
      </c>
      <c r="F137" s="110" t="s">
        <v>2153</v>
      </c>
      <c r="K137" s="110" t="s">
        <v>2204</v>
      </c>
      <c r="M137" s="110" t="s">
        <v>2329</v>
      </c>
      <c r="N137" s="110" t="s">
        <v>1657</v>
      </c>
    </row>
    <row r="138" spans="2:19" s="246" customFormat="1" ht="98">
      <c r="B138" s="245">
        <v>44277</v>
      </c>
      <c r="C138" s="246" t="s">
        <v>2205</v>
      </c>
      <c r="D138" s="246" t="s">
        <v>1607</v>
      </c>
      <c r="F138" s="246" t="s">
        <v>2203</v>
      </c>
      <c r="K138" s="246" t="s">
        <v>2204</v>
      </c>
      <c r="M138" s="246" t="s">
        <v>2330</v>
      </c>
      <c r="N138" s="246" t="s">
        <v>1838</v>
      </c>
    </row>
    <row r="139" spans="2:19" s="86" customFormat="1" ht="84">
      <c r="B139" s="87">
        <v>44277</v>
      </c>
      <c r="C139" s="86" t="s">
        <v>907</v>
      </c>
      <c r="D139" s="86" t="s">
        <v>1607</v>
      </c>
      <c r="F139" s="86" t="s">
        <v>2206</v>
      </c>
      <c r="K139" s="86" t="s">
        <v>1376</v>
      </c>
      <c r="M139" s="86" t="s">
        <v>2307</v>
      </c>
      <c r="N139" s="86" t="s">
        <v>1445</v>
      </c>
    </row>
    <row r="140" spans="2:19" s="110" customFormat="1" ht="56">
      <c r="B140" s="111">
        <v>44277</v>
      </c>
      <c r="C140" s="110" t="s">
        <v>907</v>
      </c>
      <c r="D140" s="110" t="s">
        <v>1572</v>
      </c>
      <c r="F140" s="110" t="s">
        <v>1651</v>
      </c>
      <c r="K140" s="110" t="s">
        <v>2204</v>
      </c>
      <c r="M140" s="110" t="s">
        <v>2328</v>
      </c>
      <c r="N140" s="110" t="s">
        <v>1657</v>
      </c>
    </row>
    <row r="141" spans="2:19" s="110" customFormat="1" ht="84">
      <c r="B141" s="111">
        <v>44277</v>
      </c>
      <c r="C141" s="110" t="s">
        <v>1316</v>
      </c>
      <c r="D141" s="110" t="s">
        <v>1607</v>
      </c>
      <c r="F141" s="110" t="s">
        <v>2210</v>
      </c>
      <c r="K141" s="110" t="s">
        <v>2247</v>
      </c>
      <c r="M141" s="110" t="s">
        <v>2326</v>
      </c>
      <c r="N141" s="110" t="s">
        <v>1657</v>
      </c>
    </row>
    <row r="142" spans="2:19" s="86" customFormat="1" ht="14">
      <c r="B142" s="87">
        <v>44278</v>
      </c>
      <c r="C142" s="86" t="s">
        <v>1068</v>
      </c>
      <c r="D142" s="86" t="s">
        <v>1572</v>
      </c>
      <c r="F142" s="86" t="s">
        <v>1653</v>
      </c>
      <c r="K142" s="86" t="s">
        <v>1376</v>
      </c>
      <c r="M142" s="86" t="s">
        <v>2223</v>
      </c>
      <c r="N142" s="86" t="s">
        <v>1445</v>
      </c>
    </row>
    <row r="143" spans="2:19" s="86" customFormat="1" ht="42">
      <c r="B143" s="87">
        <v>44278</v>
      </c>
      <c r="C143" s="86" t="s">
        <v>2205</v>
      </c>
      <c r="D143" s="86" t="s">
        <v>1607</v>
      </c>
      <c r="F143" s="86" t="s">
        <v>2228</v>
      </c>
      <c r="K143" s="86" t="s">
        <v>2204</v>
      </c>
      <c r="M143" s="86" t="s">
        <v>2248</v>
      </c>
      <c r="N143" s="86" t="s">
        <v>1380</v>
      </c>
    </row>
    <row r="144" spans="2:19" s="123" customFormat="1" ht="45">
      <c r="B144" s="163">
        <v>44278</v>
      </c>
      <c r="C144" s="123" t="s">
        <v>2239</v>
      </c>
      <c r="D144" s="123" t="s">
        <v>1607</v>
      </c>
      <c r="F144" s="123" t="s">
        <v>2231</v>
      </c>
      <c r="G144" s="123" t="s">
        <v>2238</v>
      </c>
      <c r="J144" s="123" t="s">
        <v>2235</v>
      </c>
      <c r="K144" s="123" t="s">
        <v>1702</v>
      </c>
      <c r="M144" s="123" t="s">
        <v>2240</v>
      </c>
      <c r="N144" s="123" t="s">
        <v>1380</v>
      </c>
      <c r="Q144" s="188"/>
      <c r="R144" s="188"/>
      <c r="S144" s="188"/>
    </row>
    <row r="145" spans="2:22" s="123" customFormat="1" ht="45">
      <c r="B145" s="163">
        <v>44278</v>
      </c>
      <c r="C145" s="123" t="s">
        <v>2239</v>
      </c>
      <c r="D145" s="123" t="s">
        <v>1607</v>
      </c>
      <c r="F145" s="123" t="s">
        <v>2230</v>
      </c>
      <c r="G145" s="123" t="s">
        <v>2237</v>
      </c>
      <c r="J145" s="123" t="s">
        <v>2235</v>
      </c>
      <c r="K145" s="123" t="s">
        <v>1702</v>
      </c>
      <c r="M145" s="123" t="s">
        <v>2240</v>
      </c>
      <c r="N145" s="123" t="s">
        <v>1380</v>
      </c>
      <c r="Q145" s="188"/>
      <c r="R145" s="188"/>
      <c r="S145" s="188"/>
    </row>
    <row r="146" spans="2:22" s="123" customFormat="1" ht="45">
      <c r="B146" s="163">
        <v>44278</v>
      </c>
      <c r="C146" s="123" t="s">
        <v>2239</v>
      </c>
      <c r="D146" s="123" t="s">
        <v>1607</v>
      </c>
      <c r="F146" s="123" t="s">
        <v>2232</v>
      </c>
      <c r="G146" s="123" t="s">
        <v>2236</v>
      </c>
      <c r="J146" s="123" t="s">
        <v>2235</v>
      </c>
      <c r="K146" s="123" t="s">
        <v>1702</v>
      </c>
      <c r="M146" s="123" t="s">
        <v>2240</v>
      </c>
      <c r="N146" s="123" t="s">
        <v>1380</v>
      </c>
      <c r="Q146" s="188"/>
      <c r="R146" s="188"/>
      <c r="S146" s="188"/>
    </row>
    <row r="147" spans="2:22" s="123" customFormat="1" ht="45">
      <c r="B147" s="163">
        <v>44278</v>
      </c>
      <c r="C147" s="123" t="s">
        <v>2239</v>
      </c>
      <c r="D147" s="123" t="s">
        <v>1607</v>
      </c>
      <c r="F147" s="123" t="s">
        <v>2233</v>
      </c>
      <c r="G147" s="123" t="s">
        <v>2234</v>
      </c>
      <c r="J147" s="123" t="s">
        <v>2235</v>
      </c>
      <c r="K147" s="123" t="s">
        <v>1702</v>
      </c>
      <c r="M147" s="123" t="s">
        <v>2240</v>
      </c>
      <c r="N147" s="123" t="s">
        <v>1380</v>
      </c>
      <c r="Q147" s="188"/>
      <c r="R147" s="188"/>
      <c r="S147" s="188"/>
    </row>
    <row r="148" spans="2:22" s="114" customFormat="1" ht="60">
      <c r="B148" s="161">
        <v>44284</v>
      </c>
      <c r="C148" s="114" t="s">
        <v>1098</v>
      </c>
      <c r="D148" s="114" t="s">
        <v>1607</v>
      </c>
      <c r="F148" s="114" t="s">
        <v>2251</v>
      </c>
      <c r="K148" s="114" t="s">
        <v>2204</v>
      </c>
      <c r="M148" s="114" t="s">
        <v>2327</v>
      </c>
      <c r="N148" s="114" t="s">
        <v>2302</v>
      </c>
      <c r="Q148" s="201"/>
      <c r="R148" s="201"/>
      <c r="S148" s="201"/>
      <c r="T148" s="114" t="s">
        <v>2249</v>
      </c>
      <c r="U148" s="202">
        <v>900</v>
      </c>
      <c r="V148" s="114" t="s">
        <v>2250</v>
      </c>
    </row>
    <row r="149" spans="2:22" s="123" customFormat="1" ht="60">
      <c r="B149" s="163">
        <v>44292</v>
      </c>
      <c r="C149" s="123" t="s">
        <v>2205</v>
      </c>
      <c r="D149" s="123" t="s">
        <v>1607</v>
      </c>
      <c r="F149" s="123" t="s">
        <v>2293</v>
      </c>
      <c r="K149" s="123" t="s">
        <v>2204</v>
      </c>
      <c r="M149" s="123" t="s">
        <v>2305</v>
      </c>
      <c r="N149" s="123" t="s">
        <v>1332</v>
      </c>
      <c r="Q149" s="188"/>
      <c r="R149" s="188"/>
      <c r="S149" s="188"/>
      <c r="T149" s="123" t="s">
        <v>2294</v>
      </c>
      <c r="U149" s="205">
        <v>900</v>
      </c>
      <c r="V149" s="123" t="s">
        <v>2295</v>
      </c>
    </row>
  </sheetData>
  <autoFilter ref="A1:X135" xr:uid="{00000000-0009-0000-0000-000006000000}"/>
  <phoneticPr fontId="3" type="noConversion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1576-D907-2448-A93A-F4F48CB04D34}">
  <dimension ref="A1:D3"/>
  <sheetViews>
    <sheetView workbookViewId="0">
      <selection activeCell="B18" sqref="B18"/>
    </sheetView>
  </sheetViews>
  <sheetFormatPr baseColWidth="10" defaultColWidth="11.5" defaultRowHeight="13"/>
  <cols>
    <col min="1" max="1" width="15.5" customWidth="1"/>
    <col min="2" max="2" width="38.6640625" customWidth="1"/>
    <col min="3" max="5" width="15.5" customWidth="1"/>
  </cols>
  <sheetData>
    <row r="1" spans="1:4" s="167" customFormat="1">
      <c r="A1" s="167" t="s">
        <v>0</v>
      </c>
      <c r="B1" s="167" t="s">
        <v>1251</v>
      </c>
      <c r="C1" s="167" t="s">
        <v>1658</v>
      </c>
      <c r="D1" s="167" t="s">
        <v>1659</v>
      </c>
    </row>
    <row r="2" spans="1:4">
      <c r="A2" t="s">
        <v>1092</v>
      </c>
      <c r="B2" t="s">
        <v>1660</v>
      </c>
      <c r="C2" t="s">
        <v>1661</v>
      </c>
      <c r="D2" t="s">
        <v>1662</v>
      </c>
    </row>
    <row r="3" spans="1:4">
      <c r="A3" t="s">
        <v>1095</v>
      </c>
      <c r="B3" t="s">
        <v>1663</v>
      </c>
      <c r="C3" t="s">
        <v>1664</v>
      </c>
      <c r="D3" t="s">
        <v>1662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B222"/>
  <sheetViews>
    <sheetView tabSelected="1" zoomScale="90" zoomScaleNormal="90" workbookViewId="0">
      <pane ySplit="1" topLeftCell="A210" activePane="bottomLeft" state="frozen"/>
      <selection pane="bottomLeft" activeCell="G215" sqref="G215"/>
    </sheetView>
  </sheetViews>
  <sheetFormatPr baseColWidth="10" defaultColWidth="11.5" defaultRowHeight="14"/>
  <cols>
    <col min="1" max="1" width="11.5" style="88"/>
    <col min="2" max="2" width="10.1640625" style="88" customWidth="1"/>
    <col min="3" max="6" width="11.5" style="88"/>
    <col min="7" max="7" width="42.6640625" style="88" customWidth="1"/>
    <col min="8" max="11" width="11.5" style="88"/>
    <col min="12" max="12" width="50.1640625" style="88" customWidth="1"/>
    <col min="13" max="13" width="11.5" style="88"/>
    <col min="14" max="14" width="20" style="88" bestFit="1" customWidth="1"/>
    <col min="15" max="16" width="11.5" style="88"/>
    <col min="17" max="17" width="17.1640625" style="88" customWidth="1"/>
    <col min="18" max="20" width="17.1640625" style="179" customWidth="1"/>
    <col min="21" max="22" width="11.5" style="88"/>
    <col min="23" max="23" width="14" style="88" customWidth="1"/>
    <col min="24" max="16384" width="11.5" style="88"/>
  </cols>
  <sheetData>
    <row r="1" spans="1:28" ht="30">
      <c r="A1" s="88" t="s">
        <v>1293</v>
      </c>
      <c r="B1" s="88" t="s">
        <v>1665</v>
      </c>
      <c r="C1" s="88" t="s">
        <v>1294</v>
      </c>
      <c r="D1" s="88" t="s">
        <v>1666</v>
      </c>
      <c r="E1" s="88" t="s">
        <v>1296</v>
      </c>
      <c r="F1" s="88" t="s">
        <v>1252</v>
      </c>
      <c r="G1" s="88" t="s">
        <v>1297</v>
      </c>
      <c r="H1" s="88" t="s">
        <v>1298</v>
      </c>
      <c r="I1" s="88" t="s">
        <v>1299</v>
      </c>
      <c r="J1" s="88" t="s">
        <v>1300</v>
      </c>
      <c r="K1" s="88" t="s">
        <v>10</v>
      </c>
      <c r="L1" s="88" t="s">
        <v>1258</v>
      </c>
      <c r="M1" s="88" t="s">
        <v>1667</v>
      </c>
      <c r="N1" s="88" t="s">
        <v>1303</v>
      </c>
      <c r="O1" s="88" t="s">
        <v>1304</v>
      </c>
      <c r="P1" s="88" t="s">
        <v>1305</v>
      </c>
      <c r="Q1" s="88" t="s">
        <v>1668</v>
      </c>
      <c r="R1" s="179" t="s">
        <v>1669</v>
      </c>
      <c r="S1" s="179" t="s">
        <v>1670</v>
      </c>
      <c r="T1" s="179" t="s">
        <v>1671</v>
      </c>
      <c r="U1" s="88" t="s">
        <v>1310</v>
      </c>
      <c r="V1" s="88" t="s">
        <v>1672</v>
      </c>
      <c r="W1" s="88" t="s">
        <v>1673</v>
      </c>
      <c r="X1" s="88" t="s">
        <v>1311</v>
      </c>
      <c r="Y1" s="88" t="s">
        <v>1304</v>
      </c>
      <c r="Z1" s="88" t="s">
        <v>1312</v>
      </c>
      <c r="AA1" s="88" t="s">
        <v>1313</v>
      </c>
      <c r="AB1" s="88" t="s">
        <v>1314</v>
      </c>
    </row>
    <row r="2" spans="1:28" s="170" customFormat="1" ht="70">
      <c r="A2" s="84"/>
      <c r="B2" s="84"/>
      <c r="C2" s="85">
        <v>43656</v>
      </c>
      <c r="D2" s="84" t="s">
        <v>1674</v>
      </c>
      <c r="E2" s="84" t="s">
        <v>1371</v>
      </c>
      <c r="F2" s="84"/>
      <c r="G2" s="84" t="s">
        <v>1372</v>
      </c>
      <c r="H2" s="84"/>
      <c r="I2" s="84"/>
      <c r="J2" s="84"/>
      <c r="K2" s="84"/>
      <c r="L2" s="84" t="s">
        <v>1373</v>
      </c>
      <c r="M2" s="84" t="s">
        <v>1675</v>
      </c>
      <c r="N2" s="84"/>
      <c r="O2" s="84" t="s">
        <v>1008</v>
      </c>
      <c r="P2" s="84"/>
      <c r="Q2" s="84"/>
      <c r="R2" s="180"/>
      <c r="S2" s="180"/>
      <c r="T2" s="180"/>
      <c r="U2" s="84"/>
      <c r="V2" s="84"/>
      <c r="W2" s="84"/>
      <c r="X2" s="84"/>
      <c r="Y2" s="84"/>
      <c r="Z2" s="84"/>
      <c r="AA2" s="84"/>
      <c r="AB2" s="84"/>
    </row>
    <row r="3" spans="1:28" s="170" customFormat="1" ht="15">
      <c r="C3" s="182">
        <v>43805</v>
      </c>
      <c r="G3" s="170" t="s">
        <v>1401</v>
      </c>
      <c r="M3" s="170" t="s">
        <v>936</v>
      </c>
      <c r="N3" s="170" t="s">
        <v>1676</v>
      </c>
      <c r="O3" s="170" t="s">
        <v>1008</v>
      </c>
      <c r="R3" s="186"/>
      <c r="S3" s="186"/>
      <c r="T3" s="186"/>
    </row>
    <row r="4" spans="1:28" s="123" customFormat="1" ht="75">
      <c r="C4" s="163">
        <v>43838</v>
      </c>
      <c r="F4" s="163">
        <v>43396</v>
      </c>
      <c r="G4" s="123" t="s">
        <v>1677</v>
      </c>
      <c r="M4" s="123" t="s">
        <v>936</v>
      </c>
      <c r="N4" s="123" t="s">
        <v>1678</v>
      </c>
      <c r="O4" s="123" t="s">
        <v>1332</v>
      </c>
      <c r="Q4" s="187"/>
      <c r="R4" s="188"/>
      <c r="S4" s="188"/>
      <c r="T4" s="188"/>
    </row>
    <row r="5" spans="1:28" s="170" customFormat="1" ht="15">
      <c r="C5" s="182">
        <v>43838</v>
      </c>
      <c r="G5" s="170" t="s">
        <v>1679</v>
      </c>
      <c r="M5" s="170" t="s">
        <v>936</v>
      </c>
      <c r="N5" s="170" t="s">
        <v>1680</v>
      </c>
      <c r="O5" s="170" t="s">
        <v>1008</v>
      </c>
      <c r="P5" s="182">
        <v>43838</v>
      </c>
      <c r="Q5" s="189">
        <v>55.5</v>
      </c>
      <c r="R5" s="186"/>
      <c r="S5" s="186"/>
      <c r="T5" s="186"/>
    </row>
    <row r="6" spans="1:28" s="170" customFormat="1" ht="54" customHeight="1">
      <c r="C6" s="182">
        <v>43862</v>
      </c>
      <c r="G6" s="170" t="s">
        <v>1681</v>
      </c>
      <c r="M6" s="170" t="s">
        <v>1018</v>
      </c>
      <c r="N6" s="170" t="s">
        <v>1682</v>
      </c>
      <c r="O6" s="170" t="s">
        <v>1008</v>
      </c>
      <c r="R6" s="186"/>
      <c r="S6" s="186"/>
      <c r="T6" s="186"/>
      <c r="U6" s="170" t="s">
        <v>1683</v>
      </c>
      <c r="V6" s="190">
        <v>800</v>
      </c>
      <c r="W6" s="190"/>
      <c r="X6" s="182">
        <v>43683</v>
      </c>
      <c r="Y6" s="170" t="s">
        <v>1684</v>
      </c>
    </row>
    <row r="7" spans="1:28" s="170" customFormat="1" ht="30">
      <c r="B7" s="191">
        <v>43862</v>
      </c>
      <c r="C7" s="182">
        <v>43862</v>
      </c>
      <c r="G7" s="170" t="s">
        <v>1685</v>
      </c>
      <c r="M7" s="170" t="s">
        <v>627</v>
      </c>
      <c r="N7" s="170" t="s">
        <v>1686</v>
      </c>
      <c r="O7" s="170" t="s">
        <v>1008</v>
      </c>
      <c r="P7" s="182">
        <v>43873</v>
      </c>
      <c r="Q7" s="170" t="s">
        <v>1687</v>
      </c>
      <c r="R7" s="186"/>
      <c r="S7" s="186"/>
      <c r="T7" s="186"/>
      <c r="V7" s="190">
        <v>2100</v>
      </c>
      <c r="W7" s="190" t="s">
        <v>1688</v>
      </c>
      <c r="Y7" s="170" t="s">
        <v>1689</v>
      </c>
    </row>
    <row r="8" spans="1:28" s="170" customFormat="1" ht="30">
      <c r="C8" s="182">
        <v>43874</v>
      </c>
      <c r="E8" s="170" t="s">
        <v>1690</v>
      </c>
      <c r="G8" s="170" t="s">
        <v>1691</v>
      </c>
      <c r="M8" s="170" t="s">
        <v>936</v>
      </c>
      <c r="N8" s="170" t="s">
        <v>1692</v>
      </c>
      <c r="O8" s="170" t="s">
        <v>1008</v>
      </c>
      <c r="P8" s="182">
        <v>43879</v>
      </c>
      <c r="Q8" s="170" t="s">
        <v>2194</v>
      </c>
      <c r="R8" s="186"/>
      <c r="S8" s="186"/>
      <c r="T8" s="186"/>
      <c r="V8" s="190">
        <v>900</v>
      </c>
      <c r="W8" s="170" t="s">
        <v>1694</v>
      </c>
      <c r="Y8" s="170" t="s">
        <v>1695</v>
      </c>
    </row>
    <row r="9" spans="1:28" s="170" customFormat="1" ht="105">
      <c r="B9" s="191">
        <v>43862</v>
      </c>
      <c r="C9" s="182">
        <v>43874</v>
      </c>
      <c r="G9" s="170" t="s">
        <v>956</v>
      </c>
      <c r="L9" s="170" t="s">
        <v>1696</v>
      </c>
      <c r="M9" s="170" t="s">
        <v>936</v>
      </c>
      <c r="N9" s="170" t="s">
        <v>1686</v>
      </c>
      <c r="O9" s="170" t="s">
        <v>1008</v>
      </c>
      <c r="Q9" s="170" t="s">
        <v>1697</v>
      </c>
      <c r="R9" s="186">
        <f>210</f>
        <v>210</v>
      </c>
      <c r="S9" s="186"/>
      <c r="T9" s="186">
        <f>V9-R9</f>
        <v>690</v>
      </c>
      <c r="U9" s="170" t="s">
        <v>1698</v>
      </c>
      <c r="V9" s="190">
        <v>900</v>
      </c>
      <c r="W9" s="190" t="s">
        <v>1694</v>
      </c>
      <c r="X9" s="182">
        <v>43874</v>
      </c>
      <c r="Y9" s="182" t="s">
        <v>1282</v>
      </c>
    </row>
    <row r="10" spans="1:28" ht="30">
      <c r="A10" s="170"/>
      <c r="B10" s="191">
        <v>43862</v>
      </c>
      <c r="C10" s="182">
        <v>43879</v>
      </c>
      <c r="D10" s="170"/>
      <c r="E10" s="170" t="s">
        <v>1690</v>
      </c>
      <c r="F10" s="170"/>
      <c r="G10" s="170" t="s">
        <v>1699</v>
      </c>
      <c r="H10" s="170"/>
      <c r="I10" s="170" t="s">
        <v>1700</v>
      </c>
      <c r="J10" s="170"/>
      <c r="K10" s="170"/>
      <c r="L10" s="170"/>
      <c r="M10" s="170"/>
      <c r="N10" s="170" t="s">
        <v>1686</v>
      </c>
      <c r="O10" s="170" t="s">
        <v>1008</v>
      </c>
      <c r="P10" s="170"/>
      <c r="Q10" s="170"/>
      <c r="R10" s="186"/>
      <c r="S10" s="186"/>
      <c r="T10" s="186"/>
      <c r="U10" s="170"/>
      <c r="V10" s="190">
        <v>1500</v>
      </c>
      <c r="W10" s="170" t="s">
        <v>1701</v>
      </c>
      <c r="X10" s="170"/>
      <c r="Y10" s="170" t="s">
        <v>1695</v>
      </c>
      <c r="Z10" s="170"/>
      <c r="AA10" s="170"/>
      <c r="AB10" s="170"/>
    </row>
    <row r="11" spans="1:28" ht="45">
      <c r="A11" s="170"/>
      <c r="B11" s="170"/>
      <c r="C11" s="182">
        <v>43880</v>
      </c>
      <c r="D11" s="170" t="s">
        <v>1160</v>
      </c>
      <c r="E11" s="170" t="s">
        <v>1362</v>
      </c>
      <c r="F11" s="170"/>
      <c r="G11" s="170" t="s">
        <v>1515</v>
      </c>
      <c r="H11" s="170"/>
      <c r="I11" s="170"/>
      <c r="J11" s="170"/>
      <c r="K11" s="170"/>
      <c r="L11" s="170" t="s">
        <v>1702</v>
      </c>
      <c r="M11" s="170"/>
      <c r="N11" s="170"/>
      <c r="O11" s="170" t="s">
        <v>1008</v>
      </c>
      <c r="P11" s="170"/>
      <c r="Q11" s="170"/>
      <c r="R11" s="186"/>
      <c r="S11" s="186"/>
      <c r="T11" s="186"/>
      <c r="U11" s="170"/>
      <c r="V11" s="190">
        <v>2300</v>
      </c>
      <c r="W11" s="170"/>
      <c r="X11" s="170"/>
      <c r="Y11" s="170"/>
      <c r="Z11" s="170"/>
      <c r="AA11" s="170"/>
      <c r="AB11" s="170"/>
    </row>
    <row r="12" spans="1:28" s="170" customFormat="1" ht="105">
      <c r="C12" s="182">
        <v>43885</v>
      </c>
      <c r="E12" s="170" t="s">
        <v>1690</v>
      </c>
      <c r="G12" s="170" t="s">
        <v>1703</v>
      </c>
      <c r="I12" s="170" t="s">
        <v>1704</v>
      </c>
      <c r="L12" s="170" t="s">
        <v>1705</v>
      </c>
      <c r="M12" s="170" t="s">
        <v>936</v>
      </c>
      <c r="N12" s="170" t="s">
        <v>1706</v>
      </c>
      <c r="O12" s="170" t="s">
        <v>1008</v>
      </c>
      <c r="P12" s="182">
        <v>44117</v>
      </c>
      <c r="Q12" s="170" t="s">
        <v>2195</v>
      </c>
      <c r="R12" s="186">
        <f>1000+100+600</f>
        <v>1700</v>
      </c>
      <c r="S12" s="186"/>
      <c r="T12" s="186"/>
      <c r="U12" s="170" t="s">
        <v>1707</v>
      </c>
      <c r="V12" s="190">
        <v>3500</v>
      </c>
      <c r="W12" s="170" t="s">
        <v>1708</v>
      </c>
      <c r="Y12" s="170" t="s">
        <v>1709</v>
      </c>
    </row>
    <row r="13" spans="1:28" s="159" customFormat="1" ht="45">
      <c r="A13" s="170"/>
      <c r="B13" s="170"/>
      <c r="C13" s="182">
        <v>43885</v>
      </c>
      <c r="D13" s="170"/>
      <c r="E13" s="170"/>
      <c r="F13" s="170"/>
      <c r="G13" s="170" t="s">
        <v>1710</v>
      </c>
      <c r="H13" s="170"/>
      <c r="I13" s="170"/>
      <c r="J13" s="170"/>
      <c r="K13" s="170"/>
      <c r="L13" s="170"/>
      <c r="M13" s="170" t="s">
        <v>936</v>
      </c>
      <c r="N13" s="170" t="s">
        <v>1711</v>
      </c>
      <c r="O13" s="170" t="s">
        <v>1008</v>
      </c>
      <c r="P13" s="182">
        <v>43889</v>
      </c>
      <c r="Q13" s="170" t="s">
        <v>1693</v>
      </c>
      <c r="R13" s="186"/>
      <c r="S13" s="186"/>
      <c r="T13" s="186"/>
      <c r="U13" s="170" t="s">
        <v>1712</v>
      </c>
      <c r="V13" s="190">
        <v>280</v>
      </c>
      <c r="W13" s="170" t="s">
        <v>1713</v>
      </c>
      <c r="X13" s="182">
        <v>43885</v>
      </c>
      <c r="Y13" s="170" t="s">
        <v>1714</v>
      </c>
      <c r="Z13" s="170"/>
      <c r="AA13" s="170"/>
      <c r="AB13" s="170"/>
    </row>
    <row r="14" spans="1:28" s="170" customFormat="1" ht="60">
      <c r="C14" s="182">
        <v>43885</v>
      </c>
      <c r="G14" s="170" t="s">
        <v>1710</v>
      </c>
      <c r="I14" s="170" t="s">
        <v>752</v>
      </c>
      <c r="L14" s="170" t="s">
        <v>1715</v>
      </c>
      <c r="N14" s="170" t="s">
        <v>1686</v>
      </c>
      <c r="O14" s="170" t="s">
        <v>1008</v>
      </c>
      <c r="R14" s="186"/>
      <c r="S14" s="186"/>
      <c r="T14" s="186"/>
      <c r="V14" s="190">
        <v>800</v>
      </c>
      <c r="W14" s="170" t="s">
        <v>1716</v>
      </c>
      <c r="Y14" s="170" t="s">
        <v>1695</v>
      </c>
    </row>
    <row r="15" spans="1:28" s="170" customFormat="1" ht="94" customHeight="1">
      <c r="C15" s="182">
        <v>43886</v>
      </c>
      <c r="G15" s="170" t="s">
        <v>1717</v>
      </c>
      <c r="I15" s="170" t="s">
        <v>1704</v>
      </c>
      <c r="N15" s="170" t="s">
        <v>1317</v>
      </c>
      <c r="O15" s="170" t="s">
        <v>1008</v>
      </c>
      <c r="P15" s="182">
        <v>43886</v>
      </c>
      <c r="Q15" s="170" t="s">
        <v>1718</v>
      </c>
      <c r="R15" s="186">
        <f>6200+100+600</f>
        <v>6900</v>
      </c>
      <c r="S15" s="186"/>
      <c r="T15" s="186">
        <f>V15-R15</f>
        <v>1600</v>
      </c>
      <c r="V15" s="190">
        <v>8500</v>
      </c>
      <c r="W15" s="170" t="s">
        <v>1719</v>
      </c>
    </row>
    <row r="16" spans="1:28" s="170" customFormat="1" ht="30">
      <c r="C16" s="182">
        <v>43889</v>
      </c>
      <c r="G16" s="170" t="s">
        <v>1720</v>
      </c>
      <c r="I16" s="170" t="s">
        <v>752</v>
      </c>
      <c r="L16" s="170" t="s">
        <v>1721</v>
      </c>
      <c r="N16" s="170" t="s">
        <v>1686</v>
      </c>
      <c r="O16" s="195" t="s">
        <v>1008</v>
      </c>
      <c r="P16" s="182">
        <v>44000</v>
      </c>
      <c r="R16" s="186"/>
      <c r="S16" s="186"/>
      <c r="T16" s="186"/>
      <c r="Y16" s="170" t="s">
        <v>1722</v>
      </c>
    </row>
    <row r="17" spans="1:28" s="170" customFormat="1" ht="45">
      <c r="C17" s="182">
        <v>43892</v>
      </c>
      <c r="E17" s="170" t="s">
        <v>1690</v>
      </c>
      <c r="G17" s="170" t="s">
        <v>940</v>
      </c>
      <c r="I17" s="170" t="s">
        <v>941</v>
      </c>
      <c r="L17" s="170" t="s">
        <v>1723</v>
      </c>
      <c r="M17" s="170" t="s">
        <v>936</v>
      </c>
      <c r="N17" s="170" t="s">
        <v>1686</v>
      </c>
      <c r="O17" s="170" t="s">
        <v>1008</v>
      </c>
      <c r="P17" s="182">
        <v>43917</v>
      </c>
      <c r="Q17" s="170" t="s">
        <v>1724</v>
      </c>
      <c r="R17" s="186"/>
      <c r="S17" s="186"/>
      <c r="T17" s="186"/>
      <c r="V17" s="190">
        <v>2200</v>
      </c>
      <c r="W17" s="170" t="s">
        <v>1725</v>
      </c>
      <c r="Y17" s="170" t="s">
        <v>1695</v>
      </c>
    </row>
    <row r="18" spans="1:28" s="196" customFormat="1" ht="15">
      <c r="A18" s="197"/>
      <c r="B18" s="197"/>
      <c r="C18" s="198">
        <v>43899</v>
      </c>
      <c r="D18" s="197"/>
      <c r="E18" s="197"/>
      <c r="F18" s="197"/>
      <c r="G18" s="197" t="s">
        <v>1524</v>
      </c>
      <c r="H18" s="197"/>
      <c r="I18" s="197"/>
      <c r="J18" s="197"/>
      <c r="K18" s="197"/>
      <c r="L18" s="197" t="s">
        <v>1503</v>
      </c>
      <c r="M18" s="197" t="s">
        <v>1576</v>
      </c>
      <c r="N18" s="197"/>
      <c r="O18" s="197" t="s">
        <v>1332</v>
      </c>
      <c r="P18" s="197"/>
      <c r="Q18" s="197"/>
      <c r="R18" s="199"/>
      <c r="S18" s="199"/>
      <c r="T18" s="199"/>
      <c r="U18" s="197" t="s">
        <v>1726</v>
      </c>
      <c r="V18" s="200">
        <v>1500</v>
      </c>
      <c r="W18" s="197" t="s">
        <v>1727</v>
      </c>
      <c r="X18" s="197"/>
      <c r="Y18" s="197"/>
      <c r="Z18" s="197"/>
      <c r="AA18" s="197"/>
      <c r="AB18" s="197"/>
    </row>
    <row r="19" spans="1:28" s="159" customFormat="1" ht="15">
      <c r="A19" s="197"/>
      <c r="B19" s="197"/>
      <c r="C19" s="198">
        <v>43899</v>
      </c>
      <c r="D19" s="197"/>
      <c r="E19" s="197"/>
      <c r="F19" s="197"/>
      <c r="G19" s="197" t="s">
        <v>1504</v>
      </c>
      <c r="H19" s="197"/>
      <c r="I19" s="197"/>
      <c r="J19" s="197"/>
      <c r="K19" s="197"/>
      <c r="L19" s="197" t="s">
        <v>1503</v>
      </c>
      <c r="M19" s="197" t="s">
        <v>1576</v>
      </c>
      <c r="N19" s="197"/>
      <c r="O19" s="197" t="s">
        <v>1332</v>
      </c>
      <c r="P19" s="197"/>
      <c r="Q19" s="197"/>
      <c r="R19" s="199"/>
      <c r="S19" s="199"/>
      <c r="T19" s="199"/>
      <c r="U19" s="197" t="s">
        <v>1726</v>
      </c>
      <c r="V19" s="200">
        <v>3000</v>
      </c>
      <c r="W19" s="197" t="s">
        <v>1728</v>
      </c>
      <c r="X19" s="197"/>
      <c r="Y19" s="197"/>
      <c r="Z19" s="197"/>
      <c r="AA19" s="197"/>
      <c r="AB19" s="197"/>
    </row>
    <row r="20" spans="1:28" s="170" customFormat="1" ht="15">
      <c r="C20" s="182">
        <v>43899</v>
      </c>
      <c r="E20" s="170" t="s">
        <v>1729</v>
      </c>
      <c r="G20" s="170" t="s">
        <v>1730</v>
      </c>
      <c r="L20" s="170" t="s">
        <v>1731</v>
      </c>
      <c r="M20" s="170" t="s">
        <v>936</v>
      </c>
      <c r="O20" s="170" t="s">
        <v>1008</v>
      </c>
      <c r="Q20" s="190" t="s">
        <v>1732</v>
      </c>
      <c r="R20" s="186">
        <v>415</v>
      </c>
      <c r="S20" s="186"/>
      <c r="T20" s="186">
        <f>V20-R20</f>
        <v>185</v>
      </c>
      <c r="V20" s="190">
        <v>600</v>
      </c>
      <c r="W20" s="170" t="s">
        <v>1729</v>
      </c>
      <c r="Y20" s="170" t="s">
        <v>1733</v>
      </c>
    </row>
    <row r="21" spans="1:28" s="197" customFormat="1" ht="30">
      <c r="A21" s="170"/>
      <c r="B21" s="170"/>
      <c r="C21" s="182">
        <v>43941</v>
      </c>
      <c r="D21" s="170" t="s">
        <v>1103</v>
      </c>
      <c r="E21" s="170" t="s">
        <v>1734</v>
      </c>
      <c r="F21" s="170"/>
      <c r="G21" s="170" t="s">
        <v>1735</v>
      </c>
      <c r="H21" s="170"/>
      <c r="I21" s="170" t="s">
        <v>976</v>
      </c>
      <c r="J21" s="170"/>
      <c r="K21" s="170"/>
      <c r="L21" s="170"/>
      <c r="M21" s="170" t="s">
        <v>936</v>
      </c>
      <c r="N21" s="170"/>
      <c r="O21" s="170" t="s">
        <v>1008</v>
      </c>
      <c r="P21" s="170"/>
      <c r="Q21" s="170" t="s">
        <v>1736</v>
      </c>
      <c r="R21" s="186">
        <v>810</v>
      </c>
      <c r="S21" s="186"/>
      <c r="T21" s="186">
        <f>V21-R21</f>
        <v>2090</v>
      </c>
      <c r="U21" s="170"/>
      <c r="V21" s="190">
        <v>2900</v>
      </c>
      <c r="W21" s="170" t="s">
        <v>1737</v>
      </c>
      <c r="X21" s="170"/>
      <c r="Y21" s="170" t="s">
        <v>1695</v>
      </c>
      <c r="Z21" s="170"/>
      <c r="AA21" s="170"/>
      <c r="AB21" s="170"/>
    </row>
    <row r="22" spans="1:28" s="114" customFormat="1" ht="45">
      <c r="C22" s="161">
        <v>43944</v>
      </c>
      <c r="E22" s="114" t="s">
        <v>1738</v>
      </c>
      <c r="G22" s="124" t="s">
        <v>918</v>
      </c>
      <c r="I22" s="114" t="s">
        <v>946</v>
      </c>
      <c r="L22" s="114" t="s">
        <v>1739</v>
      </c>
      <c r="M22" s="114" t="s">
        <v>936</v>
      </c>
      <c r="N22" s="114" t="s">
        <v>1686</v>
      </c>
      <c r="O22" s="114" t="s">
        <v>1740</v>
      </c>
      <c r="R22" s="201"/>
      <c r="S22" s="201"/>
      <c r="T22" s="201"/>
      <c r="U22" s="114" t="s">
        <v>1741</v>
      </c>
      <c r="V22" s="202">
        <v>3200</v>
      </c>
      <c r="W22" s="114" t="s">
        <v>1742</v>
      </c>
      <c r="X22" s="161">
        <v>43930</v>
      </c>
      <c r="Y22" s="114" t="s">
        <v>1743</v>
      </c>
    </row>
    <row r="23" spans="1:28" s="114" customFormat="1" ht="60">
      <c r="C23" s="161">
        <v>43944</v>
      </c>
      <c r="E23" s="114" t="s">
        <v>1738</v>
      </c>
      <c r="G23" s="124" t="s">
        <v>715</v>
      </c>
      <c r="I23" s="114" t="s">
        <v>716</v>
      </c>
      <c r="L23" s="114" t="s">
        <v>1744</v>
      </c>
      <c r="M23" s="114" t="s">
        <v>936</v>
      </c>
      <c r="N23" s="114" t="s">
        <v>1745</v>
      </c>
      <c r="O23" s="114" t="s">
        <v>1008</v>
      </c>
      <c r="P23" s="161">
        <v>44132</v>
      </c>
      <c r="Q23" s="114" t="s">
        <v>1746</v>
      </c>
      <c r="R23" s="201">
        <v>360</v>
      </c>
      <c r="S23" s="201"/>
      <c r="T23" s="201">
        <f>V23-R23</f>
        <v>2840</v>
      </c>
      <c r="U23" s="114" t="s">
        <v>1747</v>
      </c>
      <c r="V23" s="202">
        <v>3200</v>
      </c>
      <c r="W23" s="114" t="s">
        <v>1742</v>
      </c>
      <c r="X23" s="161">
        <v>43930</v>
      </c>
      <c r="Y23" s="114" t="s">
        <v>1748</v>
      </c>
    </row>
    <row r="24" spans="1:28" ht="88" customHeight="1">
      <c r="A24" s="170"/>
      <c r="B24" s="170"/>
      <c r="C24" s="182">
        <v>43949</v>
      </c>
      <c r="D24" s="170"/>
      <c r="E24" s="170"/>
      <c r="F24" s="170"/>
      <c r="G24" s="170" t="s">
        <v>1749</v>
      </c>
      <c r="H24" s="170"/>
      <c r="I24" s="170" t="s">
        <v>912</v>
      </c>
      <c r="J24" s="170"/>
      <c r="K24" s="170"/>
      <c r="L24" s="170" t="s">
        <v>1750</v>
      </c>
      <c r="M24" s="170" t="s">
        <v>936</v>
      </c>
      <c r="N24" s="170" t="s">
        <v>1317</v>
      </c>
      <c r="O24" s="170" t="s">
        <v>1008</v>
      </c>
      <c r="P24" s="170"/>
      <c r="Q24" s="170" t="s">
        <v>1751</v>
      </c>
      <c r="R24" s="186">
        <f>415+20</f>
        <v>435</v>
      </c>
      <c r="S24" s="186"/>
      <c r="T24" s="186">
        <f>V24-R24</f>
        <v>415</v>
      </c>
      <c r="U24" s="170"/>
      <c r="V24" s="190">
        <v>850</v>
      </c>
      <c r="W24" s="170" t="s">
        <v>1752</v>
      </c>
      <c r="X24" s="170"/>
      <c r="Y24" s="170" t="s">
        <v>1695</v>
      </c>
      <c r="Z24" s="170"/>
      <c r="AA24" s="170"/>
      <c r="AB24" s="170"/>
    </row>
    <row r="25" spans="1:28" s="196" customFormat="1" ht="45">
      <c r="A25" s="170"/>
      <c r="B25" s="170"/>
      <c r="C25" s="182">
        <v>43985</v>
      </c>
      <c r="D25" s="170" t="s">
        <v>1160</v>
      </c>
      <c r="E25" s="170" t="s">
        <v>1371</v>
      </c>
      <c r="F25" s="170"/>
      <c r="G25" s="170" t="s">
        <v>1391</v>
      </c>
      <c r="H25" s="170"/>
      <c r="I25" s="170"/>
      <c r="J25" s="170"/>
      <c r="K25" s="170"/>
      <c r="L25" s="170" t="s">
        <v>1702</v>
      </c>
      <c r="M25" s="170"/>
      <c r="N25" s="170"/>
      <c r="O25" s="170" t="s">
        <v>1008</v>
      </c>
      <c r="P25" s="170"/>
      <c r="Q25" s="170" t="s">
        <v>1753</v>
      </c>
      <c r="R25" s="186"/>
      <c r="S25" s="186"/>
      <c r="T25" s="186"/>
      <c r="U25" s="170"/>
      <c r="V25" s="190">
        <v>2300</v>
      </c>
      <c r="W25" s="170"/>
      <c r="X25" s="170"/>
      <c r="Y25" s="170"/>
      <c r="Z25" s="170"/>
      <c r="AA25" s="170"/>
      <c r="AB25" s="170"/>
    </row>
    <row r="26" spans="1:28" ht="45">
      <c r="A26" s="170"/>
      <c r="B26" s="170"/>
      <c r="C26" s="182">
        <v>43990</v>
      </c>
      <c r="D26" s="170"/>
      <c r="E26" s="170"/>
      <c r="F26" s="170"/>
      <c r="G26" s="170" t="s">
        <v>1563</v>
      </c>
      <c r="H26" s="170"/>
      <c r="I26" s="170" t="s">
        <v>946</v>
      </c>
      <c r="J26" s="170"/>
      <c r="K26" s="170"/>
      <c r="L26" s="170" t="s">
        <v>1754</v>
      </c>
      <c r="M26" s="170" t="s">
        <v>936</v>
      </c>
      <c r="N26" s="170"/>
      <c r="O26" s="170" t="s">
        <v>1008</v>
      </c>
      <c r="P26" s="182">
        <v>43990</v>
      </c>
      <c r="Q26" s="170" t="s">
        <v>2192</v>
      </c>
      <c r="R26" s="186"/>
      <c r="S26" s="186"/>
      <c r="T26" s="186"/>
      <c r="U26" s="170" t="s">
        <v>1755</v>
      </c>
      <c r="V26" s="190">
        <v>3300</v>
      </c>
      <c r="W26" s="170" t="s">
        <v>1756</v>
      </c>
      <c r="X26" s="182">
        <v>43982</v>
      </c>
      <c r="Y26" s="170" t="s">
        <v>1695</v>
      </c>
      <c r="Z26" s="170"/>
      <c r="AA26" s="170"/>
      <c r="AB26" s="170"/>
    </row>
    <row r="27" spans="1:28" s="170" customFormat="1" ht="45">
      <c r="C27" s="182">
        <v>44007</v>
      </c>
      <c r="D27" s="170" t="s">
        <v>898</v>
      </c>
      <c r="E27" s="170" t="s">
        <v>1757</v>
      </c>
      <c r="G27" s="176" t="s">
        <v>1758</v>
      </c>
      <c r="I27" s="170" t="s">
        <v>946</v>
      </c>
      <c r="L27" s="170" t="s">
        <v>1759</v>
      </c>
      <c r="M27" s="170" t="s">
        <v>936</v>
      </c>
      <c r="N27" s="170" t="s">
        <v>1317</v>
      </c>
      <c r="O27" s="170" t="s">
        <v>1008</v>
      </c>
      <c r="R27" s="186"/>
      <c r="S27" s="186"/>
      <c r="T27" s="186"/>
      <c r="V27" s="190">
        <v>1700</v>
      </c>
      <c r="W27" s="170" t="s">
        <v>1756</v>
      </c>
      <c r="Y27" s="170" t="s">
        <v>1695</v>
      </c>
    </row>
    <row r="28" spans="1:28" s="170" customFormat="1" ht="60">
      <c r="C28" s="182">
        <v>44014</v>
      </c>
      <c r="G28" s="170" t="s">
        <v>1760</v>
      </c>
      <c r="L28" s="170" t="s">
        <v>1761</v>
      </c>
      <c r="M28" s="170" t="s">
        <v>936</v>
      </c>
      <c r="N28" s="170" t="s">
        <v>1734</v>
      </c>
      <c r="O28" s="170" t="s">
        <v>1008</v>
      </c>
      <c r="P28" s="182">
        <v>44026</v>
      </c>
      <c r="Q28" s="170" t="s">
        <v>2193</v>
      </c>
      <c r="R28" s="186"/>
      <c r="S28" s="186"/>
      <c r="T28" s="186"/>
      <c r="V28" s="190">
        <v>1200</v>
      </c>
      <c r="W28" s="170" t="s">
        <v>1762</v>
      </c>
      <c r="Y28" s="170" t="s">
        <v>1695</v>
      </c>
    </row>
    <row r="29" spans="1:28" s="170" customFormat="1" ht="45">
      <c r="C29" s="182">
        <v>44015</v>
      </c>
      <c r="G29" s="170" t="s">
        <v>1763</v>
      </c>
      <c r="I29" s="170" t="s">
        <v>976</v>
      </c>
      <c r="L29" s="170" t="s">
        <v>1764</v>
      </c>
      <c r="M29" s="170" t="s">
        <v>936</v>
      </c>
      <c r="N29" s="170" t="s">
        <v>1765</v>
      </c>
      <c r="O29" s="170" t="s">
        <v>1008</v>
      </c>
      <c r="Q29" s="170" t="s">
        <v>1766</v>
      </c>
      <c r="R29" s="186">
        <f>600+260</f>
        <v>860</v>
      </c>
      <c r="S29" s="186"/>
      <c r="T29" s="186">
        <f>V29-R29</f>
        <v>2640</v>
      </c>
      <c r="V29" s="190">
        <v>3500</v>
      </c>
      <c r="W29" s="170" t="s">
        <v>1767</v>
      </c>
      <c r="Y29" s="170" t="s">
        <v>1695</v>
      </c>
    </row>
    <row r="30" spans="1:28" ht="15">
      <c r="A30" s="170"/>
      <c r="B30" s="170"/>
      <c r="C30" s="182">
        <v>44017</v>
      </c>
      <c r="D30" s="170"/>
      <c r="E30" s="170"/>
      <c r="F30" s="170"/>
      <c r="G30" s="170" t="s">
        <v>1768</v>
      </c>
      <c r="H30" s="170"/>
      <c r="I30" s="170"/>
      <c r="J30" s="170"/>
      <c r="K30" s="170"/>
      <c r="L30" s="170" t="s">
        <v>1769</v>
      </c>
      <c r="M30" s="170" t="s">
        <v>936</v>
      </c>
      <c r="N30" s="170" t="s">
        <v>1770</v>
      </c>
      <c r="O30" s="170" t="s">
        <v>1771</v>
      </c>
      <c r="P30" s="182">
        <v>44019</v>
      </c>
      <c r="Q30" s="170" t="s">
        <v>1834</v>
      </c>
      <c r="R30" s="186"/>
      <c r="S30" s="186"/>
      <c r="T30" s="186"/>
      <c r="U30" s="170"/>
      <c r="V30" s="190">
        <v>100</v>
      </c>
      <c r="W30" s="170"/>
      <c r="X30" s="170"/>
      <c r="Y30" s="170" t="s">
        <v>1695</v>
      </c>
      <c r="Z30" s="170"/>
      <c r="AA30" s="170"/>
      <c r="AB30" s="170"/>
    </row>
    <row r="31" spans="1:28" ht="90">
      <c r="A31" s="170"/>
      <c r="B31" s="170"/>
      <c r="C31" s="182">
        <v>44025</v>
      </c>
      <c r="D31" s="170"/>
      <c r="E31" s="170"/>
      <c r="F31" s="170"/>
      <c r="G31" s="170" t="s">
        <v>1772</v>
      </c>
      <c r="H31" s="170" t="s">
        <v>1773</v>
      </c>
      <c r="I31" s="170" t="s">
        <v>946</v>
      </c>
      <c r="J31" s="170" t="s">
        <v>1773</v>
      </c>
      <c r="K31" s="170" t="s">
        <v>1774</v>
      </c>
      <c r="L31" s="170" t="s">
        <v>1775</v>
      </c>
      <c r="M31" s="170" t="s">
        <v>936</v>
      </c>
      <c r="N31" s="170"/>
      <c r="O31" s="170" t="s">
        <v>1008</v>
      </c>
      <c r="P31" s="170"/>
      <c r="Q31" s="170" t="s">
        <v>1776</v>
      </c>
      <c r="R31" s="186">
        <f>415+600+20</f>
        <v>1035</v>
      </c>
      <c r="S31" s="186"/>
      <c r="T31" s="186">
        <f>V31-R31</f>
        <v>2465</v>
      </c>
      <c r="U31" s="170" t="s">
        <v>1777</v>
      </c>
      <c r="V31" s="190">
        <v>3500</v>
      </c>
      <c r="W31" s="170" t="s">
        <v>1756</v>
      </c>
      <c r="X31" s="182">
        <v>44020</v>
      </c>
      <c r="Y31" s="170" t="s">
        <v>1695</v>
      </c>
      <c r="Z31" s="170"/>
      <c r="AA31" s="170"/>
      <c r="AB31" s="170"/>
    </row>
    <row r="32" spans="1:28" s="170" customFormat="1" ht="60">
      <c r="C32" s="182">
        <v>44025</v>
      </c>
      <c r="G32" s="170" t="s">
        <v>1044</v>
      </c>
      <c r="H32" s="170" t="s">
        <v>1045</v>
      </c>
      <c r="I32" s="170" t="s">
        <v>946</v>
      </c>
      <c r="L32" s="170" t="s">
        <v>1778</v>
      </c>
      <c r="M32" s="170" t="s">
        <v>936</v>
      </c>
      <c r="O32" s="170" t="s">
        <v>1008</v>
      </c>
      <c r="Q32" s="170" t="s">
        <v>1776</v>
      </c>
      <c r="R32" s="186">
        <f>415+600+20</f>
        <v>1035</v>
      </c>
      <c r="S32" s="186"/>
      <c r="T32" s="186">
        <f>V32-R32</f>
        <v>1565</v>
      </c>
      <c r="V32" s="190">
        <v>2600</v>
      </c>
      <c r="W32" s="170" t="s">
        <v>1756</v>
      </c>
      <c r="X32" s="182"/>
      <c r="Y32" s="170" t="s">
        <v>1695</v>
      </c>
    </row>
    <row r="33" spans="1:28" s="217" customFormat="1" ht="15">
      <c r="C33" s="218">
        <v>44025</v>
      </c>
      <c r="G33" s="217" t="s">
        <v>1569</v>
      </c>
      <c r="L33" s="217" t="s">
        <v>1779</v>
      </c>
      <c r="M33" s="217" t="s">
        <v>1576</v>
      </c>
      <c r="O33" s="217" t="s">
        <v>1380</v>
      </c>
      <c r="Q33" s="217" t="s">
        <v>1780</v>
      </c>
      <c r="R33" s="219"/>
      <c r="S33" s="219"/>
      <c r="T33" s="219"/>
      <c r="V33" s="220">
        <v>1000</v>
      </c>
      <c r="W33" s="217" t="s">
        <v>1781</v>
      </c>
    </row>
    <row r="34" spans="1:28" s="170" customFormat="1" ht="90">
      <c r="C34" s="182">
        <v>44034</v>
      </c>
      <c r="D34" s="170" t="s">
        <v>1103</v>
      </c>
      <c r="E34" s="170" t="s">
        <v>1738</v>
      </c>
      <c r="G34" s="176" t="s">
        <v>1782</v>
      </c>
      <c r="L34" s="170" t="s">
        <v>1783</v>
      </c>
      <c r="M34" s="170" t="s">
        <v>936</v>
      </c>
      <c r="N34" s="170" t="s">
        <v>1784</v>
      </c>
      <c r="O34" s="170" t="s">
        <v>1008</v>
      </c>
      <c r="P34" s="182">
        <v>44034</v>
      </c>
      <c r="R34" s="186"/>
      <c r="S34" s="186"/>
      <c r="T34" s="186"/>
      <c r="V34" s="190">
        <v>900</v>
      </c>
      <c r="W34" s="170" t="s">
        <v>1785</v>
      </c>
      <c r="Y34" s="170" t="s">
        <v>1695</v>
      </c>
    </row>
    <row r="35" spans="1:28" s="170" customFormat="1" ht="60">
      <c r="A35" s="114"/>
      <c r="B35" s="114"/>
      <c r="C35" s="161">
        <v>44048</v>
      </c>
      <c r="D35" s="114" t="s">
        <v>1316</v>
      </c>
      <c r="E35" s="114" t="s">
        <v>1757</v>
      </c>
      <c r="F35" s="114"/>
      <c r="G35" s="114" t="s">
        <v>1056</v>
      </c>
      <c r="H35" s="114"/>
      <c r="I35" s="114" t="s">
        <v>946</v>
      </c>
      <c r="J35" s="114"/>
      <c r="K35" s="114"/>
      <c r="L35" s="114" t="s">
        <v>1786</v>
      </c>
      <c r="M35" s="114" t="s">
        <v>936</v>
      </c>
      <c r="N35" s="114" t="s">
        <v>1787</v>
      </c>
      <c r="O35" s="114" t="s">
        <v>1702</v>
      </c>
      <c r="P35" s="114"/>
      <c r="Q35" s="114" t="s">
        <v>1788</v>
      </c>
      <c r="R35" s="201">
        <f>415+600+20</f>
        <v>1035</v>
      </c>
      <c r="S35" s="201"/>
      <c r="T35" s="201">
        <f>V35-R35</f>
        <v>2165</v>
      </c>
      <c r="U35" s="114"/>
      <c r="V35" s="202">
        <v>3200</v>
      </c>
      <c r="W35" s="114" t="s">
        <v>1789</v>
      </c>
      <c r="X35" s="161">
        <v>44048</v>
      </c>
      <c r="Y35" s="114" t="s">
        <v>1695</v>
      </c>
      <c r="Z35" s="114"/>
      <c r="AA35" s="114"/>
      <c r="AB35" s="114"/>
    </row>
    <row r="36" spans="1:28" s="170" customFormat="1" ht="30">
      <c r="C36" s="182">
        <v>44049</v>
      </c>
      <c r="D36" s="170" t="s">
        <v>1790</v>
      </c>
      <c r="E36" s="170" t="s">
        <v>1791</v>
      </c>
      <c r="G36" s="170" t="s">
        <v>1792</v>
      </c>
      <c r="L36" s="170" t="s">
        <v>1793</v>
      </c>
      <c r="M36" s="170" t="s">
        <v>936</v>
      </c>
      <c r="O36" s="170" t="s">
        <v>1008</v>
      </c>
      <c r="Q36" s="170" t="s">
        <v>1794</v>
      </c>
      <c r="R36" s="186">
        <f>50+5.5</f>
        <v>55.5</v>
      </c>
      <c r="S36" s="186"/>
      <c r="T36" s="186">
        <f>V36-R36</f>
        <v>44.5</v>
      </c>
      <c r="V36" s="190">
        <v>100</v>
      </c>
    </row>
    <row r="37" spans="1:28" s="114" customFormat="1" ht="30">
      <c r="A37" s="170"/>
      <c r="B37" s="170"/>
      <c r="C37" s="182">
        <v>44050</v>
      </c>
      <c r="D37" s="170" t="s">
        <v>1790</v>
      </c>
      <c r="E37" s="170"/>
      <c r="F37" s="170"/>
      <c r="G37" s="170" t="s">
        <v>1795</v>
      </c>
      <c r="H37" s="170"/>
      <c r="I37" s="170"/>
      <c r="J37" s="170"/>
      <c r="K37" s="170"/>
      <c r="L37" s="170" t="s">
        <v>1796</v>
      </c>
      <c r="M37" s="170" t="s">
        <v>936</v>
      </c>
      <c r="N37" s="170" t="s">
        <v>1797</v>
      </c>
      <c r="O37" s="170" t="s">
        <v>1008</v>
      </c>
      <c r="P37" s="182">
        <v>44050</v>
      </c>
      <c r="Q37" s="170" t="s">
        <v>1794</v>
      </c>
      <c r="R37" s="186">
        <v>55.5</v>
      </c>
      <c r="S37" s="186"/>
      <c r="T37" s="186"/>
      <c r="U37" s="170"/>
      <c r="V37" s="170"/>
      <c r="W37" s="170"/>
      <c r="X37" s="170"/>
      <c r="Y37" s="170"/>
      <c r="Z37" s="170"/>
      <c r="AA37" s="170"/>
      <c r="AB37" s="170"/>
    </row>
    <row r="38" spans="1:28" s="217" customFormat="1" ht="45">
      <c r="A38" s="170"/>
      <c r="B38" s="170"/>
      <c r="C38" s="182">
        <v>44054</v>
      </c>
      <c r="D38" s="170" t="s">
        <v>1606</v>
      </c>
      <c r="E38" s="170"/>
      <c r="F38" s="170"/>
      <c r="G38" s="170" t="s">
        <v>1798</v>
      </c>
      <c r="H38" s="170"/>
      <c r="I38" s="170"/>
      <c r="J38" s="170"/>
      <c r="K38" s="170"/>
      <c r="L38" s="170" t="s">
        <v>1799</v>
      </c>
      <c r="M38" s="170" t="s">
        <v>936</v>
      </c>
      <c r="N38" s="170" t="s">
        <v>1800</v>
      </c>
      <c r="O38" s="170" t="s">
        <v>1008</v>
      </c>
      <c r="P38" s="182">
        <v>44105</v>
      </c>
      <c r="Q38" s="170" t="s">
        <v>1801</v>
      </c>
      <c r="R38" s="186">
        <v>260</v>
      </c>
      <c r="S38" s="186"/>
      <c r="T38" s="186">
        <f>V38-R38</f>
        <v>640</v>
      </c>
      <c r="U38" s="170" t="s">
        <v>1802</v>
      </c>
      <c r="V38" s="190">
        <v>900</v>
      </c>
      <c r="W38" s="170" t="s">
        <v>1734</v>
      </c>
      <c r="X38" s="170"/>
      <c r="Y38" s="170" t="s">
        <v>1803</v>
      </c>
      <c r="Z38" s="170"/>
      <c r="AA38" s="170"/>
      <c r="AB38" s="170"/>
    </row>
    <row r="39" spans="1:28" s="170" customFormat="1" ht="75">
      <c r="C39" s="182">
        <v>44056</v>
      </c>
      <c r="D39" s="170" t="s">
        <v>1804</v>
      </c>
      <c r="G39" s="170" t="s">
        <v>1805</v>
      </c>
      <c r="L39" s="170" t="s">
        <v>1806</v>
      </c>
      <c r="M39" s="170" t="s">
        <v>936</v>
      </c>
      <c r="N39" s="170" t="s">
        <v>1787</v>
      </c>
      <c r="O39" s="170" t="s">
        <v>1008</v>
      </c>
      <c r="Q39" s="170" t="s">
        <v>1807</v>
      </c>
      <c r="R39" s="186">
        <f>415+20</f>
        <v>435</v>
      </c>
      <c r="S39" s="186"/>
      <c r="T39" s="186">
        <f>V39-R39</f>
        <v>165</v>
      </c>
      <c r="U39" s="170" t="s">
        <v>1808</v>
      </c>
      <c r="V39" s="190">
        <v>600</v>
      </c>
      <c r="X39" s="182">
        <v>44056</v>
      </c>
      <c r="Y39" s="170" t="s">
        <v>1809</v>
      </c>
    </row>
    <row r="40" spans="1:28" s="114" customFormat="1" ht="45">
      <c r="A40" s="170"/>
      <c r="B40" s="170"/>
      <c r="C40" s="182">
        <v>44056</v>
      </c>
      <c r="D40" s="170" t="s">
        <v>1790</v>
      </c>
      <c r="E40" s="170"/>
      <c r="F40" s="170"/>
      <c r="G40" s="170" t="s">
        <v>1810</v>
      </c>
      <c r="H40" s="170"/>
      <c r="I40" s="170"/>
      <c r="J40" s="170"/>
      <c r="K40" s="170"/>
      <c r="L40" s="170" t="s">
        <v>1811</v>
      </c>
      <c r="M40" s="170" t="s">
        <v>936</v>
      </c>
      <c r="N40" s="170" t="s">
        <v>1812</v>
      </c>
      <c r="O40" s="170" t="s">
        <v>1008</v>
      </c>
      <c r="P40" s="182">
        <v>44057</v>
      </c>
      <c r="Q40" s="170" t="s">
        <v>1813</v>
      </c>
      <c r="R40" s="186">
        <v>30</v>
      </c>
      <c r="S40" s="186"/>
      <c r="T40" s="186">
        <f>V40-R40</f>
        <v>70</v>
      </c>
      <c r="U40" s="170"/>
      <c r="V40" s="190">
        <v>100</v>
      </c>
      <c r="W40" s="170"/>
      <c r="X40" s="170"/>
      <c r="Y40" s="170"/>
      <c r="Z40" s="170"/>
      <c r="AA40" s="170"/>
      <c r="AB40" s="170"/>
    </row>
    <row r="41" spans="1:28" s="170" customFormat="1" ht="45">
      <c r="C41" s="182">
        <v>44062</v>
      </c>
      <c r="D41" s="170" t="s">
        <v>1160</v>
      </c>
      <c r="E41" s="170" t="s">
        <v>1371</v>
      </c>
      <c r="G41" s="170" t="s">
        <v>1582</v>
      </c>
      <c r="L41" s="170" t="s">
        <v>1814</v>
      </c>
      <c r="O41" s="170" t="s">
        <v>1008</v>
      </c>
      <c r="R41" s="186"/>
      <c r="S41" s="186"/>
      <c r="T41" s="186"/>
      <c r="V41" s="190">
        <v>2300</v>
      </c>
      <c r="W41" s="170" t="s">
        <v>1815</v>
      </c>
    </row>
    <row r="42" spans="1:28" s="217" customFormat="1" ht="75">
      <c r="C42" s="218">
        <v>44062</v>
      </c>
      <c r="D42" s="217" t="s">
        <v>1606</v>
      </c>
      <c r="E42" s="217" t="s">
        <v>1738</v>
      </c>
      <c r="G42" s="217" t="s">
        <v>1816</v>
      </c>
      <c r="L42" s="217" t="s">
        <v>1817</v>
      </c>
      <c r="M42" s="217" t="s">
        <v>936</v>
      </c>
      <c r="N42" s="217" t="s">
        <v>1818</v>
      </c>
      <c r="O42" s="217" t="s">
        <v>1380</v>
      </c>
      <c r="P42" s="218">
        <v>44091</v>
      </c>
      <c r="Q42" s="217" t="s">
        <v>1819</v>
      </c>
      <c r="R42" s="219"/>
      <c r="S42" s="219"/>
      <c r="T42" s="219"/>
      <c r="U42" s="217" t="s">
        <v>1820</v>
      </c>
      <c r="V42" s="220">
        <v>900</v>
      </c>
    </row>
    <row r="43" spans="1:28" s="117" customFormat="1" ht="150">
      <c r="A43" s="170"/>
      <c r="B43" s="170"/>
      <c r="C43" s="182">
        <v>44062</v>
      </c>
      <c r="D43" s="170" t="s">
        <v>1606</v>
      </c>
      <c r="E43" s="170" t="s">
        <v>1821</v>
      </c>
      <c r="F43" s="170"/>
      <c r="G43" s="170" t="s">
        <v>1822</v>
      </c>
      <c r="H43" s="170"/>
      <c r="I43" s="170"/>
      <c r="J43" s="170"/>
      <c r="K43" s="170"/>
      <c r="L43" s="170" t="s">
        <v>1823</v>
      </c>
      <c r="M43" s="170" t="s">
        <v>936</v>
      </c>
      <c r="N43" s="170" t="s">
        <v>1682</v>
      </c>
      <c r="O43" s="170" t="s">
        <v>1008</v>
      </c>
      <c r="P43" s="182">
        <v>44085</v>
      </c>
      <c r="Q43" s="170"/>
      <c r="R43" s="186"/>
      <c r="S43" s="186"/>
      <c r="T43" s="186">
        <f>V43-R43</f>
        <v>600</v>
      </c>
      <c r="U43" s="170" t="s">
        <v>1824</v>
      </c>
      <c r="V43" s="190">
        <v>600</v>
      </c>
      <c r="W43" s="170"/>
      <c r="X43" s="170"/>
      <c r="Y43" s="170"/>
      <c r="Z43" s="170"/>
      <c r="AA43" s="170"/>
      <c r="AB43" s="170"/>
    </row>
    <row r="44" spans="1:28" s="123" customFormat="1" ht="90">
      <c r="C44" s="163">
        <v>44062</v>
      </c>
      <c r="D44" s="123" t="s">
        <v>1606</v>
      </c>
      <c r="G44" s="123" t="s">
        <v>1825</v>
      </c>
      <c r="L44" s="123" t="s">
        <v>1826</v>
      </c>
      <c r="M44" s="123" t="s">
        <v>936</v>
      </c>
      <c r="N44" s="123" t="s">
        <v>1682</v>
      </c>
      <c r="O44" s="123" t="s">
        <v>1380</v>
      </c>
      <c r="R44" s="188"/>
      <c r="S44" s="188"/>
      <c r="T44" s="188"/>
      <c r="U44" s="123" t="s">
        <v>1827</v>
      </c>
      <c r="V44" s="205">
        <v>600</v>
      </c>
    </row>
    <row r="45" spans="1:28" s="123" customFormat="1" ht="45">
      <c r="A45" s="114"/>
      <c r="B45" s="114"/>
      <c r="C45" s="161">
        <v>44063</v>
      </c>
      <c r="D45" s="114"/>
      <c r="E45" s="114" t="s">
        <v>1362</v>
      </c>
      <c r="F45" s="114"/>
      <c r="G45" s="114" t="s">
        <v>1612</v>
      </c>
      <c r="H45" s="114"/>
      <c r="I45" s="114"/>
      <c r="J45" s="114"/>
      <c r="K45" s="114"/>
      <c r="L45" s="114" t="s">
        <v>1828</v>
      </c>
      <c r="M45" s="114"/>
      <c r="N45" s="114" t="s">
        <v>1362</v>
      </c>
      <c r="O45" s="114" t="s">
        <v>1702</v>
      </c>
      <c r="P45" s="114"/>
      <c r="Q45" s="114"/>
      <c r="R45" s="201"/>
      <c r="S45" s="201"/>
      <c r="T45" s="201"/>
      <c r="U45" s="114"/>
      <c r="V45" s="114"/>
      <c r="W45" s="114"/>
      <c r="X45" s="114"/>
      <c r="Y45" s="114"/>
      <c r="Z45" s="114"/>
      <c r="AA45" s="114"/>
      <c r="AB45" s="114"/>
    </row>
    <row r="46" spans="1:28" s="170" customFormat="1" ht="60">
      <c r="A46" s="123"/>
      <c r="B46" s="123"/>
      <c r="C46" s="163">
        <v>44064</v>
      </c>
      <c r="D46" s="123"/>
      <c r="E46" s="123" t="s">
        <v>1734</v>
      </c>
      <c r="F46" s="123"/>
      <c r="G46" s="123" t="s">
        <v>1175</v>
      </c>
      <c r="H46" s="123"/>
      <c r="I46" s="123"/>
      <c r="J46" s="123"/>
      <c r="K46" s="123"/>
      <c r="L46" s="123" t="s">
        <v>1829</v>
      </c>
      <c r="M46" s="123"/>
      <c r="N46" s="123" t="s">
        <v>1830</v>
      </c>
      <c r="O46" s="123" t="s">
        <v>1380</v>
      </c>
      <c r="P46" s="123"/>
      <c r="Q46" s="123"/>
      <c r="R46" s="188"/>
      <c r="S46" s="188"/>
      <c r="T46" s="188"/>
      <c r="U46" s="123"/>
      <c r="V46" s="205">
        <v>1200</v>
      </c>
      <c r="W46" s="123"/>
      <c r="X46" s="123"/>
      <c r="Y46" s="123"/>
      <c r="Z46" s="123"/>
      <c r="AA46" s="123"/>
      <c r="AB46" s="123"/>
    </row>
    <row r="47" spans="1:28" s="159" customFormat="1" ht="15">
      <c r="A47" s="170"/>
      <c r="B47" s="170"/>
      <c r="C47" s="182">
        <v>44064</v>
      </c>
      <c r="D47" s="170" t="s">
        <v>1606</v>
      </c>
      <c r="E47" s="170" t="s">
        <v>1831</v>
      </c>
      <c r="F47" s="170"/>
      <c r="G47" s="170" t="s">
        <v>1832</v>
      </c>
      <c r="H47" s="170"/>
      <c r="I47" s="170"/>
      <c r="J47" s="170"/>
      <c r="K47" s="170"/>
      <c r="L47" s="170" t="s">
        <v>1833</v>
      </c>
      <c r="M47" s="170" t="s">
        <v>936</v>
      </c>
      <c r="N47" s="170"/>
      <c r="O47" s="170" t="s">
        <v>1008</v>
      </c>
      <c r="P47" s="170"/>
      <c r="Q47" s="170" t="s">
        <v>1834</v>
      </c>
      <c r="R47" s="186"/>
      <c r="S47" s="186"/>
      <c r="T47" s="186"/>
      <c r="U47" s="170"/>
      <c r="V47" s="170"/>
      <c r="W47" s="170"/>
      <c r="X47" s="170"/>
      <c r="Y47" s="170"/>
      <c r="Z47" s="170"/>
      <c r="AA47" s="170"/>
      <c r="AB47" s="170"/>
    </row>
    <row r="48" spans="1:28" s="170" customFormat="1" ht="90">
      <c r="C48" s="182">
        <v>44067</v>
      </c>
      <c r="E48" s="170" t="s">
        <v>1738</v>
      </c>
      <c r="G48" s="170" t="s">
        <v>1835</v>
      </c>
      <c r="L48" s="170" t="s">
        <v>1836</v>
      </c>
      <c r="M48" s="170" t="s">
        <v>936</v>
      </c>
      <c r="N48" s="170" t="s">
        <v>1837</v>
      </c>
      <c r="O48" s="170" t="s">
        <v>1838</v>
      </c>
      <c r="Q48" s="170" t="s">
        <v>1839</v>
      </c>
      <c r="R48" s="186"/>
      <c r="S48" s="186"/>
      <c r="T48" s="186"/>
      <c r="U48" s="170" t="s">
        <v>1840</v>
      </c>
      <c r="V48" s="190">
        <v>1350</v>
      </c>
      <c r="W48" s="170" t="s">
        <v>1841</v>
      </c>
    </row>
    <row r="49" spans="1:28" s="123" customFormat="1" ht="45">
      <c r="C49" s="163">
        <v>44069</v>
      </c>
      <c r="D49" s="123" t="s">
        <v>898</v>
      </c>
      <c r="E49" s="123" t="s">
        <v>1371</v>
      </c>
      <c r="G49" s="123" t="s">
        <v>1585</v>
      </c>
      <c r="L49" s="123" t="s">
        <v>1371</v>
      </c>
      <c r="O49" s="123" t="s">
        <v>1380</v>
      </c>
      <c r="R49" s="188"/>
      <c r="S49" s="188"/>
      <c r="T49" s="188"/>
    </row>
    <row r="50" spans="1:28" s="123" customFormat="1" ht="45">
      <c r="C50" s="163">
        <v>44069</v>
      </c>
      <c r="D50" s="123" t="s">
        <v>898</v>
      </c>
      <c r="E50" s="123" t="s">
        <v>1371</v>
      </c>
      <c r="G50" s="123" t="s">
        <v>1587</v>
      </c>
      <c r="L50" s="123" t="s">
        <v>1371</v>
      </c>
      <c r="M50" s="123" t="s">
        <v>1842</v>
      </c>
      <c r="O50" s="123" t="s">
        <v>1380</v>
      </c>
      <c r="R50" s="188"/>
      <c r="S50" s="188"/>
      <c r="T50" s="188"/>
    </row>
    <row r="51" spans="1:28" s="117" customFormat="1" ht="45">
      <c r="A51" s="123"/>
      <c r="B51" s="123"/>
      <c r="C51" s="163">
        <v>44069</v>
      </c>
      <c r="D51" s="123" t="s">
        <v>2339</v>
      </c>
      <c r="E51" s="123" t="s">
        <v>1821</v>
      </c>
      <c r="F51" s="123"/>
      <c r="G51" s="123" t="s">
        <v>1290</v>
      </c>
      <c r="H51" s="123"/>
      <c r="I51" s="123"/>
      <c r="J51" s="123"/>
      <c r="K51" s="123"/>
      <c r="L51" s="123" t="s">
        <v>1843</v>
      </c>
      <c r="M51" s="123"/>
      <c r="N51" s="123" t="s">
        <v>1844</v>
      </c>
      <c r="O51" s="123" t="s">
        <v>1380</v>
      </c>
      <c r="P51" s="123"/>
      <c r="Q51" s="123"/>
      <c r="R51" s="188"/>
      <c r="S51" s="188"/>
      <c r="T51" s="188"/>
      <c r="U51" s="123" t="s">
        <v>1845</v>
      </c>
      <c r="V51" s="205">
        <v>950</v>
      </c>
      <c r="W51" s="123" t="s">
        <v>1846</v>
      </c>
      <c r="X51" s="123"/>
      <c r="Y51" s="123"/>
      <c r="Z51" s="123"/>
      <c r="AA51" s="123"/>
      <c r="AB51" s="123"/>
    </row>
    <row r="52" spans="1:28" s="170" customFormat="1" ht="75">
      <c r="C52" s="182">
        <v>44069</v>
      </c>
      <c r="D52" s="170" t="s">
        <v>898</v>
      </c>
      <c r="E52" s="170" t="s">
        <v>1371</v>
      </c>
      <c r="G52" s="170" t="s">
        <v>1590</v>
      </c>
      <c r="L52" s="170" t="s">
        <v>1371</v>
      </c>
      <c r="M52" s="170" t="s">
        <v>1842</v>
      </c>
      <c r="O52" s="170" t="s">
        <v>1008</v>
      </c>
      <c r="P52" s="182">
        <v>44112</v>
      </c>
      <c r="R52" s="186"/>
      <c r="S52" s="186"/>
      <c r="T52" s="186"/>
      <c r="V52" s="190">
        <v>1600</v>
      </c>
      <c r="W52" s="170" t="s">
        <v>1847</v>
      </c>
      <c r="X52" s="182">
        <v>44097</v>
      </c>
      <c r="Y52" s="170" t="s">
        <v>1848</v>
      </c>
    </row>
    <row r="53" spans="1:28" s="117" customFormat="1" ht="15">
      <c r="A53" s="123"/>
      <c r="B53" s="123"/>
      <c r="C53" s="163">
        <v>44069</v>
      </c>
      <c r="D53" s="123"/>
      <c r="E53" s="123" t="s">
        <v>1734</v>
      </c>
      <c r="F53" s="123"/>
      <c r="G53" s="158" t="s">
        <v>1215</v>
      </c>
      <c r="H53" s="123"/>
      <c r="I53" s="123"/>
      <c r="J53" s="123"/>
      <c r="K53" s="123"/>
      <c r="L53" s="123" t="s">
        <v>1849</v>
      </c>
      <c r="M53" s="123"/>
      <c r="N53" s="123" t="s">
        <v>1850</v>
      </c>
      <c r="O53" s="123" t="s">
        <v>1380</v>
      </c>
      <c r="P53" s="123"/>
      <c r="Q53" s="123"/>
      <c r="R53" s="188"/>
      <c r="S53" s="188"/>
      <c r="T53" s="188"/>
      <c r="U53" s="123"/>
      <c r="V53" s="205">
        <v>900</v>
      </c>
      <c r="W53" s="123"/>
      <c r="X53" s="123"/>
      <c r="Y53" s="123"/>
      <c r="Z53" s="123"/>
      <c r="AA53" s="123"/>
      <c r="AB53" s="123"/>
    </row>
    <row r="54" spans="1:28" s="123" customFormat="1" ht="30">
      <c r="A54" s="117"/>
      <c r="B54" s="117"/>
      <c r="C54" s="166">
        <v>44069</v>
      </c>
      <c r="D54" s="117" t="s">
        <v>894</v>
      </c>
      <c r="E54" s="117" t="s">
        <v>1851</v>
      </c>
      <c r="F54" s="117"/>
      <c r="G54" s="117" t="s">
        <v>1852</v>
      </c>
      <c r="H54" s="117"/>
      <c r="I54" s="117"/>
      <c r="J54" s="117"/>
      <c r="K54" s="117"/>
      <c r="L54" s="117" t="s">
        <v>1853</v>
      </c>
      <c r="M54" s="117"/>
      <c r="N54" s="117"/>
      <c r="O54" s="117" t="s">
        <v>1620</v>
      </c>
      <c r="P54" s="117"/>
      <c r="Q54" s="117"/>
      <c r="R54" s="203"/>
      <c r="S54" s="203"/>
      <c r="T54" s="203"/>
      <c r="U54" s="117"/>
      <c r="V54" s="117"/>
      <c r="W54" s="117"/>
      <c r="X54" s="117"/>
      <c r="Y54" s="117"/>
      <c r="Z54" s="117"/>
      <c r="AA54" s="117"/>
      <c r="AB54" s="117"/>
    </row>
    <row r="55" spans="1:28" s="114" customFormat="1" ht="90">
      <c r="A55" s="170"/>
      <c r="B55" s="170"/>
      <c r="C55" s="182">
        <v>44070</v>
      </c>
      <c r="D55" s="170" t="s">
        <v>1068</v>
      </c>
      <c r="E55" s="170" t="s">
        <v>1757</v>
      </c>
      <c r="F55" s="170"/>
      <c r="G55" s="170" t="s">
        <v>1645</v>
      </c>
      <c r="H55" s="170"/>
      <c r="I55" s="170"/>
      <c r="J55" s="170"/>
      <c r="K55" s="170"/>
      <c r="L55" s="170" t="s">
        <v>1854</v>
      </c>
      <c r="M55" s="170" t="s">
        <v>936</v>
      </c>
      <c r="N55" s="170"/>
      <c r="O55" s="170" t="s">
        <v>1008</v>
      </c>
      <c r="P55" s="182">
        <v>44085</v>
      </c>
      <c r="Q55" s="183" t="s">
        <v>1855</v>
      </c>
      <c r="R55" s="186">
        <f>300+50+415</f>
        <v>765</v>
      </c>
      <c r="S55" s="186"/>
      <c r="T55" s="186">
        <f>V55-R55</f>
        <v>335</v>
      </c>
      <c r="U55" s="170" t="s">
        <v>1856</v>
      </c>
      <c r="V55" s="190">
        <v>1100</v>
      </c>
      <c r="W55" s="170"/>
      <c r="X55" s="170"/>
      <c r="Y55" s="170"/>
      <c r="Z55" s="170"/>
      <c r="AA55" s="170"/>
      <c r="AB55" s="170"/>
    </row>
    <row r="56" spans="1:28" s="123" customFormat="1" ht="60">
      <c r="C56" s="163">
        <v>44070</v>
      </c>
      <c r="D56" s="123" t="s">
        <v>1316</v>
      </c>
      <c r="E56" s="123" t="s">
        <v>1757</v>
      </c>
      <c r="G56" s="123" t="s">
        <v>1857</v>
      </c>
      <c r="L56" s="123" t="s">
        <v>1858</v>
      </c>
      <c r="M56" s="123" t="s">
        <v>936</v>
      </c>
      <c r="O56" s="123" t="s">
        <v>1380</v>
      </c>
      <c r="R56" s="188"/>
      <c r="S56" s="188"/>
      <c r="T56" s="188"/>
      <c r="V56" s="205">
        <v>3200</v>
      </c>
      <c r="W56" s="123" t="s">
        <v>1859</v>
      </c>
    </row>
    <row r="57" spans="1:28" s="123" customFormat="1" ht="45">
      <c r="C57" s="163">
        <v>44070</v>
      </c>
      <c r="D57" s="123" t="s">
        <v>1160</v>
      </c>
      <c r="E57" s="123" t="s">
        <v>1592</v>
      </c>
      <c r="G57" s="123" t="s">
        <v>1593</v>
      </c>
      <c r="L57" s="123" t="s">
        <v>1592</v>
      </c>
      <c r="M57" s="123" t="s">
        <v>1613</v>
      </c>
      <c r="O57" s="123" t="s">
        <v>1380</v>
      </c>
      <c r="R57" s="188"/>
      <c r="S57" s="188"/>
      <c r="T57" s="188"/>
      <c r="V57" s="205">
        <v>2300</v>
      </c>
    </row>
    <row r="58" spans="1:28" s="123" customFormat="1" ht="30">
      <c r="C58" s="163">
        <v>44071</v>
      </c>
      <c r="D58" s="123" t="s">
        <v>1068</v>
      </c>
      <c r="E58" s="123" t="s">
        <v>1757</v>
      </c>
      <c r="G58" s="123" t="s">
        <v>1860</v>
      </c>
      <c r="L58" s="123" t="s">
        <v>1861</v>
      </c>
      <c r="O58" s="123" t="s">
        <v>1380</v>
      </c>
      <c r="R58" s="188"/>
      <c r="S58" s="188"/>
      <c r="T58" s="188"/>
    </row>
    <row r="59" spans="1:28" s="114" customFormat="1" ht="60">
      <c r="C59" s="161">
        <v>44074</v>
      </c>
      <c r="D59" s="114" t="s">
        <v>1606</v>
      </c>
      <c r="E59" s="114" t="s">
        <v>1791</v>
      </c>
      <c r="G59" s="114" t="s">
        <v>1862</v>
      </c>
      <c r="L59" s="114" t="s">
        <v>1863</v>
      </c>
      <c r="M59" s="114" t="s">
        <v>936</v>
      </c>
      <c r="O59" s="114" t="s">
        <v>1740</v>
      </c>
      <c r="R59" s="201"/>
      <c r="S59" s="201"/>
      <c r="T59" s="201"/>
      <c r="V59" s="202">
        <v>200</v>
      </c>
    </row>
    <row r="60" spans="1:28" s="117" customFormat="1" ht="60">
      <c r="A60" s="170"/>
      <c r="B60" s="170"/>
      <c r="C60" s="182">
        <v>44075</v>
      </c>
      <c r="D60" s="170" t="s">
        <v>1068</v>
      </c>
      <c r="E60" s="170" t="s">
        <v>1757</v>
      </c>
      <c r="F60" s="170"/>
      <c r="G60" s="170" t="s">
        <v>1070</v>
      </c>
      <c r="H60" s="170"/>
      <c r="I60" s="170"/>
      <c r="J60" s="170"/>
      <c r="K60" s="170"/>
      <c r="L60" s="170" t="s">
        <v>1864</v>
      </c>
      <c r="M60" s="170" t="s">
        <v>936</v>
      </c>
      <c r="N60" s="170"/>
      <c r="O60" s="170" t="s">
        <v>1008</v>
      </c>
      <c r="P60" s="170"/>
      <c r="Q60" s="183" t="s">
        <v>1855</v>
      </c>
      <c r="R60" s="186">
        <f>415+50+300</f>
        <v>765</v>
      </c>
      <c r="S60" s="186"/>
      <c r="T60" s="186">
        <f>V60-R60</f>
        <v>335</v>
      </c>
      <c r="U60" s="170" t="s">
        <v>1856</v>
      </c>
      <c r="V60" s="190">
        <v>1100</v>
      </c>
      <c r="W60" s="170"/>
      <c r="X60" s="170"/>
      <c r="Y60" s="170"/>
      <c r="Z60" s="170"/>
      <c r="AA60" s="170"/>
      <c r="AB60" s="170"/>
    </row>
    <row r="61" spans="1:28" s="117" customFormat="1" ht="15">
      <c r="A61" s="170"/>
      <c r="B61" s="170"/>
      <c r="C61" s="182">
        <v>44076</v>
      </c>
      <c r="D61" s="170" t="s">
        <v>1103</v>
      </c>
      <c r="E61" s="170" t="s">
        <v>1734</v>
      </c>
      <c r="F61" s="170"/>
      <c r="G61" s="170" t="s">
        <v>1865</v>
      </c>
      <c r="H61" s="170"/>
      <c r="I61" s="170"/>
      <c r="J61" s="170"/>
      <c r="K61" s="170"/>
      <c r="L61" s="170" t="s">
        <v>1866</v>
      </c>
      <c r="M61" s="170" t="s">
        <v>936</v>
      </c>
      <c r="N61" s="170"/>
      <c r="O61" s="170" t="s">
        <v>1008</v>
      </c>
      <c r="P61" s="170"/>
      <c r="Q61" s="183" t="s">
        <v>1867</v>
      </c>
      <c r="R61" s="186"/>
      <c r="S61" s="186"/>
      <c r="T61" s="186"/>
      <c r="U61" s="170" t="s">
        <v>1868</v>
      </c>
      <c r="V61" s="190"/>
      <c r="W61" s="170"/>
      <c r="X61" s="170"/>
      <c r="Y61" s="170"/>
      <c r="Z61" s="170"/>
      <c r="AA61" s="170"/>
      <c r="AB61" s="170"/>
    </row>
    <row r="62" spans="1:28" s="159" customFormat="1" ht="45">
      <c r="C62" s="192">
        <v>44077</v>
      </c>
      <c r="D62" s="159" t="s">
        <v>1869</v>
      </c>
      <c r="E62" s="159" t="s">
        <v>1870</v>
      </c>
      <c r="G62" s="159" t="s">
        <v>1871</v>
      </c>
      <c r="H62" s="159" t="s">
        <v>753</v>
      </c>
      <c r="I62" s="159" t="s">
        <v>753</v>
      </c>
      <c r="J62" s="159" t="s">
        <v>753</v>
      </c>
      <c r="K62" s="159" t="s">
        <v>753</v>
      </c>
      <c r="L62" s="159" t="s">
        <v>1872</v>
      </c>
      <c r="N62" s="159" t="s">
        <v>1873</v>
      </c>
      <c r="O62" s="159" t="s">
        <v>1874</v>
      </c>
      <c r="R62" s="193"/>
      <c r="S62" s="193"/>
      <c r="T62" s="193"/>
      <c r="U62" s="159" t="s">
        <v>1875</v>
      </c>
      <c r="V62" s="194">
        <v>2000</v>
      </c>
      <c r="X62" s="192">
        <v>44077</v>
      </c>
      <c r="Y62" s="159" t="s">
        <v>1876</v>
      </c>
    </row>
    <row r="63" spans="1:28" s="170" customFormat="1" ht="30">
      <c r="A63" s="123"/>
      <c r="B63" s="123"/>
      <c r="C63" s="163">
        <v>44078</v>
      </c>
      <c r="D63" s="123" t="s">
        <v>1606</v>
      </c>
      <c r="E63" s="123" t="s">
        <v>1791</v>
      </c>
      <c r="F63" s="123"/>
      <c r="G63" s="123" t="s">
        <v>1717</v>
      </c>
      <c r="H63" s="123"/>
      <c r="I63" s="123"/>
      <c r="J63" s="123"/>
      <c r="K63" s="123"/>
      <c r="L63" s="123" t="s">
        <v>1877</v>
      </c>
      <c r="M63" s="123" t="s">
        <v>936</v>
      </c>
      <c r="N63" s="123"/>
      <c r="O63" s="123" t="s">
        <v>1380</v>
      </c>
      <c r="P63" s="123"/>
      <c r="Q63" s="123" t="s">
        <v>753</v>
      </c>
      <c r="R63" s="188" t="s">
        <v>753</v>
      </c>
      <c r="S63" s="188"/>
      <c r="T63" s="188" t="s">
        <v>753</v>
      </c>
      <c r="U63" s="123" t="s">
        <v>1868</v>
      </c>
      <c r="V63" s="205">
        <v>0</v>
      </c>
      <c r="W63" s="123"/>
      <c r="X63" s="123"/>
      <c r="Y63" s="123"/>
      <c r="Z63" s="123"/>
      <c r="AA63" s="123"/>
      <c r="AB63" s="123"/>
    </row>
    <row r="64" spans="1:28" s="170" customFormat="1" ht="30">
      <c r="C64" s="182">
        <v>44078</v>
      </c>
      <c r="D64" s="170" t="s">
        <v>1790</v>
      </c>
      <c r="E64" s="170" t="s">
        <v>1791</v>
      </c>
      <c r="G64" s="170" t="s">
        <v>1878</v>
      </c>
      <c r="L64" s="170" t="s">
        <v>1879</v>
      </c>
      <c r="M64" s="170" t="s">
        <v>936</v>
      </c>
      <c r="N64" s="170" t="s">
        <v>1880</v>
      </c>
      <c r="O64" s="170" t="s">
        <v>1008</v>
      </c>
      <c r="Q64" s="170" t="s">
        <v>1881</v>
      </c>
      <c r="R64" s="186">
        <v>30</v>
      </c>
      <c r="S64" s="186"/>
      <c r="T64" s="186">
        <f>V64-R64</f>
        <v>70</v>
      </c>
      <c r="U64" s="170" t="s">
        <v>1882</v>
      </c>
      <c r="V64" s="190">
        <v>100</v>
      </c>
      <c r="W64" s="170" t="s">
        <v>1883</v>
      </c>
    </row>
    <row r="65" spans="1:28" s="170" customFormat="1" ht="75">
      <c r="C65" s="182">
        <v>44081</v>
      </c>
      <c r="D65" s="170" t="s">
        <v>1606</v>
      </c>
      <c r="E65" s="170" t="s">
        <v>1738</v>
      </c>
      <c r="G65" s="170" t="s">
        <v>1052</v>
      </c>
      <c r="L65" s="170" t="s">
        <v>1884</v>
      </c>
      <c r="M65" s="170" t="s">
        <v>936</v>
      </c>
      <c r="O65" s="170" t="s">
        <v>1008</v>
      </c>
      <c r="P65" s="222">
        <v>44117</v>
      </c>
      <c r="Q65" s="170" t="s">
        <v>2196</v>
      </c>
      <c r="R65" s="186"/>
      <c r="S65" s="186"/>
      <c r="T65" s="186"/>
      <c r="U65" s="170" t="s">
        <v>1886</v>
      </c>
      <c r="V65" s="190">
        <v>1000</v>
      </c>
    </row>
    <row r="66" spans="1:28" s="170" customFormat="1" ht="75">
      <c r="C66" s="182">
        <v>44081</v>
      </c>
      <c r="D66" s="170" t="s">
        <v>1606</v>
      </c>
      <c r="E66" s="170" t="s">
        <v>1738</v>
      </c>
      <c r="G66" s="170" t="s">
        <v>1276</v>
      </c>
      <c r="L66" s="170" t="s">
        <v>1887</v>
      </c>
      <c r="M66" s="170" t="s">
        <v>936</v>
      </c>
      <c r="O66" s="170" t="s">
        <v>1008</v>
      </c>
      <c r="P66" s="182">
        <v>44117</v>
      </c>
      <c r="Q66" s="170" t="s">
        <v>1885</v>
      </c>
      <c r="R66" s="186"/>
      <c r="S66" s="186"/>
      <c r="T66" s="186"/>
      <c r="U66" s="170" t="s">
        <v>1888</v>
      </c>
      <c r="V66" s="190">
        <v>3200</v>
      </c>
      <c r="W66" s="170" t="s">
        <v>1889</v>
      </c>
    </row>
    <row r="67" spans="1:28" s="123" customFormat="1" ht="60">
      <c r="A67" s="170"/>
      <c r="B67" s="170"/>
      <c r="C67" s="182">
        <v>44082</v>
      </c>
      <c r="D67" s="170" t="s">
        <v>1072</v>
      </c>
      <c r="E67" s="170" t="s">
        <v>1757</v>
      </c>
      <c r="F67" s="170"/>
      <c r="G67" s="170" t="s">
        <v>1074</v>
      </c>
      <c r="H67" s="170"/>
      <c r="I67" s="170"/>
      <c r="J67" s="170"/>
      <c r="K67" s="170"/>
      <c r="L67" s="170" t="s">
        <v>1890</v>
      </c>
      <c r="M67" s="170" t="s">
        <v>936</v>
      </c>
      <c r="N67" s="170"/>
      <c r="O67" s="170" t="s">
        <v>1008</v>
      </c>
      <c r="P67" s="170"/>
      <c r="Q67" s="170" t="s">
        <v>1891</v>
      </c>
      <c r="R67" s="186">
        <f>290+415+300</f>
        <v>1005</v>
      </c>
      <c r="S67" s="186"/>
      <c r="T67" s="186">
        <f>V67-R67</f>
        <v>1895</v>
      </c>
      <c r="U67" s="170"/>
      <c r="V67" s="190">
        <v>2900</v>
      </c>
      <c r="W67" s="170" t="s">
        <v>1892</v>
      </c>
      <c r="X67" s="170"/>
      <c r="Y67" s="170"/>
      <c r="Z67" s="170"/>
      <c r="AA67" s="170"/>
      <c r="AB67" s="170"/>
    </row>
    <row r="68" spans="1:28" s="170" customFormat="1" ht="90">
      <c r="A68" s="114"/>
      <c r="B68" s="114"/>
      <c r="C68" s="161">
        <v>44083</v>
      </c>
      <c r="D68" s="114" t="s">
        <v>1869</v>
      </c>
      <c r="E68" s="114" t="s">
        <v>1870</v>
      </c>
      <c r="F68" s="114"/>
      <c r="G68" s="114" t="s">
        <v>1893</v>
      </c>
      <c r="H68" s="114"/>
      <c r="I68" s="114"/>
      <c r="J68" s="114"/>
      <c r="K68" s="114"/>
      <c r="L68" s="114" t="s">
        <v>1894</v>
      </c>
      <c r="M68" s="114" t="s">
        <v>1576</v>
      </c>
      <c r="N68" s="114"/>
      <c r="O68" s="114" t="s">
        <v>1740</v>
      </c>
      <c r="P68" s="114"/>
      <c r="Q68" s="114"/>
      <c r="R68" s="201"/>
      <c r="S68" s="201"/>
      <c r="T68" s="201"/>
      <c r="U68" s="114" t="s">
        <v>1895</v>
      </c>
      <c r="V68" s="202">
        <v>2000</v>
      </c>
      <c r="W68" s="114"/>
      <c r="X68" s="114"/>
      <c r="Y68" s="114"/>
      <c r="Z68" s="114"/>
      <c r="AA68" s="114"/>
      <c r="AB68" s="114"/>
    </row>
    <row r="69" spans="1:28" s="123" customFormat="1" ht="45">
      <c r="C69" s="163">
        <v>44085</v>
      </c>
      <c r="D69" s="123" t="s">
        <v>1160</v>
      </c>
      <c r="E69" s="123" t="s">
        <v>1371</v>
      </c>
      <c r="G69" s="123" t="s">
        <v>1600</v>
      </c>
      <c r="L69" s="123" t="s">
        <v>1371</v>
      </c>
      <c r="O69" s="123" t="s">
        <v>1380</v>
      </c>
      <c r="R69" s="188"/>
      <c r="S69" s="188"/>
      <c r="T69" s="188"/>
    </row>
    <row r="70" spans="1:28" s="159" customFormat="1" ht="45">
      <c r="A70" s="123"/>
      <c r="B70" s="123"/>
      <c r="C70" s="163">
        <v>44085</v>
      </c>
      <c r="D70" s="123" t="s">
        <v>1160</v>
      </c>
      <c r="E70" s="123" t="s">
        <v>1371</v>
      </c>
      <c r="F70" s="123"/>
      <c r="G70" s="123" t="s">
        <v>1603</v>
      </c>
      <c r="H70" s="123"/>
      <c r="I70" s="123"/>
      <c r="J70" s="123"/>
      <c r="K70" s="123"/>
      <c r="L70" s="123" t="s">
        <v>1896</v>
      </c>
      <c r="M70" s="123"/>
      <c r="N70" s="123"/>
      <c r="O70" s="123" t="s">
        <v>1380</v>
      </c>
      <c r="P70" s="123"/>
      <c r="Q70" s="123"/>
      <c r="R70" s="188"/>
      <c r="S70" s="188"/>
      <c r="T70" s="188"/>
      <c r="U70" s="123"/>
      <c r="V70" s="123"/>
      <c r="W70" s="123"/>
      <c r="X70" s="123"/>
      <c r="Y70" s="123"/>
      <c r="Z70" s="123"/>
      <c r="AA70" s="123"/>
      <c r="AB70" s="123"/>
    </row>
    <row r="71" spans="1:28" s="84" customFormat="1" ht="120">
      <c r="A71" s="170"/>
      <c r="B71" s="170"/>
      <c r="C71" s="182">
        <v>44085</v>
      </c>
      <c r="D71" s="170" t="s">
        <v>1068</v>
      </c>
      <c r="E71" s="170" t="s">
        <v>1757</v>
      </c>
      <c r="F71" s="170"/>
      <c r="G71" s="170" t="s">
        <v>1089</v>
      </c>
      <c r="H71" s="170"/>
      <c r="I71" s="170"/>
      <c r="J71" s="170"/>
      <c r="K71" s="170"/>
      <c r="L71" s="170" t="s">
        <v>2129</v>
      </c>
      <c r="M71" s="170" t="s">
        <v>936</v>
      </c>
      <c r="N71" s="170"/>
      <c r="O71" s="170" t="s">
        <v>1008</v>
      </c>
      <c r="P71" s="182">
        <v>44103</v>
      </c>
      <c r="Q71" s="183" t="s">
        <v>1855</v>
      </c>
      <c r="R71" s="186">
        <f>415+50+300</f>
        <v>765</v>
      </c>
      <c r="S71" s="186"/>
      <c r="T71" s="186">
        <f>V71-R71</f>
        <v>335</v>
      </c>
      <c r="U71" s="170" t="s">
        <v>1856</v>
      </c>
      <c r="V71" s="190">
        <v>1100</v>
      </c>
      <c r="W71" s="170"/>
      <c r="X71" s="170"/>
      <c r="Y71" s="170"/>
      <c r="Z71" s="170"/>
      <c r="AA71" s="170"/>
      <c r="AB71" s="170"/>
    </row>
    <row r="72" spans="1:28" s="170" customFormat="1" ht="30">
      <c r="C72" s="182">
        <v>44085</v>
      </c>
      <c r="D72" s="170" t="s">
        <v>737</v>
      </c>
      <c r="E72" s="170" t="s">
        <v>1791</v>
      </c>
      <c r="G72" s="170" t="s">
        <v>875</v>
      </c>
      <c r="L72" s="170" t="s">
        <v>1897</v>
      </c>
      <c r="M72" s="170" t="s">
        <v>936</v>
      </c>
      <c r="O72" s="170" t="s">
        <v>1008</v>
      </c>
      <c r="P72" s="182">
        <v>44092</v>
      </c>
      <c r="Q72" s="170" t="s">
        <v>1898</v>
      </c>
      <c r="R72" s="186">
        <v>30</v>
      </c>
      <c r="S72" s="186"/>
      <c r="T72" s="186">
        <f>V72-R72</f>
        <v>90</v>
      </c>
      <c r="V72" s="190">
        <v>120</v>
      </c>
      <c r="W72" s="170" t="s">
        <v>1899</v>
      </c>
    </row>
    <row r="73" spans="1:28" s="170" customFormat="1" ht="30">
      <c r="C73" s="182">
        <v>44085</v>
      </c>
      <c r="D73" s="170" t="s">
        <v>737</v>
      </c>
      <c r="E73" s="170" t="s">
        <v>1791</v>
      </c>
      <c r="G73" s="185" t="s">
        <v>879</v>
      </c>
      <c r="L73" s="170" t="s">
        <v>1900</v>
      </c>
      <c r="M73" s="170" t="s">
        <v>936</v>
      </c>
      <c r="O73" s="170" t="s">
        <v>1008</v>
      </c>
      <c r="P73" s="182">
        <v>44092</v>
      </c>
      <c r="Q73" s="170" t="s">
        <v>1898</v>
      </c>
      <c r="R73" s="186">
        <v>30</v>
      </c>
      <c r="S73" s="186"/>
      <c r="T73" s="186"/>
      <c r="V73" s="190">
        <v>120</v>
      </c>
      <c r="W73" s="170" t="s">
        <v>1899</v>
      </c>
    </row>
    <row r="74" spans="1:28" s="170" customFormat="1" ht="45">
      <c r="A74" s="114"/>
      <c r="B74" s="114"/>
      <c r="C74" s="161">
        <v>44088</v>
      </c>
      <c r="D74" s="114" t="s">
        <v>1068</v>
      </c>
      <c r="E74" s="114" t="s">
        <v>1607</v>
      </c>
      <c r="F74" s="114"/>
      <c r="G74" s="114" t="s">
        <v>1901</v>
      </c>
      <c r="H74" s="114"/>
      <c r="I74" s="114"/>
      <c r="J74" s="114"/>
      <c r="K74" s="114"/>
      <c r="L74" s="114" t="s">
        <v>1702</v>
      </c>
      <c r="M74" s="114" t="s">
        <v>1376</v>
      </c>
      <c r="N74" s="209"/>
      <c r="O74" s="114" t="s">
        <v>1702</v>
      </c>
      <c r="P74" s="161"/>
      <c r="Q74" s="162"/>
      <c r="R74" s="201"/>
      <c r="S74" s="201"/>
      <c r="T74" s="201"/>
      <c r="U74" s="114"/>
      <c r="V74" s="202"/>
      <c r="W74" s="114"/>
      <c r="X74" s="114"/>
      <c r="Y74" s="114"/>
      <c r="Z74" s="114"/>
      <c r="AA74" s="114"/>
      <c r="AB74" s="114"/>
    </row>
    <row r="75" spans="1:28" s="170" customFormat="1" ht="75">
      <c r="C75" s="182">
        <v>44088</v>
      </c>
      <c r="D75" s="170" t="s">
        <v>1068</v>
      </c>
      <c r="E75" s="170" t="s">
        <v>1757</v>
      </c>
      <c r="G75" s="170" t="s">
        <v>1901</v>
      </c>
      <c r="L75" s="170" t="s">
        <v>1902</v>
      </c>
      <c r="M75" s="170" t="s">
        <v>936</v>
      </c>
      <c r="N75" s="206"/>
      <c r="O75" s="170" t="s">
        <v>1008</v>
      </c>
      <c r="P75" s="182">
        <v>44099</v>
      </c>
      <c r="Q75" s="183" t="s">
        <v>1855</v>
      </c>
      <c r="R75" s="186">
        <f>415+50+300</f>
        <v>765</v>
      </c>
      <c r="S75" s="186"/>
      <c r="T75" s="186">
        <f>V75-R75</f>
        <v>335</v>
      </c>
      <c r="U75" s="170" t="s">
        <v>1856</v>
      </c>
      <c r="V75" s="190">
        <v>1100</v>
      </c>
    </row>
    <row r="76" spans="1:28" s="170" customFormat="1" ht="75">
      <c r="C76" s="182">
        <v>44088</v>
      </c>
      <c r="D76" s="170" t="s">
        <v>1068</v>
      </c>
      <c r="E76" s="170" t="s">
        <v>1757</v>
      </c>
      <c r="G76" s="170" t="s">
        <v>1903</v>
      </c>
      <c r="L76" s="170" t="s">
        <v>1904</v>
      </c>
      <c r="M76" s="170" t="s">
        <v>936</v>
      </c>
      <c r="O76" s="170" t="s">
        <v>1008</v>
      </c>
      <c r="Q76" s="183" t="s">
        <v>1855</v>
      </c>
      <c r="R76" s="186">
        <f>415+50+300</f>
        <v>765</v>
      </c>
      <c r="S76" s="186"/>
      <c r="T76" s="186">
        <f>V76-R76</f>
        <v>1235</v>
      </c>
      <c r="U76" s="170" t="s">
        <v>1856</v>
      </c>
      <c r="V76" s="190">
        <v>2000</v>
      </c>
    </row>
    <row r="77" spans="1:28" s="123" customFormat="1" ht="30">
      <c r="C77" s="163">
        <v>44089</v>
      </c>
      <c r="D77" s="123" t="s">
        <v>1316</v>
      </c>
      <c r="E77" s="123" t="s">
        <v>1831</v>
      </c>
      <c r="G77" s="123" t="s">
        <v>1905</v>
      </c>
      <c r="L77" s="123" t="s">
        <v>1906</v>
      </c>
      <c r="O77" s="123" t="s">
        <v>1380</v>
      </c>
      <c r="R77" s="188"/>
      <c r="S77" s="188"/>
      <c r="T77" s="188"/>
      <c r="V77" s="205">
        <v>500</v>
      </c>
    </row>
    <row r="78" spans="1:28" s="170" customFormat="1" ht="105">
      <c r="C78" s="182">
        <v>44089</v>
      </c>
      <c r="D78" s="170" t="s">
        <v>1068</v>
      </c>
      <c r="E78" s="170" t="s">
        <v>1757</v>
      </c>
      <c r="G78" s="170" t="s">
        <v>1292</v>
      </c>
      <c r="I78" s="170" t="s">
        <v>1004</v>
      </c>
      <c r="L78" s="170" t="s">
        <v>1907</v>
      </c>
      <c r="M78" s="170" t="s">
        <v>936</v>
      </c>
      <c r="O78" s="170" t="s">
        <v>1008</v>
      </c>
      <c r="P78" s="182">
        <v>44106</v>
      </c>
      <c r="Q78" s="170" t="s">
        <v>1855</v>
      </c>
      <c r="R78" s="186">
        <f>415+50+300</f>
        <v>765</v>
      </c>
      <c r="S78" s="186"/>
      <c r="T78" s="186">
        <f>V78-R78</f>
        <v>335</v>
      </c>
      <c r="U78" s="170" t="s">
        <v>1856</v>
      </c>
      <c r="V78" s="190">
        <v>1100</v>
      </c>
    </row>
    <row r="79" spans="1:28" s="170" customFormat="1" ht="60">
      <c r="C79" s="182">
        <v>44090</v>
      </c>
      <c r="D79" s="170" t="s">
        <v>1068</v>
      </c>
      <c r="E79" s="170" t="s">
        <v>1757</v>
      </c>
      <c r="G79" s="170" t="s">
        <v>1908</v>
      </c>
      <c r="L79" s="170" t="s">
        <v>1909</v>
      </c>
      <c r="M79" s="170" t="s">
        <v>936</v>
      </c>
      <c r="O79" s="170" t="s">
        <v>1008</v>
      </c>
      <c r="P79" s="182">
        <v>44099</v>
      </c>
      <c r="Q79" s="170" t="s">
        <v>1855</v>
      </c>
      <c r="R79" s="186">
        <f>415+50+300</f>
        <v>765</v>
      </c>
      <c r="S79" s="186"/>
      <c r="T79" s="186">
        <f>V79-R79</f>
        <v>335</v>
      </c>
      <c r="U79" s="170" t="s">
        <v>1856</v>
      </c>
      <c r="V79" s="190">
        <v>1100</v>
      </c>
    </row>
    <row r="80" spans="1:28" s="170" customFormat="1" ht="75">
      <c r="C80" s="182">
        <v>44090</v>
      </c>
      <c r="D80" s="170" t="s">
        <v>1083</v>
      </c>
      <c r="E80" s="170" t="s">
        <v>1757</v>
      </c>
      <c r="G80" s="170" t="s">
        <v>1085</v>
      </c>
      <c r="L80" s="170" t="s">
        <v>1910</v>
      </c>
      <c r="M80" s="170" t="s">
        <v>936</v>
      </c>
      <c r="O80" s="170" t="s">
        <v>1008</v>
      </c>
      <c r="P80" s="182">
        <v>44099</v>
      </c>
      <c r="Q80" s="170" t="s">
        <v>2197</v>
      </c>
      <c r="R80" s="186">
        <f>2715</f>
        <v>2715</v>
      </c>
      <c r="S80" s="186"/>
      <c r="T80" s="186">
        <f>V80-R80</f>
        <v>1785</v>
      </c>
      <c r="U80" s="170" t="s">
        <v>1911</v>
      </c>
      <c r="V80" s="190">
        <v>4500</v>
      </c>
      <c r="W80" s="170" t="s">
        <v>1912</v>
      </c>
    </row>
    <row r="81" spans="1:28" s="170" customFormat="1" ht="45">
      <c r="A81" s="114"/>
      <c r="B81" s="114"/>
      <c r="C81" s="161">
        <v>44090</v>
      </c>
      <c r="D81" s="114" t="s">
        <v>1606</v>
      </c>
      <c r="E81" s="114" t="s">
        <v>1607</v>
      </c>
      <c r="F81" s="114"/>
      <c r="G81" s="114" t="s">
        <v>1608</v>
      </c>
      <c r="H81" s="114"/>
      <c r="I81" s="114"/>
      <c r="J81" s="114"/>
      <c r="K81" s="114"/>
      <c r="L81" s="114" t="s">
        <v>1913</v>
      </c>
      <c r="M81" s="114"/>
      <c r="N81" s="114"/>
      <c r="O81" s="114" t="s">
        <v>1702</v>
      </c>
      <c r="P81" s="114"/>
      <c r="Q81" s="114"/>
      <c r="R81" s="201"/>
      <c r="S81" s="201"/>
      <c r="T81" s="201"/>
      <c r="U81" s="114"/>
      <c r="V81" s="114"/>
      <c r="W81" s="114"/>
      <c r="X81" s="114"/>
      <c r="Y81" s="114"/>
      <c r="Z81" s="114"/>
      <c r="AA81" s="114"/>
      <c r="AB81" s="114"/>
    </row>
    <row r="82" spans="1:28" s="159" customFormat="1" ht="30">
      <c r="A82" s="170"/>
      <c r="B82" s="170"/>
      <c r="C82" s="182">
        <v>44095</v>
      </c>
      <c r="D82" s="170" t="s">
        <v>1869</v>
      </c>
      <c r="E82" s="170" t="s">
        <v>1791</v>
      </c>
      <c r="F82" s="170"/>
      <c r="G82" s="170" t="s">
        <v>1914</v>
      </c>
      <c r="H82" s="170"/>
      <c r="I82" s="170"/>
      <c r="J82" s="170"/>
      <c r="K82" s="170"/>
      <c r="L82" s="170" t="s">
        <v>1915</v>
      </c>
      <c r="M82" s="170" t="s">
        <v>936</v>
      </c>
      <c r="N82" s="170"/>
      <c r="O82" s="170" t="s">
        <v>1008</v>
      </c>
      <c r="P82" s="182">
        <v>44098</v>
      </c>
      <c r="Q82" s="170" t="s">
        <v>1916</v>
      </c>
      <c r="R82" s="186">
        <v>50.5</v>
      </c>
      <c r="S82" s="186"/>
      <c r="T82" s="186">
        <f>V82-R82</f>
        <v>149.5</v>
      </c>
      <c r="U82" s="170" t="s">
        <v>1895</v>
      </c>
      <c r="V82" s="190">
        <v>200</v>
      </c>
      <c r="W82" s="170"/>
      <c r="X82" s="170"/>
      <c r="Y82" s="170"/>
      <c r="Z82" s="170"/>
      <c r="AA82" s="170"/>
      <c r="AB82" s="170"/>
    </row>
    <row r="83" spans="1:28" s="159" customFormat="1" ht="30">
      <c r="A83" s="170"/>
      <c r="B83" s="170"/>
      <c r="C83" s="182">
        <v>44095</v>
      </c>
      <c r="D83" s="170" t="s">
        <v>1917</v>
      </c>
      <c r="E83" s="170" t="s">
        <v>1791</v>
      </c>
      <c r="F83" s="170"/>
      <c r="G83" s="170" t="s">
        <v>1918</v>
      </c>
      <c r="H83" s="170"/>
      <c r="I83" s="170"/>
      <c r="J83" s="170"/>
      <c r="K83" s="170"/>
      <c r="L83" s="170" t="s">
        <v>1919</v>
      </c>
      <c r="M83" s="170" t="s">
        <v>936</v>
      </c>
      <c r="N83" s="170"/>
      <c r="O83" s="170" t="s">
        <v>1008</v>
      </c>
      <c r="P83" s="182">
        <v>44095</v>
      </c>
      <c r="Q83" s="170" t="s">
        <v>1898</v>
      </c>
      <c r="R83" s="186"/>
      <c r="S83" s="186"/>
      <c r="T83" s="186"/>
      <c r="U83" s="170"/>
      <c r="V83" s="170" t="s">
        <v>1868</v>
      </c>
      <c r="W83" s="170"/>
      <c r="X83" s="170"/>
      <c r="Y83" s="170"/>
      <c r="Z83" s="170"/>
      <c r="AA83" s="170"/>
      <c r="AB83" s="170"/>
    </row>
    <row r="84" spans="1:28" s="117" customFormat="1" ht="45">
      <c r="A84" s="170"/>
      <c r="B84" s="170"/>
      <c r="C84" s="182">
        <v>44095</v>
      </c>
      <c r="D84" s="170" t="s">
        <v>2339</v>
      </c>
      <c r="E84" s="170" t="s">
        <v>1734</v>
      </c>
      <c r="F84" s="170"/>
      <c r="G84" s="170" t="s">
        <v>1290</v>
      </c>
      <c r="H84" s="170"/>
      <c r="I84" s="170"/>
      <c r="J84" s="170"/>
      <c r="K84" s="170"/>
      <c r="L84" s="170" t="s">
        <v>1920</v>
      </c>
      <c r="M84" s="170" t="s">
        <v>936</v>
      </c>
      <c r="N84" s="170" t="s">
        <v>1844</v>
      </c>
      <c r="O84" s="170" t="s">
        <v>1008</v>
      </c>
      <c r="P84" s="182">
        <v>44105</v>
      </c>
      <c r="Q84" s="170" t="s">
        <v>1921</v>
      </c>
      <c r="R84" s="186">
        <v>510</v>
      </c>
      <c r="S84" s="186"/>
      <c r="T84" s="186">
        <f>V84-R84</f>
        <v>1790</v>
      </c>
      <c r="U84" s="170" t="s">
        <v>1845</v>
      </c>
      <c r="V84" s="190">
        <v>2300</v>
      </c>
      <c r="W84" s="170" t="s">
        <v>1922</v>
      </c>
      <c r="X84" s="170"/>
      <c r="Y84" s="170"/>
      <c r="Z84" s="170"/>
      <c r="AA84" s="170"/>
      <c r="AB84" s="170"/>
    </row>
    <row r="85" spans="1:28" s="123" customFormat="1" ht="30">
      <c r="C85" s="163">
        <v>44095</v>
      </c>
      <c r="D85" s="123" t="s">
        <v>1917</v>
      </c>
      <c r="E85" s="123" t="s">
        <v>1923</v>
      </c>
      <c r="G85" s="123" t="s">
        <v>1918</v>
      </c>
      <c r="L85" s="123" t="s">
        <v>1924</v>
      </c>
      <c r="O85" s="123" t="s">
        <v>1380</v>
      </c>
      <c r="R85" s="188"/>
      <c r="S85" s="188"/>
      <c r="T85" s="188"/>
    </row>
    <row r="86" spans="1:28" s="170" customFormat="1" ht="30">
      <c r="C86" s="182">
        <v>44096</v>
      </c>
      <c r="D86" s="170" t="s">
        <v>1790</v>
      </c>
      <c r="E86" s="170" t="s">
        <v>1791</v>
      </c>
      <c r="G86" s="207" t="s">
        <v>1925</v>
      </c>
      <c r="L86" s="170" t="s">
        <v>1926</v>
      </c>
      <c r="M86" s="170" t="s">
        <v>936</v>
      </c>
      <c r="N86" s="170" t="s">
        <v>1927</v>
      </c>
      <c r="O86" s="170" t="s">
        <v>1008</v>
      </c>
      <c r="P86" s="182">
        <v>44096</v>
      </c>
      <c r="Q86" s="170" t="s">
        <v>1928</v>
      </c>
      <c r="R86" s="186">
        <v>35.5</v>
      </c>
      <c r="S86" s="186"/>
      <c r="T86" s="186">
        <f>V86-R86</f>
        <v>64.5</v>
      </c>
      <c r="U86" s="170" t="s">
        <v>1882</v>
      </c>
      <c r="V86" s="190">
        <v>100</v>
      </c>
      <c r="W86" s="170" t="s">
        <v>1883</v>
      </c>
    </row>
    <row r="87" spans="1:28" s="170" customFormat="1" ht="30">
      <c r="C87" s="182">
        <v>44097</v>
      </c>
      <c r="D87" s="170" t="s">
        <v>1083</v>
      </c>
      <c r="E87" s="170" t="s">
        <v>1757</v>
      </c>
      <c r="G87" s="170" t="s">
        <v>1093</v>
      </c>
      <c r="L87" s="170" t="s">
        <v>1929</v>
      </c>
      <c r="M87" s="170" t="s">
        <v>936</v>
      </c>
      <c r="O87" s="170" t="s">
        <v>1008</v>
      </c>
      <c r="P87" s="182">
        <v>44102</v>
      </c>
      <c r="Q87" s="170" t="s">
        <v>1930</v>
      </c>
      <c r="R87" s="186">
        <v>715</v>
      </c>
      <c r="S87" s="186"/>
      <c r="T87" s="186"/>
      <c r="V87" s="170" t="s">
        <v>1868</v>
      </c>
    </row>
    <row r="88" spans="1:28" s="170" customFormat="1" ht="30">
      <c r="C88" s="182">
        <v>44097</v>
      </c>
      <c r="D88" s="170" t="s">
        <v>1083</v>
      </c>
      <c r="E88" s="170" t="s">
        <v>1757</v>
      </c>
      <c r="G88" s="170" t="s">
        <v>1096</v>
      </c>
      <c r="L88" s="170" t="s">
        <v>1931</v>
      </c>
      <c r="M88" s="170" t="s">
        <v>936</v>
      </c>
      <c r="O88" s="170" t="s">
        <v>1008</v>
      </c>
      <c r="P88" s="182">
        <v>44102</v>
      </c>
      <c r="Q88" s="170" t="s">
        <v>1930</v>
      </c>
      <c r="R88" s="186">
        <v>715</v>
      </c>
      <c r="S88" s="186"/>
      <c r="T88" s="186"/>
      <c r="V88" s="170" t="s">
        <v>1868</v>
      </c>
    </row>
    <row r="89" spans="1:28" s="159" customFormat="1" ht="30">
      <c r="A89" s="170"/>
      <c r="B89" s="170"/>
      <c r="C89" s="182">
        <v>44097</v>
      </c>
      <c r="D89" s="170" t="s">
        <v>1068</v>
      </c>
      <c r="E89" s="170" t="s">
        <v>1932</v>
      </c>
      <c r="F89" s="170"/>
      <c r="G89" s="170" t="s">
        <v>1908</v>
      </c>
      <c r="H89" s="170"/>
      <c r="I89" s="170"/>
      <c r="J89" s="170"/>
      <c r="K89" s="170"/>
      <c r="L89" s="170" t="s">
        <v>1933</v>
      </c>
      <c r="M89" s="170" t="s">
        <v>936</v>
      </c>
      <c r="N89" s="170" t="s">
        <v>1934</v>
      </c>
      <c r="O89" s="170" t="s">
        <v>1008</v>
      </c>
      <c r="P89" s="182">
        <v>44097</v>
      </c>
      <c r="Q89" s="170" t="s">
        <v>1935</v>
      </c>
      <c r="R89" s="186">
        <v>25.5</v>
      </c>
      <c r="S89" s="186"/>
      <c r="T89" s="186"/>
      <c r="U89" s="170" t="s">
        <v>1936</v>
      </c>
      <c r="V89" s="170"/>
      <c r="W89" s="170"/>
      <c r="X89" s="170"/>
      <c r="Y89" s="170"/>
      <c r="Z89" s="170"/>
      <c r="AA89" s="170"/>
      <c r="AB89" s="170"/>
    </row>
    <row r="90" spans="1:28" s="170" customFormat="1" ht="30">
      <c r="C90" s="182">
        <v>44098</v>
      </c>
      <c r="D90" s="170" t="s">
        <v>1790</v>
      </c>
      <c r="E90" s="170" t="s">
        <v>1791</v>
      </c>
      <c r="G90" s="170" t="s">
        <v>1937</v>
      </c>
      <c r="L90" s="170" t="s">
        <v>1938</v>
      </c>
      <c r="M90" s="170" t="s">
        <v>936</v>
      </c>
      <c r="N90" s="170" t="s">
        <v>1927</v>
      </c>
      <c r="O90" s="170" t="s">
        <v>1008</v>
      </c>
      <c r="P90" s="182">
        <v>44102</v>
      </c>
      <c r="Q90" s="170" t="s">
        <v>1813</v>
      </c>
      <c r="R90" s="186">
        <v>30</v>
      </c>
      <c r="S90" s="186"/>
      <c r="T90" s="186">
        <f>V90-R90</f>
        <v>70</v>
      </c>
      <c r="U90" s="170" t="s">
        <v>1882</v>
      </c>
      <c r="V90" s="190">
        <v>100</v>
      </c>
      <c r="W90" s="170" t="s">
        <v>1883</v>
      </c>
    </row>
    <row r="91" spans="1:28" s="170" customFormat="1" ht="45">
      <c r="A91" s="114"/>
      <c r="B91" s="114"/>
      <c r="C91" s="161">
        <v>44103</v>
      </c>
      <c r="D91" s="114" t="s">
        <v>1068</v>
      </c>
      <c r="E91" s="114" t="s">
        <v>1607</v>
      </c>
      <c r="F91" s="114"/>
      <c r="G91" s="114" t="s">
        <v>1082</v>
      </c>
      <c r="H91" s="114"/>
      <c r="I91" s="114"/>
      <c r="J91" s="114"/>
      <c r="K91" s="114"/>
      <c r="L91" s="114" t="s">
        <v>1702</v>
      </c>
      <c r="M91" s="114" t="s">
        <v>1576</v>
      </c>
      <c r="N91" s="114" t="s">
        <v>1939</v>
      </c>
      <c r="O91" s="114" t="s">
        <v>1702</v>
      </c>
      <c r="P91" s="114"/>
      <c r="Q91" s="114"/>
      <c r="R91" s="201"/>
      <c r="S91" s="201"/>
      <c r="T91" s="201"/>
      <c r="U91" s="114"/>
      <c r="V91" s="114"/>
      <c r="W91" s="114"/>
      <c r="X91" s="114"/>
      <c r="Y91" s="114"/>
      <c r="Z91" s="114"/>
      <c r="AA91" s="114"/>
      <c r="AB91" s="114"/>
    </row>
    <row r="92" spans="1:28" s="170" customFormat="1" ht="45">
      <c r="A92" s="114"/>
      <c r="B92" s="114"/>
      <c r="C92" s="161">
        <v>44103</v>
      </c>
      <c r="D92" s="114" t="s">
        <v>1083</v>
      </c>
      <c r="E92" s="114" t="s">
        <v>1607</v>
      </c>
      <c r="F92" s="114"/>
      <c r="G92" s="114" t="s">
        <v>1085</v>
      </c>
      <c r="H92" s="114"/>
      <c r="I92" s="114"/>
      <c r="J92" s="114"/>
      <c r="K92" s="114"/>
      <c r="L92" s="114" t="s">
        <v>1702</v>
      </c>
      <c r="M92" s="114" t="s">
        <v>1576</v>
      </c>
      <c r="N92" s="114" t="s">
        <v>1939</v>
      </c>
      <c r="O92" s="114" t="s">
        <v>1702</v>
      </c>
      <c r="P92" s="114"/>
      <c r="Q92" s="114"/>
      <c r="R92" s="201"/>
      <c r="S92" s="201"/>
      <c r="T92" s="201"/>
      <c r="U92" s="114"/>
      <c r="V92" s="114"/>
      <c r="W92" s="114"/>
      <c r="X92" s="114"/>
      <c r="Y92" s="114"/>
      <c r="Z92" s="114"/>
      <c r="AA92" s="114"/>
      <c r="AB92" s="114"/>
    </row>
    <row r="93" spans="1:28" s="170" customFormat="1" ht="45">
      <c r="A93" s="114"/>
      <c r="B93" s="114"/>
      <c r="C93" s="161">
        <v>44105</v>
      </c>
      <c r="D93" s="114" t="s">
        <v>1083</v>
      </c>
      <c r="E93" s="114" t="s">
        <v>1607</v>
      </c>
      <c r="F93" s="114"/>
      <c r="G93" s="114" t="s">
        <v>1096</v>
      </c>
      <c r="H93" s="114"/>
      <c r="I93" s="114"/>
      <c r="J93" s="114"/>
      <c r="K93" s="114"/>
      <c r="L93" s="114" t="s">
        <v>1702</v>
      </c>
      <c r="M93" s="114" t="s">
        <v>1576</v>
      </c>
      <c r="N93" s="114"/>
      <c r="O93" s="114" t="s">
        <v>1702</v>
      </c>
      <c r="P93" s="114"/>
      <c r="Q93" s="114"/>
      <c r="R93" s="201"/>
      <c r="S93" s="201"/>
      <c r="T93" s="201"/>
      <c r="U93" s="114"/>
      <c r="V93" s="114" t="s">
        <v>1868</v>
      </c>
      <c r="W93" s="114"/>
      <c r="X93" s="114"/>
      <c r="Y93" s="114"/>
      <c r="Z93" s="114"/>
      <c r="AA93" s="114"/>
      <c r="AB93" s="114"/>
    </row>
    <row r="94" spans="1:28" s="170" customFormat="1" ht="30">
      <c r="A94" s="114"/>
      <c r="B94" s="114"/>
      <c r="C94" s="161">
        <v>44105</v>
      </c>
      <c r="D94" s="114" t="s">
        <v>1083</v>
      </c>
      <c r="E94" s="114" t="s">
        <v>1757</v>
      </c>
      <c r="F94" s="114"/>
      <c r="G94" s="114" t="s">
        <v>1093</v>
      </c>
      <c r="H94" s="114"/>
      <c r="I94" s="114"/>
      <c r="J94" s="114"/>
      <c r="K94" s="114"/>
      <c r="L94" s="114" t="s">
        <v>1702</v>
      </c>
      <c r="M94" s="114" t="s">
        <v>1576</v>
      </c>
      <c r="N94" s="114"/>
      <c r="O94" s="114" t="s">
        <v>1702</v>
      </c>
      <c r="P94" s="114"/>
      <c r="Q94" s="114"/>
      <c r="R94" s="201"/>
      <c r="S94" s="201"/>
      <c r="T94" s="201"/>
      <c r="U94" s="114"/>
      <c r="V94" s="114" t="s">
        <v>1868</v>
      </c>
      <c r="W94" s="114"/>
      <c r="X94" s="114"/>
      <c r="Y94" s="114"/>
      <c r="Z94" s="114"/>
      <c r="AA94" s="114"/>
      <c r="AB94" s="114"/>
    </row>
    <row r="95" spans="1:28" s="170" customFormat="1" ht="30">
      <c r="C95" s="182">
        <v>44105</v>
      </c>
      <c r="D95" s="170" t="s">
        <v>1083</v>
      </c>
      <c r="E95" s="170" t="s">
        <v>1791</v>
      </c>
      <c r="G95" s="170" t="s">
        <v>1096</v>
      </c>
      <c r="L95" s="170" t="s">
        <v>1940</v>
      </c>
      <c r="M95" s="170" t="s">
        <v>936</v>
      </c>
      <c r="O95" s="170" t="s">
        <v>1008</v>
      </c>
      <c r="P95" s="182">
        <v>44105</v>
      </c>
      <c r="Q95" s="170" t="s">
        <v>1941</v>
      </c>
      <c r="R95" s="186"/>
      <c r="S95" s="186"/>
      <c r="T95" s="186"/>
      <c r="V95" s="170" t="s">
        <v>1868</v>
      </c>
    </row>
    <row r="96" spans="1:28" s="123" customFormat="1" ht="45">
      <c r="A96" s="170"/>
      <c r="B96" s="170"/>
      <c r="C96" s="182">
        <v>44106</v>
      </c>
      <c r="D96" s="170" t="s">
        <v>1942</v>
      </c>
      <c r="E96" s="170" t="s">
        <v>1923</v>
      </c>
      <c r="F96" s="170"/>
      <c r="G96" s="170" t="s">
        <v>1401</v>
      </c>
      <c r="H96" s="170"/>
      <c r="I96" s="170"/>
      <c r="J96" s="170"/>
      <c r="K96" s="170"/>
      <c r="L96" s="170" t="s">
        <v>1943</v>
      </c>
      <c r="M96" s="170" t="s">
        <v>1576</v>
      </c>
      <c r="N96" s="170"/>
      <c r="O96" s="170" t="s">
        <v>1008</v>
      </c>
      <c r="P96" s="182">
        <v>44106</v>
      </c>
      <c r="Q96" s="170"/>
      <c r="R96" s="186"/>
      <c r="S96" s="186"/>
      <c r="T96" s="186"/>
      <c r="U96" s="170"/>
      <c r="V96" s="170"/>
      <c r="W96" s="170"/>
      <c r="X96" s="170"/>
      <c r="Y96" s="170"/>
      <c r="Z96" s="170"/>
      <c r="AA96" s="170"/>
      <c r="AB96" s="170"/>
    </row>
    <row r="97" spans="1:28" s="123" customFormat="1" ht="15">
      <c r="C97" s="163">
        <v>44109</v>
      </c>
      <c r="D97" s="123" t="s">
        <v>894</v>
      </c>
      <c r="E97" s="123" t="s">
        <v>1944</v>
      </c>
      <c r="G97" s="123" t="s">
        <v>1945</v>
      </c>
      <c r="L97" s="123" t="s">
        <v>1946</v>
      </c>
      <c r="N97" s="123" t="s">
        <v>1947</v>
      </c>
      <c r="O97" s="123" t="s">
        <v>1380</v>
      </c>
      <c r="Q97" s="123" t="s">
        <v>1948</v>
      </c>
      <c r="R97" s="188"/>
      <c r="S97" s="188"/>
      <c r="T97" s="188"/>
      <c r="U97" s="123" t="s">
        <v>1949</v>
      </c>
      <c r="V97" s="205">
        <v>7000</v>
      </c>
    </row>
    <row r="98" spans="1:28" s="170" customFormat="1" ht="45">
      <c r="A98" s="159"/>
      <c r="B98" s="159"/>
      <c r="C98" s="192">
        <v>44110</v>
      </c>
      <c r="D98" s="159" t="s">
        <v>1103</v>
      </c>
      <c r="E98" s="159" t="s">
        <v>1738</v>
      </c>
      <c r="F98" s="159"/>
      <c r="G98" s="159" t="s">
        <v>1950</v>
      </c>
      <c r="H98" s="159"/>
      <c r="I98" s="159"/>
      <c r="J98" s="159"/>
      <c r="K98" s="159"/>
      <c r="L98" s="159" t="s">
        <v>1951</v>
      </c>
      <c r="M98" s="159"/>
      <c r="N98" s="159"/>
      <c r="O98" s="159" t="s">
        <v>1599</v>
      </c>
      <c r="P98" s="159"/>
      <c r="Q98" s="159"/>
      <c r="R98" s="193"/>
      <c r="S98" s="193"/>
      <c r="T98" s="193"/>
      <c r="U98" s="159" t="s">
        <v>1952</v>
      </c>
      <c r="V98" s="194">
        <v>800</v>
      </c>
      <c r="W98" s="159"/>
      <c r="X98" s="159"/>
      <c r="Y98" s="159"/>
      <c r="Z98" s="159"/>
      <c r="AA98" s="159"/>
      <c r="AB98" s="159"/>
    </row>
    <row r="99" spans="1:28" s="170" customFormat="1" ht="60">
      <c r="A99" s="117"/>
      <c r="B99" s="117"/>
      <c r="C99" s="166">
        <v>44110</v>
      </c>
      <c r="D99" s="117" t="s">
        <v>1103</v>
      </c>
      <c r="E99" s="117" t="s">
        <v>1738</v>
      </c>
      <c r="F99" s="117"/>
      <c r="G99" s="117" t="s">
        <v>1720</v>
      </c>
      <c r="H99" s="117"/>
      <c r="I99" s="117"/>
      <c r="J99" s="117"/>
      <c r="K99" s="117"/>
      <c r="L99" s="117" t="s">
        <v>1953</v>
      </c>
      <c r="M99" s="117"/>
      <c r="N99" s="117"/>
      <c r="O99" s="117" t="s">
        <v>1954</v>
      </c>
      <c r="P99" s="117"/>
      <c r="Q99" s="117" t="s">
        <v>1955</v>
      </c>
      <c r="R99" s="203">
        <f>400+310</f>
        <v>710</v>
      </c>
      <c r="S99" s="203"/>
      <c r="T99" s="203">
        <f>V99-R99</f>
        <v>690</v>
      </c>
      <c r="U99" s="117" t="s">
        <v>1956</v>
      </c>
      <c r="V99" s="204">
        <v>1400</v>
      </c>
      <c r="W99" s="117" t="s">
        <v>1957</v>
      </c>
      <c r="X99" s="117"/>
      <c r="Y99" s="117"/>
      <c r="Z99" s="117"/>
      <c r="AA99" s="117"/>
      <c r="AB99" s="117"/>
    </row>
    <row r="100" spans="1:28" s="123" customFormat="1" ht="15">
      <c r="A100" s="170"/>
      <c r="B100" s="170"/>
      <c r="C100" s="182">
        <v>44110</v>
      </c>
      <c r="D100" s="170" t="s">
        <v>1103</v>
      </c>
      <c r="E100" s="170" t="s">
        <v>1958</v>
      </c>
      <c r="F100" s="170"/>
      <c r="G100" s="170" t="s">
        <v>1959</v>
      </c>
      <c r="H100" s="170"/>
      <c r="I100" s="170"/>
      <c r="J100" s="170"/>
      <c r="K100" s="170"/>
      <c r="L100" s="170"/>
      <c r="M100" s="170" t="s">
        <v>1018</v>
      </c>
      <c r="N100" s="170" t="s">
        <v>1960</v>
      </c>
      <c r="O100" s="170" t="s">
        <v>1008</v>
      </c>
      <c r="P100" s="170"/>
      <c r="Q100" s="170"/>
      <c r="R100" s="186"/>
      <c r="S100" s="186"/>
      <c r="T100" s="186"/>
      <c r="U100" s="170"/>
      <c r="V100" s="190">
        <v>600</v>
      </c>
      <c r="W100" s="170" t="s">
        <v>1961</v>
      </c>
      <c r="X100" s="170"/>
      <c r="Y100" s="208" t="s">
        <v>1695</v>
      </c>
      <c r="Z100" s="170"/>
      <c r="AA100" s="170"/>
      <c r="AB100" s="170"/>
    </row>
    <row r="101" spans="1:28" s="114" customFormat="1" ht="135">
      <c r="C101" s="161">
        <v>44110</v>
      </c>
      <c r="D101" s="114" t="s">
        <v>1103</v>
      </c>
      <c r="E101" s="114" t="s">
        <v>2182</v>
      </c>
      <c r="G101" s="114" t="s">
        <v>1699</v>
      </c>
      <c r="L101" s="114" t="s">
        <v>2183</v>
      </c>
      <c r="M101" s="114" t="s">
        <v>936</v>
      </c>
      <c r="O101" s="114" t="s">
        <v>1620</v>
      </c>
      <c r="R101" s="201"/>
      <c r="S101" s="201"/>
      <c r="T101" s="201"/>
      <c r="U101" s="114" t="s">
        <v>1962</v>
      </c>
      <c r="V101" s="202">
        <v>1500</v>
      </c>
      <c r="W101" s="114" t="s">
        <v>1963</v>
      </c>
    </row>
    <row r="102" spans="1:28" s="170" customFormat="1" ht="45">
      <c r="C102" s="182">
        <v>44112</v>
      </c>
      <c r="D102" s="170" t="s">
        <v>1103</v>
      </c>
      <c r="E102" s="170" t="s">
        <v>1147</v>
      </c>
      <c r="G102" s="170" t="s">
        <v>1964</v>
      </c>
      <c r="L102" s="170" t="s">
        <v>1965</v>
      </c>
      <c r="M102" s="170" t="s">
        <v>1576</v>
      </c>
      <c r="N102" s="170" t="s">
        <v>1966</v>
      </c>
      <c r="O102" s="170" t="s">
        <v>1008</v>
      </c>
      <c r="R102" s="186"/>
      <c r="S102" s="186"/>
      <c r="T102" s="186"/>
    </row>
    <row r="103" spans="1:28" s="159" customFormat="1" ht="30">
      <c r="A103" s="170"/>
      <c r="B103" s="170"/>
      <c r="C103" s="182">
        <v>44113</v>
      </c>
      <c r="D103" s="170" t="s">
        <v>1103</v>
      </c>
      <c r="E103" s="170" t="s">
        <v>1791</v>
      </c>
      <c r="F103" s="170"/>
      <c r="G103" s="170" t="s">
        <v>1131</v>
      </c>
      <c r="H103" s="170"/>
      <c r="I103" s="170"/>
      <c r="J103" s="170"/>
      <c r="K103" s="170"/>
      <c r="L103" s="170" t="s">
        <v>2030</v>
      </c>
      <c r="M103" s="170" t="s">
        <v>936</v>
      </c>
      <c r="N103" s="170"/>
      <c r="O103" s="170" t="s">
        <v>1008</v>
      </c>
      <c r="P103" s="170"/>
      <c r="Q103" s="170" t="s">
        <v>2031</v>
      </c>
      <c r="R103" s="186">
        <v>100</v>
      </c>
      <c r="S103" s="186"/>
      <c r="T103" s="186"/>
      <c r="U103" s="170"/>
      <c r="V103" s="170" t="s">
        <v>1868</v>
      </c>
      <c r="W103" s="170"/>
      <c r="X103" s="170"/>
      <c r="Y103" s="170"/>
      <c r="Z103" s="170"/>
      <c r="AA103" s="170"/>
      <c r="AB103" s="170"/>
    </row>
    <row r="104" spans="1:28" s="159" customFormat="1" ht="42">
      <c r="A104" s="110"/>
      <c r="B104" s="110"/>
      <c r="C104" s="111">
        <v>44116</v>
      </c>
      <c r="D104" s="110" t="s">
        <v>1068</v>
      </c>
      <c r="E104" s="110" t="s">
        <v>1607</v>
      </c>
      <c r="F104" s="110"/>
      <c r="G104" s="110" t="s">
        <v>1627</v>
      </c>
      <c r="H104" s="110"/>
      <c r="I104" s="110"/>
      <c r="J104" s="110"/>
      <c r="K104" s="110"/>
      <c r="L104" s="110" t="s">
        <v>1376</v>
      </c>
      <c r="M104" s="110"/>
      <c r="N104" s="110" t="s">
        <v>1607</v>
      </c>
      <c r="O104" s="110" t="s">
        <v>1702</v>
      </c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</row>
    <row r="105" spans="1:28" s="123" customFormat="1" ht="42">
      <c r="A105" s="86"/>
      <c r="B105" s="86"/>
      <c r="C105" s="87">
        <v>44116</v>
      </c>
      <c r="D105" s="86" t="s">
        <v>1629</v>
      </c>
      <c r="E105" s="86" t="s">
        <v>1630</v>
      </c>
      <c r="F105" s="86"/>
      <c r="G105" s="86" t="s">
        <v>1634</v>
      </c>
      <c r="H105" s="86"/>
      <c r="I105" s="86"/>
      <c r="J105" s="86"/>
      <c r="K105" s="86"/>
      <c r="L105" s="86" t="s">
        <v>1632</v>
      </c>
      <c r="M105" s="86"/>
      <c r="N105" s="86" t="s">
        <v>1967</v>
      </c>
      <c r="O105" s="86" t="s">
        <v>1445</v>
      </c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</row>
    <row r="106" spans="1:28" s="123" customFormat="1" ht="42">
      <c r="A106" s="86"/>
      <c r="B106" s="86"/>
      <c r="C106" s="87">
        <v>44116</v>
      </c>
      <c r="D106" s="86" t="s">
        <v>1160</v>
      </c>
      <c r="E106" s="86" t="s">
        <v>1371</v>
      </c>
      <c r="F106" s="86"/>
      <c r="G106" s="86" t="s">
        <v>1636</v>
      </c>
      <c r="H106" s="86"/>
      <c r="I106" s="86"/>
      <c r="J106" s="86"/>
      <c r="K106" s="86"/>
      <c r="L106" s="86" t="s">
        <v>1613</v>
      </c>
      <c r="M106" s="86"/>
      <c r="N106" s="86" t="s">
        <v>1371</v>
      </c>
      <c r="O106" s="86" t="s">
        <v>1380</v>
      </c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</row>
    <row r="107" spans="1:28" s="159" customFormat="1" ht="60">
      <c r="A107" s="170"/>
      <c r="B107" s="170"/>
      <c r="C107" s="182">
        <v>44116</v>
      </c>
      <c r="D107" s="170" t="s">
        <v>1606</v>
      </c>
      <c r="E107" s="170" t="s">
        <v>1738</v>
      </c>
      <c r="F107" s="170"/>
      <c r="G107" s="170" t="s">
        <v>1968</v>
      </c>
      <c r="H107" s="170"/>
      <c r="I107" s="170" t="s">
        <v>1969</v>
      </c>
      <c r="J107" s="170"/>
      <c r="K107" s="170"/>
      <c r="L107" s="170" t="s">
        <v>1970</v>
      </c>
      <c r="M107" s="170" t="s">
        <v>936</v>
      </c>
      <c r="N107" s="170" t="s">
        <v>1686</v>
      </c>
      <c r="O107" s="170" t="s">
        <v>1008</v>
      </c>
      <c r="P107" s="182">
        <v>44117</v>
      </c>
      <c r="Q107" s="170" t="s">
        <v>1697</v>
      </c>
      <c r="R107" s="186">
        <v>210</v>
      </c>
      <c r="S107" s="186"/>
      <c r="T107" s="186"/>
      <c r="U107" s="170" t="s">
        <v>1971</v>
      </c>
      <c r="V107" s="190">
        <v>3200</v>
      </c>
      <c r="W107" s="190" t="s">
        <v>1742</v>
      </c>
      <c r="X107" s="182">
        <v>43865</v>
      </c>
      <c r="Y107" s="170" t="s">
        <v>1972</v>
      </c>
      <c r="Z107" s="170"/>
      <c r="AA107" s="170"/>
      <c r="AB107" s="170"/>
    </row>
    <row r="108" spans="1:28" s="110" customFormat="1" ht="60">
      <c r="A108" s="123"/>
      <c r="B108" s="123"/>
      <c r="C108" s="163">
        <v>44116</v>
      </c>
      <c r="D108" s="123" t="s">
        <v>1606</v>
      </c>
      <c r="E108" s="123" t="s">
        <v>1738</v>
      </c>
      <c r="F108" s="123"/>
      <c r="G108" s="123" t="s">
        <v>699</v>
      </c>
      <c r="H108" s="123"/>
      <c r="I108" s="123" t="s">
        <v>1704</v>
      </c>
      <c r="J108" s="123"/>
      <c r="K108" s="123"/>
      <c r="L108" s="123" t="s">
        <v>1973</v>
      </c>
      <c r="M108" s="123"/>
      <c r="N108" s="123" t="s">
        <v>1686</v>
      </c>
      <c r="O108" s="123" t="s">
        <v>1380</v>
      </c>
      <c r="P108" s="123"/>
      <c r="Q108" s="123"/>
      <c r="R108" s="188"/>
      <c r="S108" s="188"/>
      <c r="T108" s="188"/>
      <c r="U108" s="123"/>
      <c r="V108" s="123"/>
      <c r="W108" s="123"/>
      <c r="X108" s="123"/>
      <c r="Y108" s="123"/>
      <c r="Z108" s="123"/>
      <c r="AA108" s="123"/>
      <c r="AB108" s="123"/>
    </row>
    <row r="109" spans="1:28" s="86" customFormat="1" ht="112">
      <c r="C109" s="87">
        <v>44116</v>
      </c>
      <c r="D109" s="86" t="s">
        <v>1160</v>
      </c>
      <c r="E109" s="86" t="s">
        <v>1630</v>
      </c>
      <c r="G109" s="86" t="s">
        <v>1631</v>
      </c>
      <c r="L109" s="86" t="s">
        <v>1632</v>
      </c>
      <c r="N109" s="86" t="s">
        <v>1633</v>
      </c>
      <c r="O109" s="86" t="s">
        <v>1380</v>
      </c>
    </row>
    <row r="110" spans="1:28" s="110" customFormat="1" ht="42">
      <c r="A110" s="86"/>
      <c r="B110" s="86"/>
      <c r="C110" s="87">
        <v>44116</v>
      </c>
      <c r="D110" s="86" t="s">
        <v>1160</v>
      </c>
      <c r="E110" s="86" t="s">
        <v>1362</v>
      </c>
      <c r="F110" s="86"/>
      <c r="G110" s="86" t="s">
        <v>1638</v>
      </c>
      <c r="H110" s="86"/>
      <c r="I110" s="86"/>
      <c r="J110" s="86"/>
      <c r="K110" s="86"/>
      <c r="L110" s="86" t="s">
        <v>1613</v>
      </c>
      <c r="M110" s="86"/>
      <c r="N110" s="86" t="s">
        <v>1639</v>
      </c>
      <c r="O110" s="86" t="s">
        <v>1380</v>
      </c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</row>
    <row r="111" spans="1:28" s="110" customFormat="1" ht="60">
      <c r="A111" s="159"/>
      <c r="B111" s="159"/>
      <c r="C111" s="192">
        <v>44116</v>
      </c>
      <c r="D111" s="159" t="s">
        <v>1974</v>
      </c>
      <c r="E111" s="159" t="s">
        <v>1923</v>
      </c>
      <c r="F111" s="159"/>
      <c r="G111" s="159" t="s">
        <v>1975</v>
      </c>
      <c r="H111" s="159"/>
      <c r="I111" s="159"/>
      <c r="J111" s="159"/>
      <c r="K111" s="159"/>
      <c r="L111" s="159" t="s">
        <v>1976</v>
      </c>
      <c r="M111" s="159" t="s">
        <v>1576</v>
      </c>
      <c r="N111" s="159"/>
      <c r="O111" s="159" t="s">
        <v>1977</v>
      </c>
      <c r="P111" s="159"/>
      <c r="Q111" s="159"/>
      <c r="R111" s="193"/>
      <c r="S111" s="193"/>
      <c r="T111" s="193"/>
      <c r="U111" s="159"/>
      <c r="V111" s="159"/>
      <c r="W111" s="159"/>
      <c r="X111" s="159"/>
      <c r="Y111" s="159"/>
      <c r="Z111" s="159"/>
      <c r="AA111" s="159"/>
      <c r="AB111" s="159"/>
    </row>
    <row r="112" spans="1:28" s="86" customFormat="1" ht="30">
      <c r="A112" s="170"/>
      <c r="B112" s="170"/>
      <c r="C112" s="182">
        <v>44117</v>
      </c>
      <c r="D112" s="170" t="s">
        <v>1108</v>
      </c>
      <c r="E112" s="170" t="s">
        <v>1757</v>
      </c>
      <c r="F112" s="170"/>
      <c r="G112" s="170" t="s">
        <v>1978</v>
      </c>
      <c r="H112" s="170"/>
      <c r="I112" s="170" t="s">
        <v>2198</v>
      </c>
      <c r="J112" s="170"/>
      <c r="K112" s="170"/>
      <c r="L112" s="170" t="s">
        <v>1979</v>
      </c>
      <c r="M112" s="170" t="s">
        <v>936</v>
      </c>
      <c r="N112" s="170"/>
      <c r="O112" s="170" t="s">
        <v>1008</v>
      </c>
      <c r="P112" s="182">
        <v>44118</v>
      </c>
      <c r="Q112" s="170" t="s">
        <v>1980</v>
      </c>
      <c r="R112" s="186"/>
      <c r="S112" s="186"/>
      <c r="T112" s="186"/>
      <c r="U112" s="170"/>
      <c r="V112" s="190">
        <v>900</v>
      </c>
      <c r="W112" s="170" t="s">
        <v>1981</v>
      </c>
      <c r="X112" s="170"/>
      <c r="Y112" s="170"/>
      <c r="Z112" s="170"/>
      <c r="AA112" s="170"/>
      <c r="AB112" s="170"/>
    </row>
    <row r="113" spans="1:28" s="114" customFormat="1" ht="45">
      <c r="C113" s="161">
        <v>44117</v>
      </c>
      <c r="D113" s="114" t="s">
        <v>1068</v>
      </c>
      <c r="E113" s="114" t="s">
        <v>1607</v>
      </c>
      <c r="G113" s="114" t="s">
        <v>1645</v>
      </c>
      <c r="L113" s="114" t="s">
        <v>1982</v>
      </c>
      <c r="M113" s="114" t="s">
        <v>1376</v>
      </c>
      <c r="O113" s="114" t="s">
        <v>1702</v>
      </c>
      <c r="R113" s="201"/>
      <c r="S113" s="201"/>
      <c r="T113" s="201"/>
    </row>
    <row r="114" spans="1:28" s="170" customFormat="1" ht="30">
      <c r="C114" s="182">
        <v>44117</v>
      </c>
      <c r="D114" s="170" t="s">
        <v>1108</v>
      </c>
      <c r="E114" s="170" t="s">
        <v>1757</v>
      </c>
      <c r="G114" s="210" t="s">
        <v>1228</v>
      </c>
      <c r="I114" s="170" t="s">
        <v>2198</v>
      </c>
      <c r="L114" s="170" t="s">
        <v>1983</v>
      </c>
      <c r="M114" s="170" t="s">
        <v>936</v>
      </c>
      <c r="O114" s="170" t="s">
        <v>1008</v>
      </c>
      <c r="P114" s="182">
        <v>44118</v>
      </c>
      <c r="Q114" s="170" t="s">
        <v>1980</v>
      </c>
      <c r="R114" s="186"/>
      <c r="S114" s="186"/>
      <c r="T114" s="186"/>
      <c r="V114" s="190">
        <v>900</v>
      </c>
      <c r="W114" s="170" t="s">
        <v>1981</v>
      </c>
    </row>
    <row r="115" spans="1:28" s="170" customFormat="1" ht="30">
      <c r="C115" s="182">
        <v>44117</v>
      </c>
      <c r="D115" s="170" t="s">
        <v>1108</v>
      </c>
      <c r="E115" s="170" t="s">
        <v>1757</v>
      </c>
      <c r="G115" s="210" t="s">
        <v>1231</v>
      </c>
      <c r="I115" s="170" t="s">
        <v>2198</v>
      </c>
      <c r="L115" s="170" t="s">
        <v>1983</v>
      </c>
      <c r="M115" s="170" t="s">
        <v>936</v>
      </c>
      <c r="O115" s="170" t="s">
        <v>1008</v>
      </c>
      <c r="P115" s="182">
        <v>44118</v>
      </c>
      <c r="Q115" s="170" t="s">
        <v>1980</v>
      </c>
      <c r="R115" s="186"/>
      <c r="S115" s="186"/>
      <c r="T115" s="186"/>
      <c r="V115" s="190">
        <v>900</v>
      </c>
      <c r="W115" s="170" t="s">
        <v>1981</v>
      </c>
    </row>
    <row r="116" spans="1:28" s="114" customFormat="1" ht="30">
      <c r="A116" s="170"/>
      <c r="B116" s="170"/>
      <c r="C116" s="182">
        <v>44117</v>
      </c>
      <c r="D116" s="170" t="s">
        <v>1108</v>
      </c>
      <c r="E116" s="170" t="s">
        <v>1757</v>
      </c>
      <c r="F116" s="170"/>
      <c r="G116" s="210" t="s">
        <v>1110</v>
      </c>
      <c r="H116" s="170"/>
      <c r="I116" s="170" t="s">
        <v>2198</v>
      </c>
      <c r="J116" s="170"/>
      <c r="K116" s="170"/>
      <c r="L116" s="170" t="s">
        <v>1983</v>
      </c>
      <c r="M116" s="170" t="s">
        <v>936</v>
      </c>
      <c r="N116" s="170"/>
      <c r="O116" s="170" t="s">
        <v>1008</v>
      </c>
      <c r="P116" s="182">
        <v>44120</v>
      </c>
      <c r="Q116" s="170" t="s">
        <v>1980</v>
      </c>
      <c r="R116" s="186"/>
      <c r="S116" s="186"/>
      <c r="T116" s="186"/>
      <c r="U116" s="170"/>
      <c r="V116" s="190">
        <v>900</v>
      </c>
      <c r="W116" s="170" t="s">
        <v>1981</v>
      </c>
      <c r="X116" s="170"/>
      <c r="Y116" s="170"/>
      <c r="Z116" s="170"/>
      <c r="AA116" s="170"/>
      <c r="AB116" s="170"/>
    </row>
    <row r="117" spans="1:28" s="170" customFormat="1" ht="30">
      <c r="C117" s="182">
        <v>44117</v>
      </c>
      <c r="D117" s="170" t="s">
        <v>1108</v>
      </c>
      <c r="E117" s="170" t="s">
        <v>1757</v>
      </c>
      <c r="G117" s="210" t="s">
        <v>1113</v>
      </c>
      <c r="I117" s="170" t="s">
        <v>2198</v>
      </c>
      <c r="L117" s="170" t="s">
        <v>1983</v>
      </c>
      <c r="M117" s="170" t="s">
        <v>936</v>
      </c>
      <c r="O117" s="170" t="s">
        <v>1008</v>
      </c>
      <c r="P117" s="182">
        <v>44120</v>
      </c>
      <c r="Q117" s="170" t="s">
        <v>1980</v>
      </c>
      <c r="R117" s="186"/>
      <c r="S117" s="186"/>
      <c r="T117" s="186"/>
      <c r="V117" s="190">
        <v>900</v>
      </c>
      <c r="W117" s="170" t="s">
        <v>1981</v>
      </c>
    </row>
    <row r="118" spans="1:28" s="170" customFormat="1" ht="30">
      <c r="C118" s="182">
        <v>44117</v>
      </c>
      <c r="D118" s="170" t="s">
        <v>1108</v>
      </c>
      <c r="E118" s="170" t="s">
        <v>1757</v>
      </c>
      <c r="G118" s="210" t="s">
        <v>1117</v>
      </c>
      <c r="I118" s="170" t="s">
        <v>2198</v>
      </c>
      <c r="L118" s="170" t="s">
        <v>1983</v>
      </c>
      <c r="M118" s="170" t="s">
        <v>936</v>
      </c>
      <c r="O118" s="170" t="s">
        <v>1008</v>
      </c>
      <c r="P118" s="182">
        <v>44120</v>
      </c>
      <c r="Q118" s="170" t="s">
        <v>1980</v>
      </c>
      <c r="R118" s="186"/>
      <c r="S118" s="186"/>
      <c r="T118" s="186"/>
      <c r="V118" s="190">
        <v>900</v>
      </c>
      <c r="W118" s="170" t="s">
        <v>1981</v>
      </c>
    </row>
    <row r="119" spans="1:28" s="170" customFormat="1" ht="45">
      <c r="C119" s="182">
        <v>44117</v>
      </c>
      <c r="D119" s="170" t="s">
        <v>1103</v>
      </c>
      <c r="E119" s="170" t="s">
        <v>1757</v>
      </c>
      <c r="G119" s="170" t="s">
        <v>1105</v>
      </c>
      <c r="L119" s="170" t="s">
        <v>1984</v>
      </c>
      <c r="M119" s="170" t="s">
        <v>936</v>
      </c>
      <c r="O119" s="170" t="s">
        <v>1008</v>
      </c>
      <c r="P119" s="182">
        <v>44118</v>
      </c>
      <c r="Q119" s="170" t="s">
        <v>1807</v>
      </c>
      <c r="R119" s="186"/>
      <c r="S119" s="186"/>
      <c r="T119" s="186"/>
      <c r="U119" s="170" t="s">
        <v>1985</v>
      </c>
      <c r="V119" s="190">
        <v>850</v>
      </c>
      <c r="W119" s="170" t="s">
        <v>1986</v>
      </c>
      <c r="X119" s="182">
        <v>44117</v>
      </c>
    </row>
    <row r="120" spans="1:28" s="170" customFormat="1" ht="30">
      <c r="C120" s="182">
        <v>44123</v>
      </c>
      <c r="D120" s="170" t="s">
        <v>1606</v>
      </c>
      <c r="E120" s="170" t="s">
        <v>1987</v>
      </c>
      <c r="G120" s="170" t="s">
        <v>1798</v>
      </c>
      <c r="L120" s="170" t="s">
        <v>1988</v>
      </c>
      <c r="M120" s="170" t="s">
        <v>1576</v>
      </c>
      <c r="N120" s="170" t="s">
        <v>1989</v>
      </c>
      <c r="O120" s="170" t="s">
        <v>1008</v>
      </c>
      <c r="P120" s="182">
        <v>44123</v>
      </c>
      <c r="R120" s="186"/>
      <c r="S120" s="186"/>
      <c r="T120" s="186"/>
      <c r="V120" s="190"/>
    </row>
    <row r="121" spans="1:28" s="170" customFormat="1" ht="30">
      <c r="C121" s="182">
        <v>44124</v>
      </c>
      <c r="D121" s="170" t="s">
        <v>971</v>
      </c>
      <c r="E121" s="170" t="s">
        <v>1990</v>
      </c>
      <c r="G121" s="170" t="s">
        <v>973</v>
      </c>
      <c r="L121" s="170" t="s">
        <v>1991</v>
      </c>
      <c r="M121" s="170" t="s">
        <v>936</v>
      </c>
      <c r="O121" s="170" t="s">
        <v>1008</v>
      </c>
      <c r="P121" s="182">
        <v>44127</v>
      </c>
      <c r="Q121" s="170" t="s">
        <v>1992</v>
      </c>
      <c r="R121" s="186"/>
      <c r="S121" s="186"/>
      <c r="T121" s="186"/>
      <c r="V121" s="190">
        <v>1200</v>
      </c>
      <c r="W121" s="170" t="s">
        <v>1993</v>
      </c>
    </row>
    <row r="122" spans="1:28" s="170" customFormat="1" ht="75">
      <c r="C122" s="182">
        <v>44124</v>
      </c>
      <c r="D122" s="170" t="s">
        <v>1103</v>
      </c>
      <c r="E122" s="170" t="s">
        <v>1738</v>
      </c>
      <c r="G122" s="170" t="s">
        <v>1994</v>
      </c>
      <c r="L122" s="170" t="s">
        <v>1995</v>
      </c>
      <c r="M122" s="170" t="s">
        <v>936</v>
      </c>
      <c r="O122" s="170" t="s">
        <v>1008</v>
      </c>
      <c r="P122" s="182">
        <v>44127</v>
      </c>
      <c r="Q122" s="170" t="s">
        <v>1885</v>
      </c>
      <c r="R122" s="186"/>
      <c r="S122" s="186"/>
      <c r="T122" s="186"/>
      <c r="V122" s="190">
        <v>2200</v>
      </c>
      <c r="W122" s="170" t="s">
        <v>1996</v>
      </c>
      <c r="X122" s="182">
        <v>44124</v>
      </c>
    </row>
    <row r="123" spans="1:28" s="114" customFormat="1" ht="75">
      <c r="A123" s="117"/>
      <c r="B123" s="117"/>
      <c r="C123" s="166">
        <v>44124</v>
      </c>
      <c r="D123" s="117" t="s">
        <v>1103</v>
      </c>
      <c r="E123" s="117" t="s">
        <v>1738</v>
      </c>
      <c r="F123" s="117"/>
      <c r="G123" s="117" t="s">
        <v>1703</v>
      </c>
      <c r="H123" s="117"/>
      <c r="I123" s="117"/>
      <c r="J123" s="117"/>
      <c r="K123" s="117"/>
      <c r="L123" s="117" t="s">
        <v>2211</v>
      </c>
      <c r="M123" s="117"/>
      <c r="N123" s="117"/>
      <c r="O123" s="117"/>
      <c r="P123" s="117"/>
      <c r="Q123" s="117"/>
      <c r="R123" s="203"/>
      <c r="S123" s="203"/>
      <c r="T123" s="203"/>
      <c r="U123" s="117"/>
      <c r="V123" s="204">
        <v>3200</v>
      </c>
      <c r="W123" s="117" t="s">
        <v>1997</v>
      </c>
      <c r="X123" s="117"/>
      <c r="Y123" s="117"/>
      <c r="Z123" s="117"/>
      <c r="AA123" s="117"/>
      <c r="AB123" s="117"/>
    </row>
    <row r="124" spans="1:28" s="114" customFormat="1" ht="30">
      <c r="A124" s="159"/>
      <c r="B124" s="159"/>
      <c r="C124" s="192">
        <v>44124</v>
      </c>
      <c r="D124" s="159" t="s">
        <v>1103</v>
      </c>
      <c r="E124" s="159" t="s">
        <v>1738</v>
      </c>
      <c r="F124" s="159"/>
      <c r="G124" s="165" t="s">
        <v>945</v>
      </c>
      <c r="H124" s="159"/>
      <c r="I124" s="159"/>
      <c r="J124" s="159"/>
      <c r="K124" s="159"/>
      <c r="L124" s="159" t="s">
        <v>1998</v>
      </c>
      <c r="M124" s="159"/>
      <c r="N124" s="159"/>
      <c r="O124" s="159" t="s">
        <v>1599</v>
      </c>
      <c r="P124" s="159"/>
      <c r="Q124" s="159"/>
      <c r="R124" s="193"/>
      <c r="S124" s="193"/>
      <c r="T124" s="193"/>
      <c r="U124" s="159"/>
      <c r="V124" s="159"/>
      <c r="W124" s="159"/>
      <c r="X124" s="159"/>
      <c r="Y124" s="159"/>
      <c r="Z124" s="159"/>
      <c r="AA124" s="159"/>
      <c r="AB124" s="159"/>
    </row>
    <row r="125" spans="1:28" s="117" customFormat="1" ht="30">
      <c r="C125" s="166">
        <v>44124</v>
      </c>
      <c r="D125" s="117" t="s">
        <v>1103</v>
      </c>
      <c r="E125" s="117" t="s">
        <v>1738</v>
      </c>
      <c r="G125" s="117" t="s">
        <v>940</v>
      </c>
      <c r="L125" s="117" t="s">
        <v>1999</v>
      </c>
      <c r="O125" s="117" t="s">
        <v>1620</v>
      </c>
      <c r="R125" s="203"/>
      <c r="S125" s="203"/>
      <c r="T125" s="203"/>
      <c r="V125" s="204">
        <v>2200</v>
      </c>
      <c r="W125" s="117" t="s">
        <v>2000</v>
      </c>
    </row>
    <row r="126" spans="1:28" s="117" customFormat="1" ht="45">
      <c r="A126" s="123"/>
      <c r="B126" s="123"/>
      <c r="C126" s="163">
        <v>44124</v>
      </c>
      <c r="D126" s="123" t="s">
        <v>1103</v>
      </c>
      <c r="E126" s="123" t="s">
        <v>1738</v>
      </c>
      <c r="F126" s="123"/>
      <c r="G126" s="123" t="s">
        <v>1219</v>
      </c>
      <c r="H126" s="123"/>
      <c r="I126" s="123"/>
      <c r="J126" s="123"/>
      <c r="K126" s="123"/>
      <c r="L126" s="123" t="s">
        <v>2001</v>
      </c>
      <c r="M126" s="123"/>
      <c r="N126" s="123"/>
      <c r="O126" s="123" t="s">
        <v>1380</v>
      </c>
      <c r="P126" s="123"/>
      <c r="Q126" s="123"/>
      <c r="R126" s="188"/>
      <c r="S126" s="188"/>
      <c r="T126" s="188"/>
      <c r="U126" s="123"/>
      <c r="V126" s="205">
        <v>2100</v>
      </c>
      <c r="W126" s="123" t="s">
        <v>2002</v>
      </c>
      <c r="X126" s="123"/>
      <c r="Y126" s="123"/>
      <c r="Z126" s="123"/>
      <c r="AA126" s="123"/>
      <c r="AB126" s="123"/>
    </row>
    <row r="127" spans="1:28" s="117" customFormat="1" ht="45">
      <c r="C127" s="166">
        <v>44124</v>
      </c>
      <c r="D127" s="117" t="s">
        <v>1103</v>
      </c>
      <c r="E127" s="117" t="s">
        <v>1738</v>
      </c>
      <c r="G127" s="117" t="s">
        <v>1691</v>
      </c>
      <c r="L127" s="117" t="s">
        <v>2003</v>
      </c>
      <c r="O127" s="117" t="s">
        <v>1620</v>
      </c>
      <c r="R127" s="203"/>
      <c r="S127" s="203"/>
      <c r="T127" s="203"/>
      <c r="V127" s="204">
        <v>900</v>
      </c>
      <c r="W127" s="117" t="s">
        <v>2004</v>
      </c>
    </row>
    <row r="128" spans="1:28" s="170" customFormat="1" ht="75">
      <c r="C128" s="182">
        <v>44124</v>
      </c>
      <c r="D128" s="170" t="s">
        <v>1103</v>
      </c>
      <c r="E128" s="170" t="s">
        <v>1738</v>
      </c>
      <c r="G128" s="170" t="s">
        <v>2005</v>
      </c>
      <c r="L128" s="170" t="s">
        <v>2006</v>
      </c>
      <c r="M128" s="170" t="s">
        <v>936</v>
      </c>
      <c r="O128" s="170" t="s">
        <v>1008</v>
      </c>
      <c r="R128" s="186"/>
      <c r="S128" s="186"/>
      <c r="T128" s="186"/>
      <c r="U128" s="170" t="s">
        <v>2007</v>
      </c>
      <c r="V128" s="190">
        <v>800</v>
      </c>
      <c r="W128" s="170" t="s">
        <v>2008</v>
      </c>
      <c r="X128" s="170" t="s">
        <v>2009</v>
      </c>
    </row>
    <row r="129" spans="1:28" s="117" customFormat="1" ht="60">
      <c r="C129" s="166">
        <v>44125</v>
      </c>
      <c r="D129" s="117" t="s">
        <v>1103</v>
      </c>
      <c r="E129" s="117" t="s">
        <v>1738</v>
      </c>
      <c r="G129" s="117" t="s">
        <v>1271</v>
      </c>
      <c r="L129" s="117" t="s">
        <v>2164</v>
      </c>
      <c r="M129" s="117" t="s">
        <v>936</v>
      </c>
      <c r="O129" s="117" t="s">
        <v>1620</v>
      </c>
      <c r="R129" s="203"/>
      <c r="S129" s="203"/>
      <c r="T129" s="203"/>
      <c r="U129" s="117" t="s">
        <v>2010</v>
      </c>
      <c r="V129" s="204">
        <v>900</v>
      </c>
      <c r="W129" s="117" t="s">
        <v>2004</v>
      </c>
    </row>
    <row r="130" spans="1:28" s="170" customFormat="1" ht="30">
      <c r="C130" s="182">
        <v>44125</v>
      </c>
      <c r="D130" s="170" t="s">
        <v>894</v>
      </c>
      <c r="E130" s="170" t="s">
        <v>1791</v>
      </c>
      <c r="G130" s="170" t="s">
        <v>2011</v>
      </c>
      <c r="L130" s="170" t="s">
        <v>2012</v>
      </c>
      <c r="O130" s="170" t="s">
        <v>1008</v>
      </c>
      <c r="R130" s="186"/>
      <c r="S130" s="186"/>
      <c r="T130" s="186"/>
      <c r="U130" s="170" t="s">
        <v>2013</v>
      </c>
      <c r="V130" s="190">
        <v>120</v>
      </c>
      <c r="W130" s="170" t="s">
        <v>2014</v>
      </c>
    </row>
    <row r="131" spans="1:28" s="170" customFormat="1" ht="15">
      <c r="C131" s="182">
        <v>44126</v>
      </c>
      <c r="D131" s="170" t="s">
        <v>1606</v>
      </c>
      <c r="E131" s="170" t="s">
        <v>1147</v>
      </c>
      <c r="G131" s="170" t="s">
        <v>1822</v>
      </c>
      <c r="L131" s="170" t="s">
        <v>2015</v>
      </c>
      <c r="O131" s="170" t="s">
        <v>1008</v>
      </c>
      <c r="R131" s="186"/>
      <c r="S131" s="186"/>
      <c r="T131" s="186"/>
    </row>
    <row r="132" spans="1:28" s="170" customFormat="1" ht="15">
      <c r="C132" s="182">
        <v>44126</v>
      </c>
      <c r="D132" s="170" t="s">
        <v>1606</v>
      </c>
      <c r="E132" s="170" t="s">
        <v>1147</v>
      </c>
      <c r="G132" s="170" t="s">
        <v>1816</v>
      </c>
      <c r="L132" s="170" t="s">
        <v>2015</v>
      </c>
      <c r="O132" s="170" t="s">
        <v>1008</v>
      </c>
      <c r="R132" s="186"/>
      <c r="S132" s="186"/>
      <c r="T132" s="186"/>
    </row>
    <row r="133" spans="1:28" s="159" customFormat="1" ht="15">
      <c r="A133" s="170"/>
      <c r="B133" s="170"/>
      <c r="C133" s="182">
        <v>44126</v>
      </c>
      <c r="D133" s="170" t="s">
        <v>1606</v>
      </c>
      <c r="E133" s="170" t="s">
        <v>1147</v>
      </c>
      <c r="F133" s="170"/>
      <c r="G133" s="170" t="s">
        <v>1825</v>
      </c>
      <c r="H133" s="170"/>
      <c r="I133" s="170"/>
      <c r="J133" s="170"/>
      <c r="K133" s="170"/>
      <c r="L133" s="170" t="s">
        <v>2015</v>
      </c>
      <c r="M133" s="170"/>
      <c r="N133" s="170"/>
      <c r="O133" s="170" t="s">
        <v>1008</v>
      </c>
      <c r="P133" s="170"/>
      <c r="Q133" s="170"/>
      <c r="R133" s="186"/>
      <c r="S133" s="186"/>
      <c r="T133" s="186"/>
      <c r="U133" s="170"/>
      <c r="V133" s="170"/>
      <c r="W133" s="170"/>
      <c r="X133" s="170"/>
      <c r="Y133" s="170"/>
      <c r="Z133" s="170"/>
      <c r="AA133" s="170"/>
      <c r="AB133" s="170"/>
    </row>
    <row r="134" spans="1:28" s="114" customFormat="1" ht="30">
      <c r="A134" s="117"/>
      <c r="B134" s="117"/>
      <c r="C134" s="166">
        <v>44126</v>
      </c>
      <c r="D134" s="117" t="s">
        <v>1606</v>
      </c>
      <c r="E134" s="117" t="s">
        <v>2016</v>
      </c>
      <c r="F134" s="117"/>
      <c r="G134" s="117" t="s">
        <v>956</v>
      </c>
      <c r="H134" s="117"/>
      <c r="I134" s="117"/>
      <c r="J134" s="117"/>
      <c r="K134" s="117"/>
      <c r="L134" s="117" t="s">
        <v>2017</v>
      </c>
      <c r="M134" s="117" t="s">
        <v>936</v>
      </c>
      <c r="N134" s="117"/>
      <c r="O134" s="117" t="s">
        <v>1740</v>
      </c>
      <c r="P134" s="117"/>
      <c r="Q134" s="117"/>
      <c r="R134" s="203"/>
      <c r="S134" s="203"/>
      <c r="T134" s="203"/>
      <c r="U134" s="117"/>
      <c r="V134" s="117"/>
      <c r="W134" s="117"/>
      <c r="X134" s="117"/>
      <c r="Y134" s="117"/>
      <c r="Z134" s="117"/>
      <c r="AA134" s="117"/>
      <c r="AB134" s="117"/>
    </row>
    <row r="135" spans="1:28" s="159" customFormat="1" ht="30">
      <c r="A135" s="170"/>
      <c r="B135" s="170"/>
      <c r="C135" s="182">
        <v>44131</v>
      </c>
      <c r="D135" s="170" t="s">
        <v>1108</v>
      </c>
      <c r="E135" s="170" t="s">
        <v>1757</v>
      </c>
      <c r="F135" s="170"/>
      <c r="G135" s="223" t="s">
        <v>1234</v>
      </c>
      <c r="H135" s="170"/>
      <c r="I135" s="170" t="s">
        <v>2198</v>
      </c>
      <c r="J135" s="170"/>
      <c r="K135" s="170"/>
      <c r="L135" s="170" t="s">
        <v>1008</v>
      </c>
      <c r="M135" s="170" t="s">
        <v>936</v>
      </c>
      <c r="N135" s="170"/>
      <c r="O135" s="170" t="s">
        <v>1008</v>
      </c>
      <c r="P135" s="182">
        <v>44124</v>
      </c>
      <c r="Q135" s="170" t="s">
        <v>2022</v>
      </c>
      <c r="R135" s="186"/>
      <c r="S135" s="186"/>
      <c r="T135" s="186"/>
      <c r="U135" s="170"/>
      <c r="V135" s="190">
        <v>900</v>
      </c>
      <c r="W135" s="170" t="s">
        <v>1981</v>
      </c>
      <c r="X135" s="170"/>
      <c r="Y135" s="170"/>
      <c r="Z135" s="170"/>
      <c r="AA135" s="170"/>
      <c r="AB135" s="170"/>
    </row>
    <row r="136" spans="1:28" s="117" customFormat="1" ht="30">
      <c r="A136" s="170"/>
      <c r="B136" s="170"/>
      <c r="C136" s="182">
        <v>44131</v>
      </c>
      <c r="D136" s="170" t="s">
        <v>1108</v>
      </c>
      <c r="E136" s="170" t="s">
        <v>1757</v>
      </c>
      <c r="F136" s="170"/>
      <c r="G136" s="223" t="s">
        <v>1237</v>
      </c>
      <c r="H136" s="170"/>
      <c r="I136" s="170" t="s">
        <v>2198</v>
      </c>
      <c r="J136" s="170"/>
      <c r="K136" s="170"/>
      <c r="L136" s="170" t="s">
        <v>1008</v>
      </c>
      <c r="M136" s="170" t="s">
        <v>936</v>
      </c>
      <c r="N136" s="170"/>
      <c r="O136" s="170" t="s">
        <v>1008</v>
      </c>
      <c r="P136" s="182">
        <v>44124</v>
      </c>
      <c r="Q136" s="170" t="s">
        <v>2022</v>
      </c>
      <c r="R136" s="186"/>
      <c r="S136" s="186"/>
      <c r="T136" s="186"/>
      <c r="U136" s="170"/>
      <c r="V136" s="190">
        <v>900</v>
      </c>
      <c r="W136" s="170" t="s">
        <v>1981</v>
      </c>
      <c r="X136" s="170"/>
      <c r="Y136" s="170"/>
      <c r="Z136" s="170"/>
      <c r="AA136" s="170"/>
      <c r="AB136" s="170"/>
    </row>
    <row r="137" spans="1:28" s="170" customFormat="1" ht="30">
      <c r="C137" s="182">
        <v>44131</v>
      </c>
      <c r="D137" s="170" t="s">
        <v>1108</v>
      </c>
      <c r="E137" s="170" t="s">
        <v>1757</v>
      </c>
      <c r="G137" s="223" t="s">
        <v>1240</v>
      </c>
      <c r="I137" s="170" t="s">
        <v>2198</v>
      </c>
      <c r="L137" s="170" t="s">
        <v>1008</v>
      </c>
      <c r="M137" s="170" t="s">
        <v>936</v>
      </c>
      <c r="O137" s="170" t="s">
        <v>1008</v>
      </c>
      <c r="P137" s="182">
        <v>44124</v>
      </c>
      <c r="Q137" s="170" t="s">
        <v>2022</v>
      </c>
      <c r="R137" s="186"/>
      <c r="S137" s="186"/>
      <c r="T137" s="186"/>
      <c r="V137" s="190">
        <v>900</v>
      </c>
      <c r="W137" s="170" t="s">
        <v>1981</v>
      </c>
    </row>
    <row r="138" spans="1:28" s="170" customFormat="1" ht="30">
      <c r="C138" s="182">
        <v>44131</v>
      </c>
      <c r="D138" s="170" t="s">
        <v>1108</v>
      </c>
      <c r="E138" s="170" t="s">
        <v>1757</v>
      </c>
      <c r="G138" s="223" t="s">
        <v>1243</v>
      </c>
      <c r="I138" s="170" t="s">
        <v>2199</v>
      </c>
      <c r="L138" s="170" t="s">
        <v>1008</v>
      </c>
      <c r="M138" s="170" t="s">
        <v>936</v>
      </c>
      <c r="O138" s="170" t="s">
        <v>1008</v>
      </c>
      <c r="P138" s="182">
        <v>44124</v>
      </c>
      <c r="Q138" s="170" t="s">
        <v>2023</v>
      </c>
      <c r="R138" s="186"/>
      <c r="S138" s="186"/>
      <c r="T138" s="186"/>
      <c r="V138" s="190">
        <v>900</v>
      </c>
      <c r="W138" s="170" t="s">
        <v>1981</v>
      </c>
    </row>
    <row r="139" spans="1:28" s="170" customFormat="1" ht="30">
      <c r="C139" s="182">
        <v>44131</v>
      </c>
      <c r="D139" s="170" t="s">
        <v>1108</v>
      </c>
      <c r="E139" s="170" t="s">
        <v>1757</v>
      </c>
      <c r="G139" s="223" t="s">
        <v>1246</v>
      </c>
      <c r="I139" s="170" t="s">
        <v>2199</v>
      </c>
      <c r="L139" s="170" t="s">
        <v>1008</v>
      </c>
      <c r="M139" s="170" t="s">
        <v>936</v>
      </c>
      <c r="O139" s="170" t="s">
        <v>1008</v>
      </c>
      <c r="Q139" s="170" t="s">
        <v>2024</v>
      </c>
      <c r="R139" s="186"/>
      <c r="S139" s="186" t="s">
        <v>2025</v>
      </c>
      <c r="T139" s="186"/>
      <c r="V139" s="190">
        <v>900</v>
      </c>
      <c r="W139" s="170" t="s">
        <v>1981</v>
      </c>
    </row>
    <row r="140" spans="1:28" s="170" customFormat="1" ht="30">
      <c r="C140" s="182">
        <v>44131</v>
      </c>
      <c r="D140" s="170" t="s">
        <v>1108</v>
      </c>
      <c r="E140" s="170" t="s">
        <v>1757</v>
      </c>
      <c r="G140" s="223" t="s">
        <v>1249</v>
      </c>
      <c r="I140" s="170" t="s">
        <v>2199</v>
      </c>
      <c r="L140" s="170" t="s">
        <v>1008</v>
      </c>
      <c r="M140" s="170" t="s">
        <v>936</v>
      </c>
      <c r="O140" s="170" t="s">
        <v>1008</v>
      </c>
      <c r="P140" s="182">
        <v>44124</v>
      </c>
      <c r="Q140" s="170" t="s">
        <v>2023</v>
      </c>
      <c r="R140" s="186"/>
      <c r="S140" s="186"/>
      <c r="T140" s="186"/>
      <c r="V140" s="190">
        <v>900</v>
      </c>
      <c r="W140" s="170" t="s">
        <v>1981</v>
      </c>
    </row>
    <row r="141" spans="1:28" s="170" customFormat="1" ht="30">
      <c r="C141" s="182">
        <v>44131</v>
      </c>
      <c r="D141" s="170" t="s">
        <v>1068</v>
      </c>
      <c r="E141" s="170" t="s">
        <v>1757</v>
      </c>
      <c r="G141" s="170" t="s">
        <v>1128</v>
      </c>
      <c r="L141" s="170" t="s">
        <v>1008</v>
      </c>
      <c r="M141" s="170" t="s">
        <v>936</v>
      </c>
      <c r="O141" s="170" t="s">
        <v>1008</v>
      </c>
      <c r="Q141" s="170" t="s">
        <v>2032</v>
      </c>
      <c r="R141" s="186">
        <v>765</v>
      </c>
      <c r="S141" s="186"/>
      <c r="T141" s="186"/>
    </row>
    <row r="142" spans="1:28" s="170" customFormat="1" ht="30">
      <c r="C142" s="182">
        <v>44145</v>
      </c>
      <c r="D142" s="170" t="s">
        <v>1098</v>
      </c>
      <c r="E142" s="170" t="s">
        <v>1757</v>
      </c>
      <c r="G142" s="170" t="s">
        <v>1135</v>
      </c>
      <c r="L142" s="170" t="s">
        <v>1008</v>
      </c>
      <c r="M142" s="170" t="s">
        <v>936</v>
      </c>
      <c r="O142" s="170" t="s">
        <v>1008</v>
      </c>
      <c r="Q142" s="170" t="s">
        <v>2026</v>
      </c>
      <c r="R142" s="186">
        <f>300+465</f>
        <v>765</v>
      </c>
      <c r="S142" s="186"/>
      <c r="T142" s="186">
        <f>V142-R142</f>
        <v>135</v>
      </c>
      <c r="V142" s="190">
        <v>900</v>
      </c>
      <c r="W142" s="170" t="s">
        <v>1981</v>
      </c>
      <c r="X142" s="170" t="s">
        <v>2027</v>
      </c>
    </row>
    <row r="143" spans="1:28" s="170" customFormat="1" ht="30">
      <c r="C143" s="182">
        <v>44153</v>
      </c>
      <c r="D143" s="170" t="s">
        <v>1103</v>
      </c>
      <c r="E143" s="170" t="s">
        <v>1738</v>
      </c>
      <c r="G143" s="170" t="s">
        <v>1131</v>
      </c>
      <c r="L143" s="170" t="s">
        <v>2028</v>
      </c>
      <c r="M143" s="170" t="s">
        <v>936</v>
      </c>
      <c r="O143" s="170" t="s">
        <v>1008</v>
      </c>
      <c r="P143" s="182">
        <v>44161</v>
      </c>
      <c r="R143" s="186"/>
      <c r="S143" s="186"/>
      <c r="T143" s="186"/>
      <c r="V143" s="170" t="s">
        <v>1868</v>
      </c>
      <c r="W143" s="170" t="s">
        <v>2029</v>
      </c>
    </row>
    <row r="144" spans="1:28" s="170" customFormat="1" ht="90">
      <c r="C144" s="182">
        <v>44160</v>
      </c>
      <c r="D144" s="170" t="s">
        <v>1098</v>
      </c>
      <c r="E144" s="170" t="s">
        <v>1738</v>
      </c>
      <c r="G144" s="170" t="s">
        <v>2033</v>
      </c>
      <c r="L144" s="170" t="s">
        <v>2034</v>
      </c>
      <c r="M144" s="170" t="s">
        <v>936</v>
      </c>
      <c r="O144" s="170" t="s">
        <v>1008</v>
      </c>
      <c r="R144" s="186"/>
      <c r="S144" s="186"/>
      <c r="T144" s="186"/>
      <c r="V144" s="190">
        <v>900</v>
      </c>
      <c r="W144" s="170" t="s">
        <v>2035</v>
      </c>
    </row>
    <row r="145" spans="1:28" s="170" customFormat="1" ht="30">
      <c r="C145" s="182">
        <v>44160</v>
      </c>
      <c r="D145" s="170" t="s">
        <v>907</v>
      </c>
      <c r="E145" s="170" t="s">
        <v>1757</v>
      </c>
      <c r="G145" s="170" t="s">
        <v>1139</v>
      </c>
      <c r="L145" s="170" t="s">
        <v>2036</v>
      </c>
      <c r="M145" s="170" t="s">
        <v>936</v>
      </c>
      <c r="R145" s="186"/>
      <c r="S145" s="186"/>
      <c r="T145" s="186"/>
    </row>
    <row r="146" spans="1:28" s="170" customFormat="1" ht="30">
      <c r="C146" s="182">
        <v>44160</v>
      </c>
      <c r="D146" s="170" t="s">
        <v>907</v>
      </c>
      <c r="E146" s="170" t="s">
        <v>2037</v>
      </c>
      <c r="G146" s="170" t="s">
        <v>1139</v>
      </c>
      <c r="L146" s="170" t="s">
        <v>2038</v>
      </c>
      <c r="M146" s="170" t="s">
        <v>2039</v>
      </c>
      <c r="O146" s="170" t="s">
        <v>1008</v>
      </c>
      <c r="R146" s="186"/>
      <c r="S146" s="186"/>
      <c r="T146" s="186"/>
    </row>
    <row r="147" spans="1:28" s="170" customFormat="1" ht="30">
      <c r="C147" s="182">
        <v>44160</v>
      </c>
      <c r="D147" s="170" t="s">
        <v>1068</v>
      </c>
      <c r="E147" s="170" t="s">
        <v>1757</v>
      </c>
      <c r="G147" s="170" t="s">
        <v>1142</v>
      </c>
      <c r="L147" s="170" t="s">
        <v>2040</v>
      </c>
      <c r="M147" s="170" t="s">
        <v>936</v>
      </c>
      <c r="O147" s="170" t="s">
        <v>1008</v>
      </c>
      <c r="R147" s="186"/>
      <c r="S147" s="186"/>
      <c r="T147" s="186"/>
    </row>
    <row r="148" spans="1:28" s="170" customFormat="1" ht="75">
      <c r="C148" s="182">
        <v>44161</v>
      </c>
      <c r="D148" s="170" t="s">
        <v>1606</v>
      </c>
      <c r="E148" s="170" t="s">
        <v>1791</v>
      </c>
      <c r="G148" s="170" t="s">
        <v>1052</v>
      </c>
      <c r="L148" s="170" t="s">
        <v>2347</v>
      </c>
      <c r="M148" s="170" t="s">
        <v>936</v>
      </c>
      <c r="O148" s="170" t="s">
        <v>1008</v>
      </c>
      <c r="P148" s="222"/>
      <c r="R148" s="186"/>
      <c r="S148" s="186"/>
      <c r="T148" s="186"/>
      <c r="U148" s="170" t="s">
        <v>1886</v>
      </c>
      <c r="V148" s="190">
        <v>1500</v>
      </c>
    </row>
    <row r="149" spans="1:28" s="170" customFormat="1" ht="45">
      <c r="C149" s="182">
        <v>44166</v>
      </c>
      <c r="D149" s="170" t="s">
        <v>1103</v>
      </c>
      <c r="E149" s="170" t="s">
        <v>2041</v>
      </c>
      <c r="G149" s="170" t="s">
        <v>1950</v>
      </c>
      <c r="L149" s="170" t="s">
        <v>2042</v>
      </c>
      <c r="M149" s="170" t="s">
        <v>936</v>
      </c>
      <c r="O149" s="170" t="s">
        <v>1008</v>
      </c>
      <c r="R149" s="186"/>
      <c r="S149" s="186"/>
      <c r="T149" s="186"/>
      <c r="U149" s="170" t="s">
        <v>2043</v>
      </c>
    </row>
    <row r="150" spans="1:28" s="170" customFormat="1" ht="30">
      <c r="A150" s="114"/>
      <c r="B150" s="114"/>
      <c r="C150" s="161">
        <v>44166</v>
      </c>
      <c r="D150" s="114" t="s">
        <v>1103</v>
      </c>
      <c r="E150" s="114" t="s">
        <v>2041</v>
      </c>
      <c r="F150" s="114"/>
      <c r="G150" s="114" t="s">
        <v>1968</v>
      </c>
      <c r="H150" s="114"/>
      <c r="I150" s="114"/>
      <c r="J150" s="114"/>
      <c r="K150" s="114"/>
      <c r="L150" s="114" t="s">
        <v>2044</v>
      </c>
      <c r="M150" s="114" t="s">
        <v>936</v>
      </c>
      <c r="N150" s="114"/>
      <c r="O150" s="114"/>
      <c r="P150" s="114"/>
      <c r="Q150" s="114"/>
      <c r="R150" s="201"/>
      <c r="S150" s="201"/>
      <c r="T150" s="201"/>
      <c r="U150" s="114"/>
      <c r="V150" s="114"/>
      <c r="W150" s="114"/>
      <c r="X150" s="114"/>
      <c r="Y150" s="114"/>
      <c r="Z150" s="114"/>
      <c r="AA150" s="114"/>
      <c r="AB150" s="114"/>
    </row>
    <row r="151" spans="1:28" s="170" customFormat="1" ht="60">
      <c r="C151" s="182">
        <v>44166</v>
      </c>
      <c r="D151" s="170" t="s">
        <v>1068</v>
      </c>
      <c r="E151" s="170" t="s">
        <v>2045</v>
      </c>
      <c r="G151" s="170" t="s">
        <v>2046</v>
      </c>
      <c r="L151" s="170" t="s">
        <v>2047</v>
      </c>
      <c r="M151" s="170" t="s">
        <v>2048</v>
      </c>
      <c r="Q151" s="190">
        <v>500</v>
      </c>
      <c r="R151" s="186"/>
      <c r="S151" s="186"/>
      <c r="T151" s="186"/>
    </row>
    <row r="152" spans="1:28" s="170" customFormat="1" ht="15">
      <c r="C152" s="182">
        <v>44166</v>
      </c>
      <c r="D152" s="170" t="s">
        <v>1103</v>
      </c>
      <c r="E152" s="170" t="s">
        <v>2041</v>
      </c>
      <c r="G152" s="170" t="s">
        <v>1699</v>
      </c>
      <c r="L152" s="170" t="s">
        <v>2049</v>
      </c>
      <c r="M152" s="170" t="s">
        <v>936</v>
      </c>
      <c r="O152" s="170" t="s">
        <v>1008</v>
      </c>
      <c r="R152" s="186"/>
      <c r="S152" s="186"/>
      <c r="T152" s="186"/>
      <c r="U152" s="170" t="s">
        <v>2043</v>
      </c>
      <c r="V152" s="170" t="s">
        <v>753</v>
      </c>
    </row>
    <row r="153" spans="1:28" s="114" customFormat="1" ht="30">
      <c r="A153" s="170"/>
      <c r="B153" s="170"/>
      <c r="C153" s="182">
        <v>44168</v>
      </c>
      <c r="D153" s="170" t="s">
        <v>2050</v>
      </c>
      <c r="E153" s="170"/>
      <c r="F153" s="206">
        <v>44006</v>
      </c>
      <c r="G153" s="170" t="s">
        <v>2051</v>
      </c>
      <c r="H153" s="170"/>
      <c r="I153" s="170"/>
      <c r="J153" s="170"/>
      <c r="K153" s="170"/>
      <c r="L153" s="170" t="s">
        <v>2052</v>
      </c>
      <c r="M153" s="170" t="s">
        <v>936</v>
      </c>
      <c r="N153" s="170"/>
      <c r="O153" s="170" t="s">
        <v>1008</v>
      </c>
      <c r="P153" s="170"/>
      <c r="Q153" s="170"/>
      <c r="R153" s="186"/>
      <c r="S153" s="186"/>
      <c r="T153" s="186"/>
      <c r="U153" s="170" t="s">
        <v>2053</v>
      </c>
      <c r="V153" s="190">
        <v>300</v>
      </c>
      <c r="W153" s="170"/>
      <c r="X153" s="170"/>
      <c r="Y153" s="170"/>
      <c r="Z153" s="170"/>
      <c r="AA153" s="170"/>
      <c r="AB153" s="170"/>
    </row>
    <row r="154" spans="1:28" s="117" customFormat="1" ht="45">
      <c r="A154" s="170"/>
      <c r="B154" s="170"/>
      <c r="C154" s="182">
        <v>44172</v>
      </c>
      <c r="D154" s="170" t="s">
        <v>1606</v>
      </c>
      <c r="E154" s="170" t="s">
        <v>2041</v>
      </c>
      <c r="F154" s="170"/>
      <c r="G154" s="170" t="s">
        <v>1691</v>
      </c>
      <c r="H154" s="170"/>
      <c r="I154" s="170"/>
      <c r="J154" s="170"/>
      <c r="K154" s="170"/>
      <c r="L154" s="170" t="s">
        <v>2054</v>
      </c>
      <c r="M154" s="170" t="s">
        <v>936</v>
      </c>
      <c r="N154" s="170"/>
      <c r="O154" s="170" t="s">
        <v>1740</v>
      </c>
      <c r="P154" s="170"/>
      <c r="Q154" s="170"/>
      <c r="R154" s="186"/>
      <c r="S154" s="186"/>
      <c r="T154" s="186"/>
      <c r="U154" s="170" t="s">
        <v>2043</v>
      </c>
      <c r="V154" s="170" t="s">
        <v>753</v>
      </c>
      <c r="W154" s="170"/>
      <c r="X154" s="170"/>
      <c r="Y154" s="170"/>
      <c r="Z154" s="170"/>
      <c r="AA154" s="170"/>
      <c r="AB154" s="170"/>
    </row>
    <row r="155" spans="1:28" s="170" customFormat="1" ht="45">
      <c r="C155" s="182">
        <v>44173</v>
      </c>
      <c r="D155" s="170" t="s">
        <v>1606</v>
      </c>
      <c r="E155" s="170" t="s">
        <v>2041</v>
      </c>
      <c r="G155" s="170" t="s">
        <v>940</v>
      </c>
      <c r="L155" s="170" t="s">
        <v>2054</v>
      </c>
      <c r="M155" s="170" t="s">
        <v>936</v>
      </c>
      <c r="O155" s="170" t="s">
        <v>1740</v>
      </c>
      <c r="R155" s="186"/>
      <c r="S155" s="186"/>
      <c r="T155" s="186"/>
      <c r="U155" s="170" t="s">
        <v>2043</v>
      </c>
      <c r="V155" s="170" t="s">
        <v>753</v>
      </c>
    </row>
    <row r="156" spans="1:28" s="170" customFormat="1" ht="45">
      <c r="C156" s="182">
        <v>44173</v>
      </c>
      <c r="D156" s="170" t="s">
        <v>1606</v>
      </c>
      <c r="E156" s="170" t="s">
        <v>2041</v>
      </c>
      <c r="G156" s="170" t="s">
        <v>956</v>
      </c>
      <c r="L156" s="170" t="s">
        <v>2054</v>
      </c>
      <c r="M156" s="170" t="s">
        <v>936</v>
      </c>
      <c r="O156" s="170" t="s">
        <v>1008</v>
      </c>
      <c r="R156" s="186"/>
      <c r="S156" s="186"/>
      <c r="T156" s="186"/>
      <c r="U156" s="170" t="s">
        <v>2043</v>
      </c>
      <c r="V156" s="170" t="s">
        <v>753</v>
      </c>
    </row>
    <row r="157" spans="1:28" s="170" customFormat="1" ht="30">
      <c r="A157" s="114"/>
      <c r="B157" s="114"/>
      <c r="C157" s="161">
        <v>44174</v>
      </c>
      <c r="D157" s="114" t="s">
        <v>1606</v>
      </c>
      <c r="E157" s="114" t="s">
        <v>2041</v>
      </c>
      <c r="F157" s="114"/>
      <c r="G157" s="114" t="s">
        <v>1865</v>
      </c>
      <c r="H157" s="114"/>
      <c r="I157" s="114"/>
      <c r="J157" s="114"/>
      <c r="K157" s="114"/>
      <c r="L157" s="114" t="s">
        <v>2055</v>
      </c>
      <c r="M157" s="114" t="s">
        <v>936</v>
      </c>
      <c r="N157" s="114"/>
      <c r="O157" s="114"/>
      <c r="P157" s="114"/>
      <c r="Q157" s="114"/>
      <c r="R157" s="201"/>
      <c r="S157" s="201"/>
      <c r="T157" s="201"/>
      <c r="U157" s="114"/>
      <c r="V157" s="114"/>
      <c r="W157" s="114"/>
      <c r="X157" s="114"/>
      <c r="Y157" s="114"/>
      <c r="Z157" s="114"/>
      <c r="AA157" s="114"/>
      <c r="AB157" s="114"/>
    </row>
    <row r="158" spans="1:28" s="170" customFormat="1" ht="15">
      <c r="A158" s="114"/>
      <c r="B158" s="114"/>
      <c r="C158" s="161">
        <v>44174</v>
      </c>
      <c r="D158" s="114" t="s">
        <v>1606</v>
      </c>
      <c r="E158" s="114" t="s">
        <v>2041</v>
      </c>
      <c r="F158" s="114"/>
      <c r="G158" s="114" t="s">
        <v>1703</v>
      </c>
      <c r="H158" s="114"/>
      <c r="I158" s="114"/>
      <c r="J158" s="114"/>
      <c r="K158" s="114"/>
      <c r="L158" s="114" t="s">
        <v>2056</v>
      </c>
      <c r="M158" s="114" t="s">
        <v>936</v>
      </c>
      <c r="N158" s="114"/>
      <c r="O158" s="114"/>
      <c r="P158" s="114"/>
      <c r="Q158" s="114"/>
      <c r="R158" s="201"/>
      <c r="S158" s="201"/>
      <c r="T158" s="201"/>
      <c r="U158" s="114"/>
      <c r="V158" s="114"/>
      <c r="W158" s="114"/>
      <c r="X158" s="114"/>
      <c r="Y158" s="114"/>
      <c r="Z158" s="114"/>
      <c r="AA158" s="114"/>
      <c r="AB158" s="114"/>
    </row>
    <row r="159" spans="1:28" s="170" customFormat="1" ht="15">
      <c r="A159" s="114"/>
      <c r="B159" s="114"/>
      <c r="C159" s="161">
        <v>44174</v>
      </c>
      <c r="D159" s="114" t="s">
        <v>1606</v>
      </c>
      <c r="E159" s="114" t="s">
        <v>2041</v>
      </c>
      <c r="F159" s="114"/>
      <c r="G159" s="114" t="s">
        <v>918</v>
      </c>
      <c r="H159" s="114"/>
      <c r="I159" s="114"/>
      <c r="J159" s="114"/>
      <c r="K159" s="114"/>
      <c r="L159" s="114" t="s">
        <v>2057</v>
      </c>
      <c r="M159" s="114" t="s">
        <v>936</v>
      </c>
      <c r="N159" s="114"/>
      <c r="O159" s="114"/>
      <c r="P159" s="114"/>
      <c r="Q159" s="114"/>
      <c r="R159" s="201"/>
      <c r="S159" s="201"/>
      <c r="T159" s="201"/>
      <c r="U159" s="114"/>
      <c r="V159" s="114"/>
      <c r="W159" s="114"/>
      <c r="X159" s="114"/>
      <c r="Y159" s="114"/>
      <c r="Z159" s="114"/>
      <c r="AA159" s="114"/>
      <c r="AB159" s="114"/>
    </row>
    <row r="160" spans="1:28" s="123" customFormat="1" ht="15">
      <c r="C160" s="163">
        <v>44174</v>
      </c>
      <c r="D160" s="123" t="s">
        <v>1606</v>
      </c>
      <c r="E160" s="123" t="s">
        <v>2041</v>
      </c>
      <c r="G160" s="123" t="s">
        <v>1720</v>
      </c>
      <c r="L160" s="123" t="s">
        <v>2058</v>
      </c>
      <c r="M160" s="123" t="s">
        <v>936</v>
      </c>
      <c r="O160" s="123" t="s">
        <v>1380</v>
      </c>
      <c r="R160" s="188"/>
      <c r="S160" s="188"/>
      <c r="T160" s="188"/>
    </row>
    <row r="161" spans="1:28" s="114" customFormat="1" ht="30">
      <c r="A161" s="170"/>
      <c r="B161" s="170"/>
      <c r="C161" s="182">
        <v>44175</v>
      </c>
      <c r="D161" s="170" t="s">
        <v>1790</v>
      </c>
      <c r="E161" s="170" t="s">
        <v>1791</v>
      </c>
      <c r="F161" s="170"/>
      <c r="G161" s="170" t="s">
        <v>2059</v>
      </c>
      <c r="H161" s="170"/>
      <c r="I161" s="170"/>
      <c r="J161" s="170"/>
      <c r="K161" s="170"/>
      <c r="L161" s="170" t="s">
        <v>2060</v>
      </c>
      <c r="M161" s="170" t="s">
        <v>936</v>
      </c>
      <c r="N161" s="170"/>
      <c r="O161" s="170" t="s">
        <v>1008</v>
      </c>
      <c r="P161" s="170"/>
      <c r="Q161" s="170"/>
      <c r="R161" s="186"/>
      <c r="S161" s="186"/>
      <c r="T161" s="186"/>
      <c r="U161" s="170" t="s">
        <v>2061</v>
      </c>
      <c r="V161" s="190">
        <v>100</v>
      </c>
      <c r="W161" s="170"/>
      <c r="X161" s="170"/>
      <c r="Y161" s="170"/>
      <c r="Z161" s="170"/>
      <c r="AA161" s="170"/>
      <c r="AB161" s="170"/>
    </row>
    <row r="162" spans="1:28" s="114" customFormat="1" ht="15">
      <c r="A162" s="170"/>
      <c r="B162" s="170"/>
      <c r="C162" s="182">
        <v>44179</v>
      </c>
      <c r="D162" s="170" t="s">
        <v>1606</v>
      </c>
      <c r="E162" s="170" t="s">
        <v>1831</v>
      </c>
      <c r="F162" s="170"/>
      <c r="G162" s="170" t="s">
        <v>918</v>
      </c>
      <c r="H162" s="170"/>
      <c r="I162" s="170"/>
      <c r="J162" s="170"/>
      <c r="K162" s="170"/>
      <c r="L162" s="170" t="s">
        <v>1833</v>
      </c>
      <c r="M162" s="170" t="s">
        <v>936</v>
      </c>
      <c r="N162" s="170"/>
      <c r="O162" s="170"/>
      <c r="P162" s="170"/>
      <c r="Q162" s="170"/>
      <c r="R162" s="186"/>
      <c r="S162" s="186"/>
      <c r="T162" s="186"/>
      <c r="U162" s="170"/>
      <c r="V162" s="170"/>
      <c r="W162" s="170"/>
      <c r="X162" s="170"/>
      <c r="Y162" s="170"/>
      <c r="Z162" s="170"/>
      <c r="AA162" s="170"/>
      <c r="AB162" s="170"/>
    </row>
    <row r="163" spans="1:28" s="114" customFormat="1" ht="15">
      <c r="A163" s="170"/>
      <c r="B163" s="170"/>
      <c r="C163" s="182">
        <v>44179</v>
      </c>
      <c r="D163" s="170" t="s">
        <v>1606</v>
      </c>
      <c r="E163" s="170" t="s">
        <v>1831</v>
      </c>
      <c r="F163" s="170"/>
      <c r="G163" s="170" t="s">
        <v>1862</v>
      </c>
      <c r="H163" s="170"/>
      <c r="I163" s="170"/>
      <c r="J163" s="170"/>
      <c r="K163" s="170"/>
      <c r="L163" s="170" t="s">
        <v>1833</v>
      </c>
      <c r="M163" s="170" t="s">
        <v>936</v>
      </c>
      <c r="N163" s="170"/>
      <c r="O163" s="170"/>
      <c r="P163" s="170"/>
      <c r="Q163" s="170"/>
      <c r="R163" s="186"/>
      <c r="S163" s="186"/>
      <c r="T163" s="186"/>
      <c r="U163" s="170"/>
      <c r="V163" s="170"/>
      <c r="W163" s="170"/>
      <c r="X163" s="170"/>
      <c r="Y163" s="170"/>
      <c r="Z163" s="170"/>
      <c r="AA163" s="170"/>
      <c r="AB163" s="170"/>
    </row>
    <row r="164" spans="1:28" s="170" customFormat="1" ht="30">
      <c r="C164" s="182">
        <v>44187</v>
      </c>
      <c r="D164" s="170" t="s">
        <v>1606</v>
      </c>
      <c r="E164" s="170" t="s">
        <v>1791</v>
      </c>
      <c r="G164" s="170" t="s">
        <v>2062</v>
      </c>
      <c r="L164" s="170" t="s">
        <v>2063</v>
      </c>
      <c r="M164" s="170" t="s">
        <v>936</v>
      </c>
      <c r="O164" s="170" t="s">
        <v>1008</v>
      </c>
      <c r="R164" s="186"/>
      <c r="S164" s="186"/>
      <c r="T164" s="186"/>
    </row>
    <row r="165" spans="1:28" s="170" customFormat="1" ht="30">
      <c r="C165" s="182">
        <v>44207</v>
      </c>
      <c r="D165" s="170" t="s">
        <v>1606</v>
      </c>
      <c r="E165" s="170" t="s">
        <v>1791</v>
      </c>
      <c r="G165" s="170" t="s">
        <v>1089</v>
      </c>
      <c r="L165" s="170" t="s">
        <v>2137</v>
      </c>
      <c r="M165" s="170" t="s">
        <v>936</v>
      </c>
      <c r="O165" s="170" t="s">
        <v>1008</v>
      </c>
      <c r="R165" s="186"/>
      <c r="S165" s="186"/>
      <c r="T165" s="186"/>
      <c r="U165" s="190"/>
      <c r="V165" s="190">
        <v>2000</v>
      </c>
    </row>
    <row r="166" spans="1:28" s="170" customFormat="1" ht="30">
      <c r="C166" s="182">
        <v>44209</v>
      </c>
      <c r="D166" s="170" t="s">
        <v>1869</v>
      </c>
      <c r="E166" s="170" t="s">
        <v>1757</v>
      </c>
      <c r="G166" s="170" t="s">
        <v>2140</v>
      </c>
      <c r="L166" s="170" t="s">
        <v>2141</v>
      </c>
      <c r="M166" s="170" t="s">
        <v>936</v>
      </c>
      <c r="O166" s="170" t="s">
        <v>1008</v>
      </c>
      <c r="R166" s="186"/>
      <c r="S166" s="186"/>
      <c r="T166" s="186"/>
      <c r="U166" s="170" t="s">
        <v>2142</v>
      </c>
      <c r="V166" s="190">
        <v>568</v>
      </c>
    </row>
    <row r="167" spans="1:28" s="170" customFormat="1" ht="30">
      <c r="C167" s="182">
        <v>44222</v>
      </c>
      <c r="D167" s="170" t="s">
        <v>1606</v>
      </c>
      <c r="E167" s="170" t="s">
        <v>1791</v>
      </c>
      <c r="G167" s="170" t="s">
        <v>2150</v>
      </c>
      <c r="L167" s="170" t="s">
        <v>2151</v>
      </c>
      <c r="M167" s="170" t="s">
        <v>936</v>
      </c>
      <c r="O167" s="170" t="s">
        <v>1008</v>
      </c>
      <c r="R167" s="186"/>
      <c r="S167" s="186"/>
      <c r="T167" s="186"/>
    </row>
    <row r="168" spans="1:28" s="170" customFormat="1" ht="30">
      <c r="C168" s="182">
        <v>44222</v>
      </c>
      <c r="D168" s="170" t="s">
        <v>1606</v>
      </c>
      <c r="E168" s="170" t="s">
        <v>1791</v>
      </c>
      <c r="G168" s="170" t="s">
        <v>1908</v>
      </c>
      <c r="L168" s="170" t="s">
        <v>2151</v>
      </c>
      <c r="M168" s="170" t="s">
        <v>936</v>
      </c>
      <c r="O168" s="170" t="s">
        <v>1008</v>
      </c>
      <c r="R168" s="186"/>
      <c r="S168" s="186"/>
      <c r="T168" s="186"/>
    </row>
    <row r="169" spans="1:28" s="170" customFormat="1" ht="30">
      <c r="C169" s="182">
        <v>44222</v>
      </c>
      <c r="D169" s="170" t="s">
        <v>1530</v>
      </c>
      <c r="E169" s="170" t="s">
        <v>1757</v>
      </c>
      <c r="G169" s="170" t="s">
        <v>2153</v>
      </c>
      <c r="L169" s="170" t="s">
        <v>2161</v>
      </c>
      <c r="M169" s="170" t="s">
        <v>936</v>
      </c>
      <c r="O169" s="170" t="s">
        <v>1008</v>
      </c>
      <c r="Q169" s="170" t="s">
        <v>2163</v>
      </c>
      <c r="R169" s="186"/>
      <c r="S169" s="186"/>
      <c r="T169" s="186"/>
    </row>
    <row r="170" spans="1:28" s="170" customFormat="1" ht="30">
      <c r="C170" s="182">
        <v>44222</v>
      </c>
      <c r="D170" s="170" t="s">
        <v>2162</v>
      </c>
      <c r="E170" s="170" t="s">
        <v>1791</v>
      </c>
      <c r="G170" s="170" t="s">
        <v>2157</v>
      </c>
      <c r="L170" s="170" t="s">
        <v>2156</v>
      </c>
      <c r="M170" s="170" t="s">
        <v>936</v>
      </c>
      <c r="O170" s="170" t="s">
        <v>1008</v>
      </c>
      <c r="R170" s="186"/>
      <c r="S170" s="186"/>
      <c r="T170" s="186"/>
    </row>
    <row r="171" spans="1:28" s="170" customFormat="1" ht="30">
      <c r="C171" s="182">
        <v>44222</v>
      </c>
      <c r="D171" s="170" t="s">
        <v>2162</v>
      </c>
      <c r="E171" s="170" t="s">
        <v>1791</v>
      </c>
      <c r="G171" s="170" t="s">
        <v>2160</v>
      </c>
      <c r="L171" s="170" t="s">
        <v>2156</v>
      </c>
      <c r="M171" s="170" t="s">
        <v>936</v>
      </c>
      <c r="O171" s="170" t="s">
        <v>1008</v>
      </c>
      <c r="R171" s="186"/>
      <c r="S171" s="186"/>
      <c r="T171" s="186"/>
    </row>
    <row r="172" spans="1:28" s="170" customFormat="1" ht="30">
      <c r="C172" s="182">
        <v>44222</v>
      </c>
      <c r="D172" s="170" t="s">
        <v>2162</v>
      </c>
      <c r="E172" s="170" t="s">
        <v>1791</v>
      </c>
      <c r="G172" s="170" t="s">
        <v>2158</v>
      </c>
      <c r="L172" s="170" t="s">
        <v>2156</v>
      </c>
      <c r="M172" s="170" t="s">
        <v>936</v>
      </c>
      <c r="O172" s="170" t="s">
        <v>1008</v>
      </c>
      <c r="R172" s="186"/>
      <c r="S172" s="186"/>
      <c r="T172" s="186"/>
    </row>
    <row r="173" spans="1:28" s="170" customFormat="1" ht="30">
      <c r="C173" s="182">
        <v>44222</v>
      </c>
      <c r="D173" s="170" t="s">
        <v>2162</v>
      </c>
      <c r="E173" s="170" t="s">
        <v>1791</v>
      </c>
      <c r="G173" s="170" t="s">
        <v>2159</v>
      </c>
      <c r="L173" s="170" t="s">
        <v>2156</v>
      </c>
      <c r="M173" s="170" t="s">
        <v>936</v>
      </c>
      <c r="O173" s="170" t="s">
        <v>1008</v>
      </c>
      <c r="R173" s="186"/>
      <c r="S173" s="186"/>
      <c r="T173" s="186"/>
    </row>
    <row r="174" spans="1:28" s="241" customFormat="1" ht="60">
      <c r="C174" s="242">
        <v>44225</v>
      </c>
      <c r="D174" s="241" t="s">
        <v>2174</v>
      </c>
      <c r="E174" s="241" t="s">
        <v>2173</v>
      </c>
      <c r="G174" s="241" t="s">
        <v>2172</v>
      </c>
      <c r="L174" s="241" t="s">
        <v>2348</v>
      </c>
      <c r="M174" s="241" t="s">
        <v>936</v>
      </c>
      <c r="O174" s="241" t="s">
        <v>1740</v>
      </c>
      <c r="Q174" s="241" t="s">
        <v>2175</v>
      </c>
      <c r="R174" s="243"/>
      <c r="S174" s="243"/>
      <c r="T174" s="243"/>
      <c r="V174" s="244">
        <v>2500</v>
      </c>
      <c r="W174" s="241" t="s">
        <v>2176</v>
      </c>
    </row>
    <row r="175" spans="1:28" s="170" customFormat="1" ht="45">
      <c r="C175" s="182">
        <v>44226</v>
      </c>
      <c r="D175" s="170" t="s">
        <v>1606</v>
      </c>
      <c r="G175" s="170" t="s">
        <v>2177</v>
      </c>
      <c r="M175" s="170" t="s">
        <v>936</v>
      </c>
      <c r="O175" s="170" t="s">
        <v>1008</v>
      </c>
      <c r="Q175" s="170" t="s">
        <v>2178</v>
      </c>
      <c r="R175" s="186"/>
      <c r="S175" s="186"/>
      <c r="T175" s="186"/>
      <c r="V175" s="190">
        <v>4500</v>
      </c>
      <c r="W175" s="170" t="s">
        <v>2180</v>
      </c>
    </row>
    <row r="176" spans="1:28" s="170" customFormat="1" ht="45">
      <c r="C176" s="182">
        <v>44226</v>
      </c>
      <c r="D176" s="170" t="s">
        <v>1606</v>
      </c>
      <c r="G176" s="170" t="s">
        <v>2177</v>
      </c>
      <c r="L176" s="170" t="s">
        <v>2349</v>
      </c>
      <c r="M176" s="170" t="s">
        <v>1576</v>
      </c>
      <c r="O176" s="170" t="s">
        <v>1008</v>
      </c>
      <c r="R176" s="186"/>
      <c r="S176" s="186"/>
      <c r="T176" s="186"/>
      <c r="V176" s="190">
        <v>2000</v>
      </c>
    </row>
    <row r="177" spans="1:28" s="170" customFormat="1" ht="30">
      <c r="C177" s="182">
        <v>44226</v>
      </c>
      <c r="D177" s="170" t="s">
        <v>1606</v>
      </c>
      <c r="G177" s="170" t="s">
        <v>2179</v>
      </c>
      <c r="O177" s="170" t="s">
        <v>1008</v>
      </c>
      <c r="R177" s="186"/>
      <c r="S177" s="186"/>
      <c r="T177" s="186"/>
      <c r="V177" s="190">
        <v>3000</v>
      </c>
      <c r="W177" s="170" t="s">
        <v>2181</v>
      </c>
    </row>
    <row r="178" spans="1:28" ht="15">
      <c r="A178" s="170"/>
      <c r="B178" s="170"/>
      <c r="C178" s="182">
        <v>44256</v>
      </c>
      <c r="D178" s="170"/>
      <c r="E178" s="170"/>
      <c r="F178" s="170"/>
      <c r="G178" s="170" t="s">
        <v>2018</v>
      </c>
      <c r="H178" s="170"/>
      <c r="I178" s="170"/>
      <c r="J178" s="170"/>
      <c r="K178" s="170"/>
      <c r="L178" s="170" t="s">
        <v>1734</v>
      </c>
      <c r="M178" s="170" t="s">
        <v>936</v>
      </c>
      <c r="N178" s="170" t="s">
        <v>2019</v>
      </c>
      <c r="O178" s="170" t="s">
        <v>1008</v>
      </c>
      <c r="P178" s="182">
        <v>44000</v>
      </c>
      <c r="Q178" s="170" t="s">
        <v>1697</v>
      </c>
      <c r="R178" s="186">
        <v>210</v>
      </c>
      <c r="S178" s="186"/>
      <c r="T178" s="186"/>
      <c r="U178" s="170"/>
      <c r="V178" s="170"/>
      <c r="W178" s="170"/>
      <c r="X178" s="170"/>
      <c r="Y178" s="170"/>
      <c r="Z178" s="170"/>
      <c r="AA178" s="170"/>
      <c r="AB178" s="170"/>
    </row>
    <row r="179" spans="1:28" ht="45">
      <c r="A179" s="123"/>
      <c r="B179" s="123"/>
      <c r="C179" s="163">
        <v>44256</v>
      </c>
      <c r="D179" s="123" t="s">
        <v>1316</v>
      </c>
      <c r="E179" s="123" t="s">
        <v>1607</v>
      </c>
      <c r="F179" s="123"/>
      <c r="G179" s="123" t="s">
        <v>2020</v>
      </c>
      <c r="H179" s="123"/>
      <c r="I179" s="123"/>
      <c r="J179" s="123"/>
      <c r="K179" s="123"/>
      <c r="L179" s="123" t="s">
        <v>2021</v>
      </c>
      <c r="M179" s="123"/>
      <c r="N179" s="123"/>
      <c r="O179" s="123" t="s">
        <v>1380</v>
      </c>
      <c r="P179" s="123"/>
      <c r="Q179" s="123"/>
      <c r="R179" s="188"/>
      <c r="S179" s="188"/>
      <c r="T179" s="188"/>
      <c r="U179" s="123"/>
      <c r="V179" s="123"/>
      <c r="W179" s="123"/>
      <c r="X179" s="123"/>
      <c r="Y179" s="123"/>
      <c r="Z179" s="123"/>
      <c r="AA179" s="123"/>
      <c r="AB179" s="123"/>
    </row>
    <row r="180" spans="1:28" s="241" customFormat="1" ht="60">
      <c r="C180" s="242">
        <v>44272</v>
      </c>
      <c r="D180" s="241" t="s">
        <v>1103</v>
      </c>
      <c r="E180" s="241" t="s">
        <v>2182</v>
      </c>
      <c r="G180" s="241" t="s">
        <v>1703</v>
      </c>
      <c r="L180" s="241" t="s">
        <v>2350</v>
      </c>
      <c r="M180" s="241" t="s">
        <v>936</v>
      </c>
      <c r="O180" s="241" t="s">
        <v>1620</v>
      </c>
      <c r="R180" s="243"/>
      <c r="S180" s="243"/>
      <c r="T180" s="243"/>
    </row>
    <row r="181" spans="1:28" s="159" customFormat="1" ht="15">
      <c r="C181" s="192">
        <v>44277</v>
      </c>
      <c r="D181" s="159" t="s">
        <v>1103</v>
      </c>
      <c r="E181" s="159" t="s">
        <v>2201</v>
      </c>
      <c r="G181" s="159" t="s">
        <v>2202</v>
      </c>
      <c r="O181" s="159" t="s">
        <v>1599</v>
      </c>
      <c r="R181" s="193"/>
      <c r="S181" s="193"/>
      <c r="T181" s="193"/>
    </row>
    <row r="182" spans="1:28" s="170" customFormat="1" ht="75">
      <c r="C182" s="182">
        <v>44277</v>
      </c>
      <c r="D182" s="170" t="s">
        <v>1103</v>
      </c>
      <c r="E182" s="170" t="s">
        <v>1831</v>
      </c>
      <c r="G182" s="170" t="s">
        <v>1089</v>
      </c>
      <c r="L182" s="170" t="s">
        <v>2260</v>
      </c>
      <c r="M182" s="170" t="s">
        <v>1004</v>
      </c>
      <c r="O182" s="170" t="s">
        <v>1008</v>
      </c>
      <c r="R182" s="186"/>
      <c r="S182" s="186"/>
      <c r="T182" s="186"/>
    </row>
    <row r="183" spans="1:28" s="170" customFormat="1" ht="30">
      <c r="C183" s="182">
        <v>44277</v>
      </c>
      <c r="D183" s="170" t="s">
        <v>1831</v>
      </c>
      <c r="E183" s="170" t="s">
        <v>1831</v>
      </c>
      <c r="G183" s="170" t="s">
        <v>2212</v>
      </c>
      <c r="L183" s="170" t="s">
        <v>2259</v>
      </c>
      <c r="M183" s="170" t="s">
        <v>1576</v>
      </c>
      <c r="O183" s="170" t="s">
        <v>1008</v>
      </c>
      <c r="R183" s="186"/>
      <c r="S183" s="186"/>
      <c r="T183" s="186"/>
    </row>
    <row r="184" spans="1:28" s="114" customFormat="1" ht="195">
      <c r="C184" s="161">
        <v>44277</v>
      </c>
      <c r="D184" s="114" t="s">
        <v>2205</v>
      </c>
      <c r="E184" s="114" t="s">
        <v>1958</v>
      </c>
      <c r="G184" s="114" t="s">
        <v>2213</v>
      </c>
      <c r="L184" s="114" t="s">
        <v>2351</v>
      </c>
      <c r="M184" s="114" t="s">
        <v>936</v>
      </c>
      <c r="O184" s="114" t="s">
        <v>1740</v>
      </c>
      <c r="R184" s="201"/>
      <c r="S184" s="201"/>
      <c r="T184" s="201"/>
      <c r="U184" s="114" t="s">
        <v>2246</v>
      </c>
      <c r="V184" s="202">
        <v>1600</v>
      </c>
      <c r="W184" s="114" t="s">
        <v>2306</v>
      </c>
      <c r="Y184" s="114" t="s">
        <v>2318</v>
      </c>
    </row>
    <row r="185" spans="1:28" s="170" customFormat="1" ht="135">
      <c r="C185" s="182">
        <v>44277</v>
      </c>
      <c r="D185" s="170" t="s">
        <v>2205</v>
      </c>
      <c r="E185" s="170" t="s">
        <v>2182</v>
      </c>
      <c r="G185" s="170" t="s">
        <v>2214</v>
      </c>
      <c r="L185" s="170" t="s">
        <v>2310</v>
      </c>
      <c r="M185" s="170" t="s">
        <v>936</v>
      </c>
      <c r="O185" s="170" t="s">
        <v>1008</v>
      </c>
      <c r="R185" s="186"/>
      <c r="S185" s="186"/>
      <c r="T185" s="186"/>
      <c r="U185" s="170" t="s">
        <v>2224</v>
      </c>
      <c r="V185" s="190">
        <v>1200</v>
      </c>
      <c r="W185" s="170" t="s">
        <v>2285</v>
      </c>
      <c r="Y185" s="170" t="s">
        <v>2309</v>
      </c>
    </row>
    <row r="186" spans="1:28" s="170" customFormat="1" ht="105">
      <c r="C186" s="182">
        <v>44277</v>
      </c>
      <c r="D186" s="170" t="s">
        <v>2205</v>
      </c>
      <c r="E186" s="170" t="s">
        <v>2182</v>
      </c>
      <c r="G186" s="170" t="s">
        <v>2215</v>
      </c>
      <c r="L186" s="170" t="s">
        <v>2284</v>
      </c>
      <c r="M186" s="170" t="s">
        <v>936</v>
      </c>
      <c r="O186" s="170" t="s">
        <v>1008</v>
      </c>
      <c r="R186" s="186"/>
      <c r="S186" s="186"/>
      <c r="T186" s="186"/>
      <c r="U186" s="170" t="s">
        <v>2227</v>
      </c>
      <c r="V186" s="190">
        <v>900</v>
      </c>
      <c r="W186" s="170" t="s">
        <v>2225</v>
      </c>
      <c r="Y186" s="170" t="s">
        <v>2292</v>
      </c>
    </row>
    <row r="187" spans="1:28" s="159" customFormat="1" ht="150">
      <c r="C187" s="192">
        <v>44277</v>
      </c>
      <c r="D187" s="159" t="s">
        <v>2205</v>
      </c>
      <c r="E187" s="159" t="s">
        <v>2182</v>
      </c>
      <c r="G187" s="159" t="s">
        <v>2216</v>
      </c>
      <c r="L187" s="159" t="s">
        <v>2319</v>
      </c>
      <c r="M187" s="159" t="s">
        <v>936</v>
      </c>
      <c r="O187" s="159" t="s">
        <v>1620</v>
      </c>
      <c r="R187" s="193"/>
      <c r="S187" s="193"/>
      <c r="T187" s="193"/>
      <c r="U187" s="159" t="s">
        <v>2222</v>
      </c>
      <c r="V187" s="194">
        <v>1500</v>
      </c>
      <c r="W187" s="159" t="s">
        <v>2226</v>
      </c>
      <c r="Y187" s="159" t="s">
        <v>2219</v>
      </c>
    </row>
    <row r="188" spans="1:28" s="170" customFormat="1" ht="60">
      <c r="C188" s="182">
        <v>44277</v>
      </c>
      <c r="D188" s="170" t="s">
        <v>2205</v>
      </c>
      <c r="E188" s="170" t="s">
        <v>2182</v>
      </c>
      <c r="G188" s="170" t="s">
        <v>2217</v>
      </c>
      <c r="L188" s="170" t="s">
        <v>2257</v>
      </c>
      <c r="M188" s="170" t="s">
        <v>936</v>
      </c>
      <c r="O188" s="170" t="s">
        <v>1008</v>
      </c>
      <c r="R188" s="186"/>
      <c r="S188" s="186"/>
      <c r="T188" s="186"/>
      <c r="U188" s="170" t="s">
        <v>2221</v>
      </c>
      <c r="V188" s="190">
        <v>900</v>
      </c>
      <c r="W188" s="170" t="s">
        <v>2218</v>
      </c>
      <c r="Y188" s="170" t="s">
        <v>2219</v>
      </c>
    </row>
    <row r="189" spans="1:28" s="241" customFormat="1" ht="45">
      <c r="C189" s="242">
        <v>44277</v>
      </c>
      <c r="D189" s="241" t="s">
        <v>1316</v>
      </c>
      <c r="E189" s="241" t="s">
        <v>1821</v>
      </c>
      <c r="G189" s="241" t="s">
        <v>2220</v>
      </c>
      <c r="L189" s="241" t="s">
        <v>2229</v>
      </c>
      <c r="M189" s="241" t="s">
        <v>936</v>
      </c>
      <c r="O189" s="241" t="s">
        <v>1620</v>
      </c>
      <c r="R189" s="243"/>
      <c r="S189" s="243"/>
      <c r="T189" s="243"/>
    </row>
    <row r="190" spans="1:28" s="114" customFormat="1" ht="45">
      <c r="C190" s="161">
        <v>44277</v>
      </c>
      <c r="D190" s="114" t="s">
        <v>2205</v>
      </c>
      <c r="E190" s="114" t="s">
        <v>1607</v>
      </c>
      <c r="G190" s="114" t="s">
        <v>2203</v>
      </c>
      <c r="L190" s="114" t="s">
        <v>1702</v>
      </c>
      <c r="O190" s="114" t="s">
        <v>1702</v>
      </c>
      <c r="R190" s="201"/>
      <c r="S190" s="201"/>
      <c r="T190" s="201"/>
      <c r="U190" s="114" t="s">
        <v>2245</v>
      </c>
      <c r="V190" s="202">
        <v>200</v>
      </c>
    </row>
    <row r="191" spans="1:28" s="170" customFormat="1" ht="60">
      <c r="C191" s="182">
        <v>44278</v>
      </c>
      <c r="E191" s="170" t="s">
        <v>1831</v>
      </c>
      <c r="G191" s="170" t="s">
        <v>1074</v>
      </c>
      <c r="L191" s="170" t="s">
        <v>2258</v>
      </c>
      <c r="M191" s="170" t="s">
        <v>1576</v>
      </c>
      <c r="O191" s="170" t="s">
        <v>1008</v>
      </c>
      <c r="R191" s="186"/>
      <c r="S191" s="186"/>
      <c r="T191" s="186"/>
    </row>
    <row r="192" spans="1:28" s="170" customFormat="1" ht="15">
      <c r="C192" s="182">
        <v>44278</v>
      </c>
      <c r="D192" s="170" t="s">
        <v>1103</v>
      </c>
      <c r="E192" s="170" t="s">
        <v>1831</v>
      </c>
      <c r="G192" s="170" t="s">
        <v>2210</v>
      </c>
      <c r="L192" s="170" t="s">
        <v>1833</v>
      </c>
      <c r="O192" s="170" t="s">
        <v>1008</v>
      </c>
      <c r="R192" s="186"/>
      <c r="S192" s="186"/>
      <c r="T192" s="186"/>
      <c r="V192" s="170" t="s">
        <v>1868</v>
      </c>
    </row>
    <row r="193" spans="3:25" s="123" customFormat="1" ht="45">
      <c r="C193" s="163">
        <v>44278</v>
      </c>
      <c r="D193" s="123" t="s">
        <v>2205</v>
      </c>
      <c r="E193" s="123" t="s">
        <v>1607</v>
      </c>
      <c r="G193" s="123" t="s">
        <v>2228</v>
      </c>
      <c r="L193" s="123" t="s">
        <v>1702</v>
      </c>
      <c r="O193" s="123" t="s">
        <v>1380</v>
      </c>
      <c r="R193" s="188"/>
      <c r="S193" s="188"/>
      <c r="T193" s="188"/>
    </row>
    <row r="194" spans="3:25" s="123" customFormat="1" ht="45">
      <c r="C194" s="163">
        <v>44278</v>
      </c>
      <c r="D194" s="123" t="s">
        <v>2239</v>
      </c>
      <c r="E194" s="123" t="s">
        <v>1607</v>
      </c>
      <c r="G194" s="123" t="s">
        <v>2231</v>
      </c>
      <c r="H194" s="123" t="s">
        <v>2238</v>
      </c>
      <c r="K194" s="123" t="s">
        <v>2235</v>
      </c>
      <c r="L194" s="123" t="s">
        <v>1702</v>
      </c>
      <c r="O194" s="123" t="s">
        <v>1380</v>
      </c>
      <c r="R194" s="188"/>
      <c r="S194" s="188"/>
      <c r="T194" s="188"/>
    </row>
    <row r="195" spans="3:25" s="123" customFormat="1" ht="45">
      <c r="C195" s="163">
        <v>44278</v>
      </c>
      <c r="D195" s="123" t="s">
        <v>2239</v>
      </c>
      <c r="E195" s="123" t="s">
        <v>1607</v>
      </c>
      <c r="G195" s="123" t="s">
        <v>2230</v>
      </c>
      <c r="H195" s="123" t="s">
        <v>2237</v>
      </c>
      <c r="K195" s="123" t="s">
        <v>2235</v>
      </c>
      <c r="L195" s="123" t="s">
        <v>1702</v>
      </c>
      <c r="O195" s="123" t="s">
        <v>1380</v>
      </c>
      <c r="R195" s="188"/>
      <c r="S195" s="188"/>
      <c r="T195" s="188"/>
    </row>
    <row r="196" spans="3:25" s="123" customFormat="1" ht="45">
      <c r="C196" s="163">
        <v>44278</v>
      </c>
      <c r="D196" s="123" t="s">
        <v>2239</v>
      </c>
      <c r="E196" s="123" t="s">
        <v>1607</v>
      </c>
      <c r="G196" s="123" t="s">
        <v>2232</v>
      </c>
      <c r="H196" s="123" t="s">
        <v>2236</v>
      </c>
      <c r="K196" s="123" t="s">
        <v>2235</v>
      </c>
      <c r="L196" s="123" t="s">
        <v>1702</v>
      </c>
      <c r="O196" s="123" t="s">
        <v>1380</v>
      </c>
      <c r="R196" s="188"/>
      <c r="S196" s="188"/>
      <c r="T196" s="188"/>
    </row>
    <row r="197" spans="3:25" s="123" customFormat="1" ht="45">
      <c r="C197" s="163">
        <v>44278</v>
      </c>
      <c r="D197" s="123" t="s">
        <v>2239</v>
      </c>
      <c r="E197" s="123" t="s">
        <v>1607</v>
      </c>
      <c r="G197" s="123" t="s">
        <v>2233</v>
      </c>
      <c r="H197" s="123" t="s">
        <v>2234</v>
      </c>
      <c r="K197" s="123" t="s">
        <v>2235</v>
      </c>
      <c r="L197" s="123" t="s">
        <v>1702</v>
      </c>
      <c r="O197" s="123" t="s">
        <v>1380</v>
      </c>
      <c r="R197" s="188"/>
      <c r="S197" s="188"/>
      <c r="T197" s="188"/>
    </row>
    <row r="198" spans="3:25" s="170" customFormat="1" ht="45">
      <c r="C198" s="182">
        <v>44278</v>
      </c>
      <c r="D198" s="170" t="s">
        <v>2205</v>
      </c>
      <c r="E198" s="170" t="s">
        <v>1932</v>
      </c>
      <c r="G198" s="170" t="s">
        <v>2228</v>
      </c>
      <c r="L198" s="170" t="s">
        <v>2255</v>
      </c>
      <c r="O198" s="170" t="s">
        <v>1008</v>
      </c>
      <c r="R198" s="186"/>
      <c r="S198" s="186"/>
      <c r="T198" s="186"/>
      <c r="U198" s="170" t="s">
        <v>2241</v>
      </c>
      <c r="V198" s="190">
        <v>900</v>
      </c>
      <c r="W198" s="170" t="s">
        <v>2242</v>
      </c>
      <c r="Y198" s="170" t="s">
        <v>2256</v>
      </c>
    </row>
    <row r="199" spans="3:25" s="170" customFormat="1" ht="75">
      <c r="C199" s="182">
        <v>44278</v>
      </c>
      <c r="D199" s="170" t="s">
        <v>894</v>
      </c>
      <c r="E199" s="170" t="s">
        <v>1932</v>
      </c>
      <c r="G199" s="170" t="s">
        <v>2243</v>
      </c>
      <c r="L199" s="170" t="s">
        <v>2272</v>
      </c>
      <c r="O199" s="170" t="s">
        <v>1008</v>
      </c>
      <c r="R199" s="186"/>
      <c r="S199" s="186"/>
      <c r="T199" s="186"/>
      <c r="U199" s="170" t="s">
        <v>2244</v>
      </c>
      <c r="V199" s="190">
        <v>300</v>
      </c>
      <c r="Y199" s="170" t="s">
        <v>2254</v>
      </c>
    </row>
    <row r="200" spans="3:25" s="170" customFormat="1" ht="75">
      <c r="C200" s="182">
        <v>44284</v>
      </c>
      <c r="D200" s="170" t="s">
        <v>1098</v>
      </c>
      <c r="E200" s="170" t="s">
        <v>1738</v>
      </c>
      <c r="G200" s="170" t="s">
        <v>2251</v>
      </c>
      <c r="L200" s="170" t="s">
        <v>2281</v>
      </c>
      <c r="O200" s="170" t="s">
        <v>1008</v>
      </c>
      <c r="R200" s="186"/>
      <c r="S200" s="186"/>
      <c r="T200" s="186"/>
      <c r="U200" s="170" t="s">
        <v>2249</v>
      </c>
      <c r="V200" s="190">
        <v>900</v>
      </c>
      <c r="W200" s="170" t="s">
        <v>2250</v>
      </c>
    </row>
    <row r="201" spans="3:25" s="114" customFormat="1" ht="75">
      <c r="C201" s="161">
        <v>44285</v>
      </c>
      <c r="D201" s="114" t="s">
        <v>1103</v>
      </c>
      <c r="E201" s="114" t="s">
        <v>1738</v>
      </c>
      <c r="G201" s="114" t="s">
        <v>2252</v>
      </c>
      <c r="L201" s="114" t="s">
        <v>2308</v>
      </c>
      <c r="M201" s="114" t="s">
        <v>936</v>
      </c>
      <c r="O201" s="114" t="s">
        <v>1740</v>
      </c>
      <c r="R201" s="201"/>
      <c r="S201" s="201"/>
      <c r="T201" s="201"/>
      <c r="U201" s="114" t="s">
        <v>2253</v>
      </c>
      <c r="V201" s="202">
        <v>800</v>
      </c>
      <c r="W201" s="114" t="s">
        <v>2008</v>
      </c>
      <c r="Y201" s="114" t="s">
        <v>2286</v>
      </c>
    </row>
    <row r="202" spans="3:25" s="170" customFormat="1" ht="90">
      <c r="C202" s="182">
        <v>44285</v>
      </c>
      <c r="D202" s="170" t="s">
        <v>1103</v>
      </c>
      <c r="E202" s="170" t="s">
        <v>1831</v>
      </c>
      <c r="G202" s="170" t="s">
        <v>1089</v>
      </c>
      <c r="L202" s="170" t="s">
        <v>2344</v>
      </c>
      <c r="M202" s="170" t="s">
        <v>936</v>
      </c>
      <c r="O202" s="170" t="s">
        <v>1008</v>
      </c>
      <c r="R202" s="186"/>
      <c r="S202" s="186"/>
      <c r="T202" s="186"/>
    </row>
    <row r="203" spans="3:25" s="170" customFormat="1" ht="135">
      <c r="C203" s="182">
        <v>44286</v>
      </c>
      <c r="D203" s="170" t="s">
        <v>2205</v>
      </c>
      <c r="E203" s="170" t="s">
        <v>1757</v>
      </c>
      <c r="G203" s="170" t="s">
        <v>2261</v>
      </c>
      <c r="L203" s="170" t="s">
        <v>2313</v>
      </c>
      <c r="M203" s="170" t="s">
        <v>936</v>
      </c>
      <c r="O203" s="170" t="s">
        <v>1740</v>
      </c>
      <c r="Q203" s="170" t="s">
        <v>2314</v>
      </c>
      <c r="R203" s="186"/>
      <c r="S203" s="186"/>
      <c r="T203" s="186"/>
      <c r="U203" s="170" t="s">
        <v>2262</v>
      </c>
      <c r="V203" s="190">
        <v>900</v>
      </c>
      <c r="W203" s="170" t="s">
        <v>2263</v>
      </c>
      <c r="Y203" s="170" t="s">
        <v>2315</v>
      </c>
    </row>
    <row r="204" spans="3:25" s="241" customFormat="1" ht="75">
      <c r="C204" s="242">
        <v>44286</v>
      </c>
      <c r="D204" s="241" t="s">
        <v>2205</v>
      </c>
      <c r="E204" s="241" t="s">
        <v>1738</v>
      </c>
      <c r="G204" s="241" t="s">
        <v>2264</v>
      </c>
      <c r="L204" s="241" t="s">
        <v>2325</v>
      </c>
      <c r="O204" s="241" t="s">
        <v>1620</v>
      </c>
      <c r="R204" s="243"/>
      <c r="S204" s="243"/>
      <c r="T204" s="243"/>
      <c r="U204" s="241" t="s">
        <v>2279</v>
      </c>
      <c r="V204" s="244">
        <v>860</v>
      </c>
      <c r="W204" s="241" t="s">
        <v>2274</v>
      </c>
      <c r="Y204" s="241" t="s">
        <v>2343</v>
      </c>
    </row>
    <row r="205" spans="3:25" s="241" customFormat="1" ht="75">
      <c r="C205" s="242">
        <v>44286</v>
      </c>
      <c r="D205" s="241" t="s">
        <v>2205</v>
      </c>
      <c r="E205" s="241" t="s">
        <v>1738</v>
      </c>
      <c r="G205" s="241" t="s">
        <v>2265</v>
      </c>
      <c r="L205" s="241" t="s">
        <v>2325</v>
      </c>
      <c r="O205" s="241" t="s">
        <v>1620</v>
      </c>
      <c r="R205" s="243"/>
      <c r="S205" s="243"/>
      <c r="T205" s="243"/>
      <c r="U205" s="241" t="s">
        <v>2278</v>
      </c>
      <c r="V205" s="244">
        <v>860</v>
      </c>
      <c r="W205" s="241" t="s">
        <v>2274</v>
      </c>
      <c r="Y205" s="241" t="s">
        <v>2343</v>
      </c>
    </row>
    <row r="206" spans="3:25" s="241" customFormat="1" ht="120">
      <c r="C206" s="242">
        <v>44286</v>
      </c>
      <c r="D206" s="241" t="s">
        <v>2205</v>
      </c>
      <c r="E206" s="241" t="s">
        <v>1738</v>
      </c>
      <c r="G206" s="241" t="s">
        <v>2266</v>
      </c>
      <c r="L206" s="241" t="s">
        <v>2345</v>
      </c>
      <c r="O206" s="241" t="s">
        <v>1620</v>
      </c>
      <c r="R206" s="243"/>
      <c r="S206" s="243"/>
      <c r="T206" s="243"/>
      <c r="U206" s="241" t="s">
        <v>2277</v>
      </c>
      <c r="V206" s="244">
        <v>860</v>
      </c>
      <c r="W206" s="241" t="s">
        <v>2274</v>
      </c>
      <c r="Y206" s="241" t="s">
        <v>2343</v>
      </c>
    </row>
    <row r="207" spans="3:25" s="241" customFormat="1" ht="90">
      <c r="C207" s="242">
        <v>44286</v>
      </c>
      <c r="D207" s="241" t="s">
        <v>2205</v>
      </c>
      <c r="E207" s="241" t="s">
        <v>1738</v>
      </c>
      <c r="G207" s="241" t="s">
        <v>2267</v>
      </c>
      <c r="L207" s="241" t="s">
        <v>2346</v>
      </c>
      <c r="O207" s="241" t="s">
        <v>1620</v>
      </c>
      <c r="R207" s="243"/>
      <c r="S207" s="243"/>
      <c r="T207" s="243"/>
      <c r="U207" s="241" t="s">
        <v>2273</v>
      </c>
      <c r="V207" s="244">
        <v>860</v>
      </c>
      <c r="W207" s="241" t="s">
        <v>2274</v>
      </c>
      <c r="Y207" s="241" t="s">
        <v>2343</v>
      </c>
    </row>
    <row r="208" spans="3:25" s="110" customFormat="1" ht="42">
      <c r="C208" s="111">
        <v>44277</v>
      </c>
      <c r="D208" s="110" t="s">
        <v>1316</v>
      </c>
      <c r="E208" s="110" t="s">
        <v>1607</v>
      </c>
      <c r="G208" s="110" t="s">
        <v>2210</v>
      </c>
      <c r="L208" s="110" t="s">
        <v>2268</v>
      </c>
      <c r="O208" s="114" t="s">
        <v>1702</v>
      </c>
    </row>
    <row r="209" spans="3:25" s="159" customFormat="1" ht="30">
      <c r="C209" s="192">
        <v>44286</v>
      </c>
      <c r="D209" s="159" t="s">
        <v>2280</v>
      </c>
      <c r="E209" s="159" t="s">
        <v>2270</v>
      </c>
      <c r="G209" s="159" t="s">
        <v>2271</v>
      </c>
      <c r="L209" s="159" t="s">
        <v>2342</v>
      </c>
      <c r="O209" s="159" t="s">
        <v>2275</v>
      </c>
      <c r="R209" s="193"/>
      <c r="S209" s="193"/>
      <c r="T209" s="193"/>
      <c r="U209" s="159" t="s">
        <v>2269</v>
      </c>
      <c r="V209" s="194">
        <v>2500</v>
      </c>
      <c r="Y209" s="159" t="s">
        <v>2276</v>
      </c>
    </row>
    <row r="210" spans="3:25" s="170" customFormat="1" ht="15">
      <c r="C210" s="182">
        <v>44287</v>
      </c>
      <c r="D210" s="170" t="s">
        <v>1316</v>
      </c>
      <c r="E210" s="170" t="s">
        <v>1831</v>
      </c>
      <c r="G210" s="170" t="s">
        <v>1717</v>
      </c>
      <c r="L210" s="170" t="s">
        <v>1833</v>
      </c>
      <c r="M210" s="170" t="s">
        <v>936</v>
      </c>
      <c r="O210" s="170" t="s">
        <v>1008</v>
      </c>
      <c r="R210" s="186"/>
      <c r="S210" s="186"/>
      <c r="T210" s="186"/>
    </row>
    <row r="211" spans="3:25" s="114" customFormat="1" ht="45">
      <c r="C211" s="161">
        <v>44284</v>
      </c>
      <c r="D211" s="114" t="s">
        <v>1098</v>
      </c>
      <c r="E211" s="114" t="s">
        <v>1607</v>
      </c>
      <c r="G211" s="114" t="s">
        <v>2251</v>
      </c>
      <c r="L211" s="114" t="s">
        <v>2283</v>
      </c>
      <c r="O211" s="110" t="s">
        <v>1702</v>
      </c>
      <c r="R211" s="201"/>
      <c r="S211" s="201"/>
      <c r="T211" s="201"/>
      <c r="U211" s="114" t="s">
        <v>2249</v>
      </c>
      <c r="V211" s="202">
        <v>900</v>
      </c>
      <c r="W211" s="114" t="s">
        <v>2250</v>
      </c>
    </row>
    <row r="212" spans="3:25" s="86" customFormat="1" ht="42">
      <c r="C212" s="87">
        <v>44277</v>
      </c>
      <c r="D212" s="86" t="s">
        <v>907</v>
      </c>
      <c r="E212" s="86" t="s">
        <v>1607</v>
      </c>
      <c r="G212" s="86" t="s">
        <v>2206</v>
      </c>
      <c r="L212" s="123" t="s">
        <v>2282</v>
      </c>
      <c r="O212" s="86" t="s">
        <v>1445</v>
      </c>
    </row>
    <row r="213" spans="3:25" s="170" customFormat="1" ht="75">
      <c r="C213" s="182">
        <v>44291</v>
      </c>
      <c r="D213" s="170" t="s">
        <v>1804</v>
      </c>
      <c r="E213" s="170" t="s">
        <v>1958</v>
      </c>
      <c r="G213" s="170" t="s">
        <v>2291</v>
      </c>
      <c r="L213" s="170" t="s">
        <v>2338</v>
      </c>
      <c r="M213" s="170" t="s">
        <v>936</v>
      </c>
      <c r="O213" s="170" t="s">
        <v>1008</v>
      </c>
      <c r="R213" s="186"/>
      <c r="S213" s="186"/>
      <c r="T213" s="186"/>
      <c r="U213" s="170" t="s">
        <v>2287</v>
      </c>
      <c r="V213" s="190">
        <v>1800</v>
      </c>
      <c r="W213" s="170" t="s">
        <v>2288</v>
      </c>
    </row>
    <row r="214" spans="3:25" s="170" customFormat="1" ht="75">
      <c r="C214" s="182">
        <v>44291</v>
      </c>
      <c r="D214" s="170" t="s">
        <v>1804</v>
      </c>
      <c r="E214" s="170" t="s">
        <v>1958</v>
      </c>
      <c r="G214" s="170" t="s">
        <v>2290</v>
      </c>
      <c r="L214" s="170" t="s">
        <v>2338</v>
      </c>
      <c r="M214" s="170" t="s">
        <v>936</v>
      </c>
      <c r="O214" s="170" t="s">
        <v>1008</v>
      </c>
      <c r="R214" s="186"/>
      <c r="S214" s="186"/>
      <c r="T214" s="186"/>
      <c r="U214" s="170" t="s">
        <v>2289</v>
      </c>
      <c r="V214" s="190">
        <v>1800</v>
      </c>
      <c r="W214" s="170" t="s">
        <v>2288</v>
      </c>
    </row>
    <row r="215" spans="3:25" s="159" customFormat="1" ht="45">
      <c r="C215" s="192">
        <v>44292</v>
      </c>
      <c r="D215" s="159" t="s">
        <v>2205</v>
      </c>
      <c r="E215" s="159" t="s">
        <v>1607</v>
      </c>
      <c r="G215" s="159" t="s">
        <v>2293</v>
      </c>
      <c r="L215" s="159" t="s">
        <v>2332</v>
      </c>
      <c r="M215" s="159" t="s">
        <v>2204</v>
      </c>
      <c r="O215" s="159" t="s">
        <v>2275</v>
      </c>
      <c r="R215" s="193"/>
      <c r="S215" s="193"/>
      <c r="T215" s="193"/>
      <c r="U215" s="159" t="s">
        <v>2294</v>
      </c>
      <c r="V215" s="194">
        <v>900</v>
      </c>
    </row>
    <row r="216" spans="3:25" s="170" customFormat="1" ht="120">
      <c r="C216" s="182">
        <v>44292</v>
      </c>
      <c r="D216" s="170" t="s">
        <v>2205</v>
      </c>
      <c r="E216" s="170" t="s">
        <v>1757</v>
      </c>
      <c r="G216" s="170" t="s">
        <v>2297</v>
      </c>
      <c r="L216" s="170" t="s">
        <v>2311</v>
      </c>
      <c r="M216" s="170" t="s">
        <v>936</v>
      </c>
      <c r="O216" s="170" t="s">
        <v>1008</v>
      </c>
      <c r="Q216" s="170" t="s">
        <v>2298</v>
      </c>
      <c r="R216" s="186"/>
      <c r="S216" s="186"/>
      <c r="T216" s="186"/>
      <c r="U216" s="170" t="s">
        <v>2296</v>
      </c>
      <c r="V216" s="190">
        <v>900</v>
      </c>
      <c r="W216" s="170" t="s">
        <v>2295</v>
      </c>
      <c r="Y216" s="170" t="s">
        <v>2312</v>
      </c>
    </row>
    <row r="217" spans="3:25" s="114" customFormat="1" ht="60">
      <c r="C217" s="161">
        <v>44294</v>
      </c>
      <c r="D217" s="114" t="s">
        <v>2205</v>
      </c>
      <c r="E217" s="114" t="s">
        <v>2182</v>
      </c>
      <c r="G217" s="114" t="s">
        <v>2299</v>
      </c>
      <c r="L217" s="114" t="s">
        <v>2323</v>
      </c>
      <c r="M217" s="114" t="s">
        <v>936</v>
      </c>
      <c r="O217" s="114" t="s">
        <v>1809</v>
      </c>
      <c r="R217" s="201"/>
      <c r="S217" s="201"/>
      <c r="T217" s="201"/>
      <c r="U217" s="114" t="s">
        <v>2301</v>
      </c>
      <c r="V217" s="202">
        <v>1360</v>
      </c>
      <c r="W217" s="114" t="s">
        <v>2300</v>
      </c>
      <c r="Y217" s="114" t="s">
        <v>2317</v>
      </c>
    </row>
    <row r="218" spans="3:25" s="114" customFormat="1" ht="60">
      <c r="C218" s="161">
        <v>44294</v>
      </c>
      <c r="D218" s="114" t="s">
        <v>2205</v>
      </c>
      <c r="E218" s="114" t="s">
        <v>1738</v>
      </c>
      <c r="G218" s="114" t="s">
        <v>2303</v>
      </c>
      <c r="L218" s="114" t="s">
        <v>2324</v>
      </c>
      <c r="M218" s="114" t="s">
        <v>936</v>
      </c>
      <c r="O218" s="114" t="s">
        <v>1809</v>
      </c>
      <c r="R218" s="201"/>
      <c r="S218" s="201"/>
      <c r="T218" s="201"/>
      <c r="U218" s="114" t="s">
        <v>2304</v>
      </c>
      <c r="V218" s="202">
        <v>860</v>
      </c>
      <c r="W218" s="114" t="s">
        <v>2274</v>
      </c>
      <c r="Y218" s="114" t="s">
        <v>2316</v>
      </c>
    </row>
    <row r="219" spans="3:25" s="170" customFormat="1" ht="45">
      <c r="C219" s="182">
        <v>44295</v>
      </c>
      <c r="D219" s="170" t="s">
        <v>1790</v>
      </c>
      <c r="E219" s="170" t="s">
        <v>1791</v>
      </c>
      <c r="G219" s="170" t="s">
        <v>2320</v>
      </c>
      <c r="L219" s="170" t="s">
        <v>2341</v>
      </c>
      <c r="M219" s="170" t="s">
        <v>936</v>
      </c>
      <c r="O219" s="170" t="s">
        <v>1008</v>
      </c>
      <c r="R219" s="186"/>
      <c r="S219" s="186"/>
      <c r="T219" s="186"/>
      <c r="U219" s="170" t="s">
        <v>2321</v>
      </c>
      <c r="V219" s="190">
        <v>100</v>
      </c>
      <c r="W219" s="170" t="s">
        <v>2322</v>
      </c>
    </row>
    <row r="220" spans="3:25" s="241" customFormat="1" ht="45">
      <c r="C220" s="242">
        <v>44295</v>
      </c>
      <c r="D220" s="241" t="s">
        <v>2205</v>
      </c>
      <c r="E220" s="241" t="s">
        <v>1607</v>
      </c>
      <c r="G220" s="241" t="s">
        <v>2333</v>
      </c>
      <c r="L220" s="241" t="s">
        <v>2334</v>
      </c>
      <c r="M220" s="241" t="s">
        <v>2335</v>
      </c>
      <c r="O220" s="241" t="s">
        <v>1620</v>
      </c>
      <c r="R220" s="243"/>
      <c r="S220" s="243"/>
      <c r="T220" s="243"/>
      <c r="U220" s="241" t="s">
        <v>2336</v>
      </c>
      <c r="V220" s="244">
        <v>500</v>
      </c>
    </row>
    <row r="221" spans="3:25" s="114" customFormat="1" ht="30">
      <c r="C221" s="161">
        <v>44299</v>
      </c>
      <c r="D221" s="114" t="s">
        <v>2339</v>
      </c>
      <c r="E221" s="114" t="s">
        <v>1958</v>
      </c>
      <c r="G221" s="114" t="s">
        <v>949</v>
      </c>
      <c r="L221" s="114" t="s">
        <v>2340</v>
      </c>
      <c r="M221" s="114" t="s">
        <v>936</v>
      </c>
      <c r="O221" s="114" t="s">
        <v>1740</v>
      </c>
      <c r="R221" s="201"/>
      <c r="S221" s="201"/>
      <c r="T221" s="201"/>
    </row>
    <row r="222" spans="3:25" s="241" customFormat="1" ht="30">
      <c r="C222" s="242">
        <v>44299</v>
      </c>
      <c r="D222" s="241" t="s">
        <v>1068</v>
      </c>
      <c r="E222" s="241" t="s">
        <v>2045</v>
      </c>
      <c r="G222" s="241" t="s">
        <v>2352</v>
      </c>
      <c r="L222" s="241" t="s">
        <v>2354</v>
      </c>
      <c r="M222" s="241" t="s">
        <v>2353</v>
      </c>
      <c r="O222" s="241" t="s">
        <v>1620</v>
      </c>
      <c r="R222" s="243"/>
      <c r="S222" s="243"/>
      <c r="T222" s="243"/>
    </row>
  </sheetData>
  <autoFilter ref="A1:AB179" xr:uid="{B0FEED47-3965-C04D-BA2D-AAB5B98F2B8E}">
    <sortState xmlns:xlrd2="http://schemas.microsoft.com/office/spreadsheetml/2017/richdata2" ref="A2:AB179">
      <sortCondition ref="C1:C179"/>
    </sortState>
  </autoFilter>
  <phoneticPr fontId="3" type="noConversion"/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6DF16-B52E-7542-B8A5-C87749A5FA7B}">
  <dimension ref="A2:B17"/>
  <sheetViews>
    <sheetView workbookViewId="0">
      <selection activeCell="D14" sqref="D14"/>
    </sheetView>
  </sheetViews>
  <sheetFormatPr baseColWidth="10" defaultColWidth="11.5" defaultRowHeight="13"/>
  <sheetData>
    <row r="2" spans="1:2">
      <c r="A2" t="s">
        <v>1068</v>
      </c>
      <c r="B2" t="s">
        <v>2064</v>
      </c>
    </row>
    <row r="3" spans="1:2">
      <c r="B3" t="s">
        <v>2065</v>
      </c>
    </row>
    <row r="4" spans="1:2">
      <c r="B4" t="s">
        <v>2066</v>
      </c>
    </row>
    <row r="5" spans="1:2">
      <c r="B5" t="s">
        <v>2067</v>
      </c>
    </row>
    <row r="6" spans="1:2" ht="70">
      <c r="B6" s="30" t="s">
        <v>2068</v>
      </c>
    </row>
    <row r="11" spans="1:2">
      <c r="A11" t="s">
        <v>907</v>
      </c>
      <c r="B11" t="s">
        <v>2069</v>
      </c>
    </row>
    <row r="14" spans="1:2">
      <c r="A14" t="s">
        <v>898</v>
      </c>
      <c r="B14" t="s">
        <v>2070</v>
      </c>
    </row>
    <row r="16" spans="1:2">
      <c r="A16" t="s">
        <v>2071</v>
      </c>
      <c r="B16" t="s">
        <v>2072</v>
      </c>
    </row>
    <row r="17" spans="2:2">
      <c r="B17" t="s">
        <v>2073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C2FC6-EDA6-9948-8C81-BCECED42A46C}">
  <dimension ref="A2:B20"/>
  <sheetViews>
    <sheetView workbookViewId="0">
      <selection activeCell="I30" sqref="I30"/>
    </sheetView>
  </sheetViews>
  <sheetFormatPr baseColWidth="10" defaultColWidth="11.5" defaultRowHeight="13"/>
  <cols>
    <col min="2" max="2" width="31.83203125" bestFit="1" customWidth="1"/>
  </cols>
  <sheetData>
    <row r="2" spans="1:2">
      <c r="A2">
        <v>1</v>
      </c>
      <c r="B2" t="s">
        <v>1199</v>
      </c>
    </row>
    <row r="3" spans="1:2">
      <c r="A3">
        <v>2</v>
      </c>
      <c r="B3" t="s">
        <v>2074</v>
      </c>
    </row>
    <row r="4" spans="1:2">
      <c r="A4">
        <v>3</v>
      </c>
      <c r="B4" t="s">
        <v>2075</v>
      </c>
    </row>
    <row r="5" spans="1:2">
      <c r="A5">
        <v>4</v>
      </c>
      <c r="B5" t="s">
        <v>2076</v>
      </c>
    </row>
    <row r="6" spans="1:2">
      <c r="A6">
        <v>5</v>
      </c>
      <c r="B6" t="s">
        <v>2077</v>
      </c>
    </row>
    <row r="7" spans="1:2">
      <c r="A7">
        <v>6</v>
      </c>
      <c r="B7" t="s">
        <v>2078</v>
      </c>
    </row>
    <row r="8" spans="1:2">
      <c r="A8">
        <v>7</v>
      </c>
      <c r="B8" t="s">
        <v>2079</v>
      </c>
    </row>
    <row r="9" spans="1:2">
      <c r="A9">
        <v>8</v>
      </c>
      <c r="B9" t="s">
        <v>2080</v>
      </c>
    </row>
    <row r="10" spans="1:2">
      <c r="A10">
        <v>9</v>
      </c>
      <c r="B10" t="s">
        <v>2081</v>
      </c>
    </row>
    <row r="11" spans="1:2">
      <c r="A11">
        <v>10</v>
      </c>
      <c r="B11" t="s">
        <v>2082</v>
      </c>
    </row>
    <row r="12" spans="1:2">
      <c r="A12">
        <v>11</v>
      </c>
      <c r="B12" t="s">
        <v>2083</v>
      </c>
    </row>
    <row r="13" spans="1:2">
      <c r="A13">
        <v>12</v>
      </c>
      <c r="B13" t="s">
        <v>2084</v>
      </c>
    </row>
    <row r="14" spans="1:2">
      <c r="A14">
        <v>13</v>
      </c>
      <c r="B14" t="s">
        <v>2085</v>
      </c>
    </row>
    <row r="15" spans="1:2">
      <c r="A15">
        <v>14</v>
      </c>
      <c r="B15" t="s">
        <v>2086</v>
      </c>
    </row>
    <row r="16" spans="1:2">
      <c r="A16">
        <v>15</v>
      </c>
      <c r="B16" t="s">
        <v>2087</v>
      </c>
    </row>
    <row r="17" spans="1:2">
      <c r="A17">
        <v>16</v>
      </c>
      <c r="B17" t="s">
        <v>755</v>
      </c>
    </row>
    <row r="18" spans="1:2">
      <c r="A18">
        <v>17</v>
      </c>
      <c r="B18" t="s">
        <v>2088</v>
      </c>
    </row>
    <row r="19" spans="1:2">
      <c r="A19">
        <v>18</v>
      </c>
      <c r="B19" t="s">
        <v>2089</v>
      </c>
    </row>
    <row r="20" spans="1:2">
      <c r="A20">
        <v>19</v>
      </c>
      <c r="B20" t="s">
        <v>2090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38426-D50E-6548-AE02-824DBBFF0144}">
  <dimension ref="A1:AA17"/>
  <sheetViews>
    <sheetView topLeftCell="A7" workbookViewId="0">
      <selection activeCell="G23" sqref="G23"/>
    </sheetView>
  </sheetViews>
  <sheetFormatPr baseColWidth="10" defaultColWidth="10.83203125" defaultRowHeight="13"/>
  <cols>
    <col min="1" max="1" width="8.1640625" style="27" customWidth="1"/>
    <col min="2" max="3" width="10.83203125" style="27"/>
    <col min="4" max="4" width="13.5" style="27" customWidth="1"/>
    <col min="5" max="6" width="10.83203125" style="27"/>
    <col min="7" max="7" width="18.1640625" style="27" customWidth="1"/>
    <col min="8" max="11" width="18.1640625" style="27" hidden="1" customWidth="1"/>
    <col min="12" max="12" width="83.33203125" style="27" customWidth="1"/>
    <col min="13" max="14" width="10.83203125" style="27"/>
    <col min="15" max="15" width="16.5" style="27" bestFit="1" customWidth="1"/>
    <col min="16" max="16384" width="10.83203125" style="27"/>
  </cols>
  <sheetData>
    <row r="1" spans="1:27" s="88" customFormat="1" ht="30">
      <c r="A1" s="88" t="s">
        <v>1293</v>
      </c>
      <c r="B1" s="88" t="s">
        <v>1665</v>
      </c>
      <c r="C1" s="88" t="s">
        <v>2091</v>
      </c>
      <c r="D1" s="88" t="s">
        <v>1666</v>
      </c>
      <c r="E1" s="88" t="s">
        <v>1296</v>
      </c>
      <c r="F1" s="88" t="s">
        <v>1252</v>
      </c>
      <c r="G1" s="88" t="s">
        <v>1297</v>
      </c>
      <c r="H1" s="88" t="s">
        <v>1298</v>
      </c>
      <c r="I1" s="88" t="s">
        <v>1299</v>
      </c>
      <c r="J1" s="88" t="s">
        <v>1300</v>
      </c>
      <c r="K1" s="88" t="s">
        <v>10</v>
      </c>
      <c r="L1" s="88" t="s">
        <v>1258</v>
      </c>
      <c r="M1" s="88" t="s">
        <v>2092</v>
      </c>
      <c r="N1" s="88" t="s">
        <v>1303</v>
      </c>
      <c r="O1" s="88" t="s">
        <v>1304</v>
      </c>
      <c r="P1" s="88" t="s">
        <v>1305</v>
      </c>
      <c r="Q1" s="88" t="s">
        <v>1668</v>
      </c>
      <c r="R1" s="113" t="s">
        <v>1669</v>
      </c>
      <c r="S1" s="113" t="s">
        <v>1671</v>
      </c>
      <c r="T1" s="88" t="s">
        <v>1310</v>
      </c>
      <c r="U1" s="88" t="s">
        <v>1672</v>
      </c>
      <c r="V1" s="88" t="s">
        <v>1673</v>
      </c>
      <c r="W1" s="88" t="s">
        <v>1311</v>
      </c>
      <c r="X1" s="88" t="s">
        <v>1304</v>
      </c>
      <c r="Y1" s="88" t="s">
        <v>1312</v>
      </c>
      <c r="Z1" s="88" t="s">
        <v>1313</v>
      </c>
      <c r="AA1" s="88" t="s">
        <v>1314</v>
      </c>
    </row>
    <row r="2" spans="1:27" s="72" customFormat="1" ht="56">
      <c r="A2" s="72">
        <v>1</v>
      </c>
      <c r="C2" s="233">
        <v>44075</v>
      </c>
      <c r="D2" s="72" t="s">
        <v>1869</v>
      </c>
      <c r="G2" s="72" t="s">
        <v>1107</v>
      </c>
      <c r="L2" s="72" t="s">
        <v>2093</v>
      </c>
      <c r="O2" s="72" t="s">
        <v>2094</v>
      </c>
      <c r="T2" s="234"/>
      <c r="U2" s="234">
        <v>2000</v>
      </c>
    </row>
    <row r="3" spans="1:27" s="225" customFormat="1" ht="28">
      <c r="A3" s="225">
        <v>2</v>
      </c>
      <c r="C3" s="235">
        <v>44088</v>
      </c>
      <c r="D3" s="225" t="s">
        <v>2095</v>
      </c>
      <c r="L3" s="225" t="s">
        <v>2096</v>
      </c>
      <c r="O3" s="225" t="s">
        <v>1380</v>
      </c>
    </row>
    <row r="4" spans="1:27" s="225" customFormat="1" ht="42">
      <c r="A4" s="225">
        <v>3</v>
      </c>
      <c r="C4" s="235">
        <v>44088</v>
      </c>
      <c r="D4" s="225" t="s">
        <v>1869</v>
      </c>
      <c r="G4" s="225" t="s">
        <v>2097</v>
      </c>
      <c r="L4" s="225" t="s">
        <v>2098</v>
      </c>
      <c r="O4" s="225" t="s">
        <v>2099</v>
      </c>
    </row>
    <row r="5" spans="1:27" s="225" customFormat="1" ht="42">
      <c r="A5" s="225">
        <v>4</v>
      </c>
      <c r="C5" s="235">
        <v>44088</v>
      </c>
      <c r="D5" s="225" t="s">
        <v>2100</v>
      </c>
      <c r="G5" s="225" t="s">
        <v>2101</v>
      </c>
      <c r="L5" s="225" t="s">
        <v>2102</v>
      </c>
      <c r="O5" s="225" t="s">
        <v>2099</v>
      </c>
    </row>
    <row r="6" spans="1:27" s="72" customFormat="1" ht="28">
      <c r="A6" s="72">
        <v>5</v>
      </c>
      <c r="D6" s="72" t="s">
        <v>894</v>
      </c>
      <c r="G6" s="72" t="s">
        <v>2103</v>
      </c>
      <c r="L6" s="72" t="s">
        <v>2104</v>
      </c>
      <c r="O6" s="72" t="s">
        <v>2094</v>
      </c>
      <c r="P6" s="236">
        <v>44099</v>
      </c>
      <c r="Q6" s="72" t="s">
        <v>1948</v>
      </c>
      <c r="U6" s="234">
        <v>7000</v>
      </c>
    </row>
    <row r="7" spans="1:27" s="72" customFormat="1" ht="14">
      <c r="D7" s="72" t="s">
        <v>971</v>
      </c>
      <c r="G7" s="72" t="s">
        <v>973</v>
      </c>
      <c r="L7" s="72" t="s">
        <v>2105</v>
      </c>
      <c r="Q7" s="234">
        <v>1200</v>
      </c>
    </row>
    <row r="8" spans="1:27" s="117" customFormat="1" ht="45">
      <c r="C8" s="166">
        <v>44069</v>
      </c>
      <c r="D8" s="117" t="s">
        <v>894</v>
      </c>
      <c r="E8" s="117" t="s">
        <v>1851</v>
      </c>
      <c r="G8" s="117" t="s">
        <v>1852</v>
      </c>
      <c r="L8" s="117" t="s">
        <v>2106</v>
      </c>
      <c r="O8" s="117" t="s">
        <v>1620</v>
      </c>
      <c r="R8" s="203"/>
      <c r="S8" s="203"/>
      <c r="T8" s="203"/>
    </row>
    <row r="9" spans="1:27" ht="14">
      <c r="C9" s="237">
        <v>44130</v>
      </c>
      <c r="D9" s="27" t="s">
        <v>1068</v>
      </c>
      <c r="G9" s="27" t="s">
        <v>2107</v>
      </c>
      <c r="L9" s="27" t="s">
        <v>2108</v>
      </c>
      <c r="O9" s="27" t="s">
        <v>1620</v>
      </c>
    </row>
    <row r="10" spans="1:27" ht="28">
      <c r="D10" s="27" t="s">
        <v>2109</v>
      </c>
      <c r="G10" s="27" t="s">
        <v>2110</v>
      </c>
      <c r="L10" s="27" t="s">
        <v>2111</v>
      </c>
    </row>
    <row r="11" spans="1:27" ht="28">
      <c r="C11" s="237">
        <v>44138</v>
      </c>
      <c r="D11" s="27" t="s">
        <v>2112</v>
      </c>
      <c r="G11" s="27" t="s">
        <v>2113</v>
      </c>
      <c r="L11" s="27" t="s">
        <v>2114</v>
      </c>
    </row>
    <row r="12" spans="1:27" ht="28">
      <c r="C12" s="237">
        <v>44138</v>
      </c>
      <c r="D12" s="27" t="s">
        <v>2112</v>
      </c>
      <c r="G12" s="27" t="s">
        <v>2115</v>
      </c>
      <c r="L12" s="27" t="s">
        <v>2116</v>
      </c>
    </row>
    <row r="13" spans="1:27" ht="14">
      <c r="C13" s="237">
        <v>44160</v>
      </c>
      <c r="D13" s="27" t="s">
        <v>1068</v>
      </c>
      <c r="L13" s="27" t="s">
        <v>2117</v>
      </c>
    </row>
    <row r="14" spans="1:27" ht="28">
      <c r="C14" s="237">
        <v>44160</v>
      </c>
      <c r="D14" s="27" t="s">
        <v>2118</v>
      </c>
      <c r="G14" s="27" t="s">
        <v>2119</v>
      </c>
      <c r="L14" s="27" t="s">
        <v>2120</v>
      </c>
    </row>
    <row r="15" spans="1:27" ht="14">
      <c r="C15" s="237">
        <v>44162</v>
      </c>
      <c r="D15" s="27" t="s">
        <v>1037</v>
      </c>
      <c r="G15" s="27" t="s">
        <v>2121</v>
      </c>
    </row>
    <row r="16" spans="1:27" ht="28">
      <c r="D16" s="27" t="s">
        <v>2122</v>
      </c>
      <c r="G16" s="27" t="s">
        <v>2123</v>
      </c>
    </row>
    <row r="17" spans="3:12" ht="28">
      <c r="C17" s="237">
        <v>44231</v>
      </c>
      <c r="D17" s="27" t="s">
        <v>2185</v>
      </c>
      <c r="G17" s="27" t="s">
        <v>2186</v>
      </c>
      <c r="L17" s="27" t="s">
        <v>2187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W87"/>
  <sheetViews>
    <sheetView workbookViewId="0">
      <pane ySplit="1" topLeftCell="A32" activePane="bottomLeft" state="frozen"/>
      <selection pane="bottomLeft" activeCell="C5" sqref="C5"/>
    </sheetView>
  </sheetViews>
  <sheetFormatPr baseColWidth="10" defaultColWidth="8.83203125" defaultRowHeight="13"/>
  <cols>
    <col min="1" max="1" width="14" customWidth="1"/>
    <col min="2" max="2" width="15.6640625" customWidth="1"/>
    <col min="3" max="3" width="57.33203125" style="19" customWidth="1"/>
    <col min="4" max="4" width="12.5" customWidth="1"/>
    <col min="5" max="5" width="19.5" customWidth="1"/>
    <col min="6" max="6" width="50.1640625" style="19" customWidth="1"/>
    <col min="7" max="7" width="59.6640625" style="19" customWidth="1"/>
    <col min="8" max="8" width="10.6640625" style="19" customWidth="1"/>
    <col min="9" max="9" width="18.5" customWidth="1"/>
    <col min="10" max="10" width="37.6640625" customWidth="1"/>
    <col min="11" max="11" width="12.6640625" style="19" customWidth="1"/>
    <col min="12" max="12" width="12.6640625" customWidth="1"/>
    <col min="13" max="13" width="20.83203125" style="23" customWidth="1"/>
    <col min="14" max="14" width="24.5" style="23" customWidth="1"/>
    <col min="15" max="15" width="21" style="25" customWidth="1"/>
    <col min="16" max="16" width="21.6640625" style="23" customWidth="1"/>
    <col min="17" max="18" width="21.6640625" customWidth="1"/>
    <col min="19" max="19" width="18.5" customWidth="1"/>
    <col min="20" max="20" width="36.1640625" customWidth="1"/>
    <col min="22" max="22" width="73" customWidth="1"/>
    <col min="23" max="23" width="16.1640625" customWidth="1"/>
  </cols>
  <sheetData>
    <row r="1" spans="1:23" ht="14">
      <c r="A1" t="s">
        <v>862</v>
      </c>
      <c r="B1" t="s">
        <v>287</v>
      </c>
      <c r="C1" s="22" t="s">
        <v>288</v>
      </c>
      <c r="D1" s="21" t="s">
        <v>289</v>
      </c>
      <c r="E1" s="21" t="s">
        <v>290</v>
      </c>
      <c r="F1" s="22" t="s">
        <v>291</v>
      </c>
      <c r="G1" s="22" t="s">
        <v>292</v>
      </c>
      <c r="H1" s="22" t="s">
        <v>293</v>
      </c>
      <c r="I1" s="21" t="s">
        <v>294</v>
      </c>
      <c r="J1" s="21" t="s">
        <v>295</v>
      </c>
      <c r="K1" s="22" t="s">
        <v>296</v>
      </c>
      <c r="L1" s="21" t="s">
        <v>297</v>
      </c>
      <c r="M1" s="24" t="s">
        <v>298</v>
      </c>
      <c r="N1" s="24" t="s">
        <v>299</v>
      </c>
      <c r="O1" s="26" t="s">
        <v>300</v>
      </c>
      <c r="P1" s="24" t="s">
        <v>301</v>
      </c>
      <c r="Q1" s="21" t="s">
        <v>302</v>
      </c>
      <c r="R1" s="21" t="s">
        <v>303</v>
      </c>
      <c r="S1" s="21" t="s">
        <v>304</v>
      </c>
      <c r="T1" s="21" t="s">
        <v>305</v>
      </c>
      <c r="U1" s="21" t="s">
        <v>306</v>
      </c>
      <c r="V1" s="22" t="s">
        <v>307</v>
      </c>
      <c r="W1" s="21" t="s">
        <v>308</v>
      </c>
    </row>
    <row r="2" spans="1:23" ht="14">
      <c r="B2" t="s">
        <v>309</v>
      </c>
      <c r="C2" s="27" t="s">
        <v>310</v>
      </c>
      <c r="D2" s="30"/>
      <c r="E2" s="30"/>
      <c r="F2" s="27" t="s">
        <v>311</v>
      </c>
      <c r="G2" s="27" t="s">
        <v>312</v>
      </c>
      <c r="H2" s="27" t="s">
        <v>313</v>
      </c>
      <c r="I2" s="27"/>
      <c r="J2" s="34"/>
      <c r="K2" s="27">
        <v>100000</v>
      </c>
      <c r="L2" s="30"/>
      <c r="M2" s="31">
        <v>43104</v>
      </c>
      <c r="N2" s="31">
        <v>36526</v>
      </c>
      <c r="O2" s="31">
        <v>36526</v>
      </c>
      <c r="P2" s="31">
        <v>42710</v>
      </c>
      <c r="Q2" s="30"/>
      <c r="R2" s="30"/>
      <c r="S2" s="30"/>
      <c r="T2" s="30"/>
      <c r="U2" s="30"/>
      <c r="V2" s="30" t="s">
        <v>314</v>
      </c>
    </row>
    <row r="3" spans="1:23" ht="14">
      <c r="B3" t="s">
        <v>322</v>
      </c>
      <c r="C3" s="27" t="s">
        <v>323</v>
      </c>
      <c r="D3" s="30"/>
      <c r="E3" s="30"/>
      <c r="F3" s="27" t="s">
        <v>324</v>
      </c>
      <c r="G3" s="27" t="s">
        <v>325</v>
      </c>
      <c r="H3" s="27"/>
      <c r="I3" s="30" t="s">
        <v>326</v>
      </c>
      <c r="J3" s="30" t="s">
        <v>327</v>
      </c>
      <c r="K3" s="27">
        <v>1000000</v>
      </c>
      <c r="L3" s="30"/>
      <c r="M3" s="31">
        <v>42811</v>
      </c>
      <c r="N3" s="31">
        <v>43069</v>
      </c>
      <c r="O3" s="32">
        <v>42704</v>
      </c>
      <c r="P3" s="31">
        <v>43009</v>
      </c>
      <c r="Q3" s="30"/>
      <c r="R3" s="30"/>
      <c r="S3" s="30"/>
      <c r="T3" s="30"/>
      <c r="U3" s="30"/>
      <c r="V3" s="30"/>
    </row>
    <row r="4" spans="1:23" ht="14">
      <c r="B4" t="s">
        <v>328</v>
      </c>
      <c r="C4" s="27" t="s">
        <v>329</v>
      </c>
      <c r="D4" s="30"/>
      <c r="E4" s="30"/>
      <c r="F4" s="27" t="s">
        <v>330</v>
      </c>
      <c r="G4" s="27" t="s">
        <v>331</v>
      </c>
      <c r="H4" s="27" t="s">
        <v>332</v>
      </c>
      <c r="I4" s="30" t="s">
        <v>333</v>
      </c>
      <c r="J4" s="30" t="s">
        <v>334</v>
      </c>
      <c r="K4" s="27">
        <v>743968</v>
      </c>
      <c r="L4" s="30"/>
      <c r="M4" s="31">
        <v>42669</v>
      </c>
      <c r="N4" s="31">
        <v>42908</v>
      </c>
      <c r="O4" s="32">
        <v>42908</v>
      </c>
      <c r="P4" s="31">
        <v>42915</v>
      </c>
      <c r="Q4" s="30"/>
      <c r="R4" s="30"/>
      <c r="S4" s="30"/>
      <c r="T4" s="30"/>
      <c r="U4" s="30"/>
      <c r="V4" s="30" t="s">
        <v>335</v>
      </c>
    </row>
    <row r="5" spans="1:23" s="38" customFormat="1" ht="28">
      <c r="B5" s="38" t="s">
        <v>344</v>
      </c>
      <c r="C5" s="37" t="s">
        <v>345</v>
      </c>
      <c r="D5" s="39"/>
      <c r="E5" s="39"/>
      <c r="F5" s="37" t="s">
        <v>346</v>
      </c>
      <c r="G5" s="37" t="s">
        <v>347</v>
      </c>
      <c r="H5" s="37"/>
      <c r="I5" s="39" t="s">
        <v>348</v>
      </c>
      <c r="J5" s="59" t="s">
        <v>349</v>
      </c>
      <c r="K5" s="37">
        <v>1000000</v>
      </c>
      <c r="L5" s="39"/>
      <c r="M5" s="40">
        <v>42215</v>
      </c>
      <c r="N5" s="40">
        <v>43377</v>
      </c>
      <c r="O5" s="41">
        <v>43012</v>
      </c>
      <c r="P5" s="40">
        <v>42846</v>
      </c>
      <c r="Q5" s="39"/>
      <c r="R5" s="39"/>
      <c r="S5" s="39"/>
      <c r="T5" s="39"/>
      <c r="U5" s="39"/>
      <c r="V5" s="39" t="s">
        <v>350</v>
      </c>
    </row>
    <row r="6" spans="1:23" s="38" customFormat="1" ht="28">
      <c r="B6" s="38" t="s">
        <v>351</v>
      </c>
      <c r="C6" s="37" t="s">
        <v>352</v>
      </c>
      <c r="D6" s="39"/>
      <c r="E6" s="39"/>
      <c r="F6" s="37" t="s">
        <v>346</v>
      </c>
      <c r="G6" s="37" t="s">
        <v>353</v>
      </c>
      <c r="H6" s="37"/>
      <c r="I6" s="39" t="s">
        <v>354</v>
      </c>
      <c r="J6" s="39" t="s">
        <v>349</v>
      </c>
      <c r="K6" s="37">
        <v>100000</v>
      </c>
      <c r="L6" s="39"/>
      <c r="M6" s="40">
        <v>42215</v>
      </c>
      <c r="N6" s="40">
        <v>43465</v>
      </c>
      <c r="O6" s="41">
        <v>43100</v>
      </c>
      <c r="P6" s="40">
        <v>43130</v>
      </c>
      <c r="Q6" s="39"/>
      <c r="R6" s="39"/>
      <c r="S6" s="39"/>
      <c r="T6" s="39"/>
      <c r="U6" s="39"/>
      <c r="V6" s="39" t="s">
        <v>355</v>
      </c>
    </row>
    <row r="7" spans="1:23" s="38" customFormat="1" ht="14">
      <c r="B7" s="38" t="s">
        <v>356</v>
      </c>
      <c r="C7" s="37" t="s">
        <v>357</v>
      </c>
      <c r="D7" s="39"/>
      <c r="E7" s="39"/>
      <c r="F7" s="37" t="s">
        <v>358</v>
      </c>
      <c r="G7" s="37" t="s">
        <v>358</v>
      </c>
      <c r="H7" s="37" t="s">
        <v>332</v>
      </c>
      <c r="I7" s="39"/>
      <c r="J7" s="39"/>
      <c r="K7" s="37">
        <v>50000</v>
      </c>
      <c r="L7" s="39"/>
      <c r="M7" s="40">
        <v>42287</v>
      </c>
      <c r="N7" s="40">
        <v>43214</v>
      </c>
      <c r="O7" s="41">
        <v>42849</v>
      </c>
      <c r="P7" s="40">
        <v>42850</v>
      </c>
      <c r="Q7" s="39"/>
      <c r="R7" s="39"/>
      <c r="S7" s="39"/>
      <c r="T7" s="39"/>
      <c r="U7" s="39"/>
      <c r="V7" s="39" t="s">
        <v>359</v>
      </c>
    </row>
    <row r="8" spans="1:23" s="38" customFormat="1" ht="14">
      <c r="B8" s="38" t="s">
        <v>360</v>
      </c>
      <c r="C8" s="37" t="s">
        <v>361</v>
      </c>
      <c r="D8" s="39"/>
      <c r="E8" s="39"/>
      <c r="F8" s="37" t="s">
        <v>362</v>
      </c>
      <c r="G8" s="37" t="s">
        <v>363</v>
      </c>
      <c r="H8" s="37"/>
      <c r="I8" s="39" t="s">
        <v>364</v>
      </c>
      <c r="J8" s="39" t="s">
        <v>365</v>
      </c>
      <c r="K8" s="37">
        <v>3000</v>
      </c>
      <c r="L8" s="39"/>
      <c r="M8" s="40">
        <v>42317</v>
      </c>
      <c r="N8" s="40">
        <v>43465</v>
      </c>
      <c r="O8" s="41">
        <v>43100</v>
      </c>
      <c r="P8" s="40">
        <v>43315</v>
      </c>
      <c r="Q8" s="39"/>
      <c r="R8" s="39"/>
      <c r="S8" s="39"/>
      <c r="T8" s="39"/>
      <c r="U8" s="39"/>
      <c r="V8" s="39" t="s">
        <v>366</v>
      </c>
    </row>
    <row r="9" spans="1:23" s="38" customFormat="1" ht="14">
      <c r="B9" s="38" t="s">
        <v>367</v>
      </c>
      <c r="C9" s="37" t="s">
        <v>368</v>
      </c>
      <c r="D9" s="39"/>
      <c r="E9" s="39"/>
      <c r="F9" s="37" t="s">
        <v>369</v>
      </c>
      <c r="G9" s="37" t="s">
        <v>370</v>
      </c>
      <c r="H9" s="37"/>
      <c r="I9" s="39" t="s">
        <v>371</v>
      </c>
      <c r="J9" s="39" t="s">
        <v>372</v>
      </c>
      <c r="K9" s="37">
        <v>3000</v>
      </c>
      <c r="L9" s="39"/>
      <c r="M9" s="40">
        <v>42340</v>
      </c>
      <c r="N9" s="40">
        <v>43284</v>
      </c>
      <c r="O9" s="41">
        <v>42919</v>
      </c>
      <c r="P9" s="40">
        <v>42809</v>
      </c>
      <c r="Q9" s="39"/>
      <c r="R9" s="39"/>
      <c r="S9" s="39"/>
      <c r="T9" s="39"/>
      <c r="U9" s="39"/>
      <c r="V9" s="39" t="s">
        <v>373</v>
      </c>
    </row>
    <row r="10" spans="1:23" ht="14">
      <c r="B10" t="s">
        <v>374</v>
      </c>
      <c r="C10" s="27" t="s">
        <v>375</v>
      </c>
      <c r="D10" s="30"/>
      <c r="E10" s="30"/>
      <c r="F10" s="27"/>
      <c r="G10" s="27" t="s">
        <v>376</v>
      </c>
      <c r="H10" s="27"/>
      <c r="I10" s="30" t="s">
        <v>377</v>
      </c>
      <c r="J10" s="30" t="s">
        <v>378</v>
      </c>
      <c r="K10" s="27"/>
      <c r="L10" s="30"/>
      <c r="M10" s="31">
        <v>42725</v>
      </c>
      <c r="N10" s="31">
        <v>43349</v>
      </c>
      <c r="O10" s="32">
        <v>42984</v>
      </c>
      <c r="P10" s="31">
        <v>43054</v>
      </c>
      <c r="Q10" s="30"/>
      <c r="R10" s="30"/>
      <c r="S10" s="30"/>
      <c r="T10" s="30"/>
      <c r="U10" s="30"/>
      <c r="V10" s="30" t="s">
        <v>379</v>
      </c>
    </row>
    <row r="11" spans="1:23" s="38" customFormat="1" ht="14">
      <c r="B11" s="38" t="s">
        <v>380</v>
      </c>
      <c r="C11" s="37" t="s">
        <v>381</v>
      </c>
      <c r="D11" s="39"/>
      <c r="E11" s="39"/>
      <c r="F11" s="37" t="s">
        <v>353</v>
      </c>
      <c r="G11" s="37" t="s">
        <v>382</v>
      </c>
      <c r="H11" s="37" t="s">
        <v>332</v>
      </c>
      <c r="I11" s="39"/>
      <c r="J11" s="39"/>
      <c r="K11" s="37">
        <v>1000000</v>
      </c>
      <c r="L11" s="39"/>
      <c r="M11" s="40">
        <v>42347</v>
      </c>
      <c r="N11" s="40">
        <v>43299</v>
      </c>
      <c r="O11" s="41">
        <v>42934</v>
      </c>
      <c r="P11" s="40">
        <v>42743</v>
      </c>
      <c r="Q11" s="39"/>
      <c r="R11" s="39"/>
      <c r="S11" s="39"/>
      <c r="T11" s="39"/>
      <c r="U11" s="39"/>
      <c r="V11" s="39" t="s">
        <v>383</v>
      </c>
    </row>
    <row r="12" spans="1:23" s="38" customFormat="1" ht="14">
      <c r="B12" s="38" t="s">
        <v>396</v>
      </c>
      <c r="C12" s="37" t="s">
        <v>397</v>
      </c>
      <c r="D12" s="39"/>
      <c r="E12" s="39"/>
      <c r="F12" s="37" t="s">
        <v>386</v>
      </c>
      <c r="G12" s="37" t="s">
        <v>398</v>
      </c>
      <c r="H12" s="37"/>
      <c r="I12" s="39" t="s">
        <v>399</v>
      </c>
      <c r="J12" s="39" t="s">
        <v>400</v>
      </c>
      <c r="K12" s="37">
        <v>6820</v>
      </c>
      <c r="L12" s="39"/>
      <c r="M12" s="40">
        <v>42396</v>
      </c>
      <c r="N12" s="40">
        <v>43281</v>
      </c>
      <c r="O12" s="41">
        <v>42916</v>
      </c>
      <c r="P12" s="40">
        <v>42916</v>
      </c>
      <c r="Q12" s="39"/>
      <c r="R12" s="39"/>
      <c r="S12" s="39"/>
      <c r="T12" s="39"/>
      <c r="U12" s="39"/>
      <c r="V12" s="39" t="s">
        <v>401</v>
      </c>
    </row>
    <row r="13" spans="1:23" ht="28">
      <c r="B13" t="s">
        <v>406</v>
      </c>
      <c r="C13" s="37" t="s">
        <v>407</v>
      </c>
      <c r="D13" s="30"/>
      <c r="E13" s="30"/>
      <c r="F13" s="27"/>
      <c r="G13" s="27"/>
      <c r="H13" s="27"/>
      <c r="I13" s="30" t="s">
        <v>408</v>
      </c>
      <c r="J13" s="30" t="s">
        <v>409</v>
      </c>
      <c r="K13" s="27"/>
      <c r="L13" s="30"/>
      <c r="M13" s="31">
        <v>42403</v>
      </c>
      <c r="N13" s="31">
        <v>43174</v>
      </c>
      <c r="O13" s="32">
        <v>42809</v>
      </c>
      <c r="P13" s="31">
        <v>42810</v>
      </c>
      <c r="Q13" s="30"/>
      <c r="R13" s="30"/>
      <c r="S13" s="30"/>
      <c r="T13" s="30"/>
      <c r="U13" s="30"/>
      <c r="V13" s="30"/>
    </row>
    <row r="14" spans="1:23" s="38" customFormat="1" ht="14">
      <c r="B14" s="38" t="s">
        <v>410</v>
      </c>
      <c r="C14" s="37" t="s">
        <v>411</v>
      </c>
      <c r="D14" s="39"/>
      <c r="E14" s="39"/>
      <c r="F14" s="37" t="s">
        <v>412</v>
      </c>
      <c r="G14" s="37" t="s">
        <v>412</v>
      </c>
      <c r="H14" s="37"/>
      <c r="I14" s="39"/>
      <c r="J14" s="39"/>
      <c r="K14" s="37">
        <v>100000</v>
      </c>
      <c r="L14" s="39"/>
      <c r="M14" s="40">
        <v>42442</v>
      </c>
      <c r="N14" s="40">
        <v>43272</v>
      </c>
      <c r="O14" s="41">
        <v>42907</v>
      </c>
      <c r="P14" s="40">
        <v>42915</v>
      </c>
      <c r="Q14" s="39"/>
      <c r="R14" s="39"/>
      <c r="S14" s="39"/>
      <c r="T14" s="39"/>
      <c r="U14" s="39"/>
      <c r="V14" s="39"/>
    </row>
    <row r="15" spans="1:23" s="38" customFormat="1" ht="14">
      <c r="B15" s="38" t="s">
        <v>413</v>
      </c>
      <c r="C15" s="37" t="s">
        <v>414</v>
      </c>
      <c r="D15" s="39"/>
      <c r="E15" s="39"/>
      <c r="F15" s="37" t="s">
        <v>415</v>
      </c>
      <c r="G15" s="37" t="s">
        <v>415</v>
      </c>
      <c r="H15" s="37"/>
      <c r="I15" s="39" t="s">
        <v>416</v>
      </c>
      <c r="J15" s="39" t="s">
        <v>417</v>
      </c>
      <c r="K15" s="37"/>
      <c r="L15" s="39"/>
      <c r="M15" s="40">
        <v>42671</v>
      </c>
      <c r="N15" s="40">
        <v>43361</v>
      </c>
      <c r="O15" s="41">
        <v>42996</v>
      </c>
      <c r="P15" s="40">
        <v>43004</v>
      </c>
      <c r="Q15" s="39"/>
      <c r="R15" s="39"/>
      <c r="S15" s="39"/>
      <c r="T15" s="39"/>
      <c r="U15" s="39"/>
      <c r="V15" s="39"/>
    </row>
    <row r="16" spans="1:23" ht="14">
      <c r="B16" t="s">
        <v>418</v>
      </c>
      <c r="C16" s="27" t="s">
        <v>419</v>
      </c>
      <c r="D16" s="30"/>
      <c r="E16" s="30"/>
      <c r="F16" s="27" t="s">
        <v>420</v>
      </c>
      <c r="G16" s="27" t="s">
        <v>420</v>
      </c>
      <c r="H16" s="27" t="s">
        <v>332</v>
      </c>
      <c r="I16" s="30" t="s">
        <v>421</v>
      </c>
      <c r="J16" s="30" t="s">
        <v>422</v>
      </c>
      <c r="K16" s="27">
        <v>1</v>
      </c>
      <c r="L16" s="30"/>
      <c r="M16" s="31">
        <v>42467</v>
      </c>
      <c r="N16" s="31">
        <v>43379</v>
      </c>
      <c r="O16" s="32">
        <v>43014</v>
      </c>
      <c r="P16" s="31">
        <v>43270</v>
      </c>
      <c r="Q16" s="30"/>
      <c r="R16" s="30"/>
      <c r="S16" s="30"/>
      <c r="T16" s="30"/>
      <c r="U16" s="30"/>
      <c r="V16" s="30" t="s">
        <v>359</v>
      </c>
    </row>
    <row r="17" spans="2:23" s="38" customFormat="1" ht="28">
      <c r="B17" s="38" t="s">
        <v>423</v>
      </c>
      <c r="C17" s="37" t="s">
        <v>424</v>
      </c>
      <c r="D17" s="39"/>
      <c r="E17" s="39"/>
      <c r="F17" s="37" t="s">
        <v>425</v>
      </c>
      <c r="G17" s="37" t="s">
        <v>426</v>
      </c>
      <c r="H17" s="37"/>
      <c r="I17" s="39" t="s">
        <v>348</v>
      </c>
      <c r="J17" s="39" t="s">
        <v>349</v>
      </c>
      <c r="K17" s="37">
        <v>200000</v>
      </c>
      <c r="L17" s="39"/>
      <c r="M17" s="40">
        <v>42741</v>
      </c>
      <c r="N17" s="40">
        <v>43330</v>
      </c>
      <c r="O17" s="41">
        <v>42965</v>
      </c>
      <c r="P17" s="40">
        <v>42976</v>
      </c>
      <c r="Q17" s="39"/>
      <c r="R17" s="39"/>
      <c r="S17" s="39"/>
      <c r="T17" s="39"/>
      <c r="U17" s="39"/>
      <c r="V17" s="39" t="s">
        <v>401</v>
      </c>
    </row>
    <row r="18" spans="2:23" ht="14">
      <c r="B18" t="s">
        <v>427</v>
      </c>
      <c r="C18" s="37" t="s">
        <v>428</v>
      </c>
      <c r="D18" s="30"/>
      <c r="E18" s="30"/>
      <c r="F18" s="27" t="s">
        <v>429</v>
      </c>
      <c r="G18" s="27" t="s">
        <v>429</v>
      </c>
      <c r="H18" s="27"/>
      <c r="I18" s="30" t="s">
        <v>430</v>
      </c>
      <c r="J18" s="30" t="s">
        <v>431</v>
      </c>
      <c r="K18" s="27">
        <v>13000</v>
      </c>
      <c r="L18" s="30"/>
      <c r="M18" s="31">
        <v>42760</v>
      </c>
      <c r="N18" s="31">
        <v>43169</v>
      </c>
      <c r="O18" s="32">
        <v>42804</v>
      </c>
      <c r="P18" s="31">
        <v>42804</v>
      </c>
      <c r="Q18" s="30"/>
      <c r="R18" s="30"/>
      <c r="S18" s="30"/>
      <c r="T18" s="30"/>
      <c r="U18" s="30"/>
      <c r="V18" s="30" t="s">
        <v>432</v>
      </c>
    </row>
    <row r="19" spans="2:23" ht="14">
      <c r="B19" s="38" t="s">
        <v>433</v>
      </c>
      <c r="C19" s="37" t="s">
        <v>434</v>
      </c>
      <c r="D19" s="39"/>
      <c r="E19" s="39"/>
      <c r="F19" s="37" t="s">
        <v>386</v>
      </c>
      <c r="G19" s="37" t="s">
        <v>435</v>
      </c>
      <c r="H19" s="37"/>
      <c r="I19" s="39"/>
      <c r="J19" s="39"/>
      <c r="K19" s="37">
        <v>30000</v>
      </c>
      <c r="L19" s="39"/>
      <c r="M19" s="40">
        <v>42536</v>
      </c>
      <c r="N19" s="40">
        <v>43291</v>
      </c>
      <c r="O19" s="41">
        <v>42926</v>
      </c>
      <c r="P19" s="40">
        <v>42926</v>
      </c>
      <c r="Q19" s="39"/>
      <c r="R19" s="39"/>
      <c r="S19" s="39"/>
      <c r="T19" s="39"/>
      <c r="U19" s="39"/>
      <c r="V19" s="39" t="s">
        <v>401</v>
      </c>
      <c r="W19" s="38"/>
    </row>
    <row r="20" spans="2:23" s="60" customFormat="1" ht="14">
      <c r="B20" s="60" t="s">
        <v>436</v>
      </c>
      <c r="C20" s="61" t="s">
        <v>437</v>
      </c>
      <c r="D20" s="62"/>
      <c r="E20" s="62"/>
      <c r="F20" s="61" t="s">
        <v>438</v>
      </c>
      <c r="G20" s="61" t="s">
        <v>438</v>
      </c>
      <c r="H20" s="61"/>
      <c r="I20" s="62" t="s">
        <v>439</v>
      </c>
      <c r="J20" s="62">
        <v>96382145</v>
      </c>
      <c r="K20" s="61">
        <v>20000</v>
      </c>
      <c r="L20" s="62"/>
      <c r="M20" s="63">
        <v>42718</v>
      </c>
      <c r="N20" s="63">
        <v>43333</v>
      </c>
      <c r="O20" s="64">
        <v>42968</v>
      </c>
      <c r="P20" s="63">
        <v>42976</v>
      </c>
      <c r="Q20" s="62"/>
      <c r="R20" s="62"/>
      <c r="S20" s="62"/>
      <c r="T20" s="62"/>
      <c r="U20" s="62"/>
      <c r="V20" s="62" t="s">
        <v>440</v>
      </c>
    </row>
    <row r="21" spans="2:23" ht="28">
      <c r="B21" t="s">
        <v>579</v>
      </c>
      <c r="C21" s="27" t="s">
        <v>580</v>
      </c>
      <c r="D21" s="30"/>
      <c r="E21" s="30"/>
      <c r="F21" s="27" t="s">
        <v>581</v>
      </c>
      <c r="G21" s="27" t="s">
        <v>582</v>
      </c>
      <c r="H21" s="27"/>
      <c r="I21" s="30" t="s">
        <v>583</v>
      </c>
      <c r="J21" s="30" t="s">
        <v>584</v>
      </c>
      <c r="K21" s="27">
        <v>1000000</v>
      </c>
      <c r="L21" s="30"/>
      <c r="M21" s="31">
        <v>43108</v>
      </c>
      <c r="N21" s="31">
        <v>36526</v>
      </c>
      <c r="O21" s="31">
        <v>36526</v>
      </c>
      <c r="P21" s="31">
        <v>36526</v>
      </c>
      <c r="Q21" s="30"/>
      <c r="R21" s="30"/>
      <c r="S21" s="30"/>
      <c r="T21" s="30"/>
      <c r="U21" s="30"/>
      <c r="V21" s="30" t="s">
        <v>585</v>
      </c>
    </row>
    <row r="22" spans="2:23" ht="14">
      <c r="B22" t="s">
        <v>446</v>
      </c>
      <c r="C22" s="27" t="s">
        <v>447</v>
      </c>
      <c r="D22" s="30"/>
      <c r="E22" s="30"/>
      <c r="F22" s="27" t="s">
        <v>448</v>
      </c>
      <c r="G22" s="27" t="s">
        <v>449</v>
      </c>
      <c r="H22" s="27"/>
      <c r="I22" s="30"/>
      <c r="J22" s="30" t="s">
        <v>450</v>
      </c>
      <c r="K22" s="27">
        <v>200000</v>
      </c>
      <c r="L22" s="30"/>
      <c r="M22" s="31">
        <v>43467</v>
      </c>
      <c r="N22" s="31">
        <v>43637</v>
      </c>
      <c r="O22" s="32">
        <v>43272</v>
      </c>
      <c r="P22" s="31">
        <v>43272</v>
      </c>
      <c r="Q22" s="30"/>
      <c r="R22" s="30"/>
      <c r="S22" s="30"/>
      <c r="T22" s="30"/>
      <c r="U22" s="30"/>
      <c r="V22" s="30" t="s">
        <v>451</v>
      </c>
    </row>
    <row r="23" spans="2:23" ht="14">
      <c r="B23" t="s">
        <v>452</v>
      </c>
      <c r="C23" s="27" t="s">
        <v>453</v>
      </c>
      <c r="D23" s="30"/>
      <c r="E23" s="30"/>
      <c r="F23" s="27" t="s">
        <v>454</v>
      </c>
      <c r="G23" s="27" t="s">
        <v>455</v>
      </c>
      <c r="H23" s="27" t="s">
        <v>332</v>
      </c>
      <c r="I23" s="30" t="s">
        <v>456</v>
      </c>
      <c r="J23" s="30" t="s">
        <v>457</v>
      </c>
      <c r="K23" s="27">
        <v>100000</v>
      </c>
      <c r="L23" s="30"/>
      <c r="M23" s="31">
        <v>42584</v>
      </c>
      <c r="N23" s="31">
        <v>43464</v>
      </c>
      <c r="O23" s="32">
        <v>43099</v>
      </c>
      <c r="P23" s="31">
        <v>42948</v>
      </c>
      <c r="Q23" s="30"/>
      <c r="R23" s="30"/>
      <c r="S23" s="30"/>
      <c r="T23" s="30"/>
      <c r="U23" s="30"/>
      <c r="V23" s="30" t="s">
        <v>458</v>
      </c>
    </row>
    <row r="24" spans="2:23" ht="28">
      <c r="B24" t="s">
        <v>476</v>
      </c>
      <c r="C24" s="27" t="s">
        <v>477</v>
      </c>
      <c r="D24" s="30"/>
      <c r="E24" s="30"/>
      <c r="F24" s="27" t="s">
        <v>478</v>
      </c>
      <c r="G24" s="27" t="s">
        <v>426</v>
      </c>
      <c r="H24" s="27"/>
      <c r="I24" s="30" t="s">
        <v>348</v>
      </c>
      <c r="J24" s="35" t="s">
        <v>349</v>
      </c>
      <c r="K24" s="27">
        <v>200000</v>
      </c>
      <c r="L24" s="30"/>
      <c r="M24" s="31">
        <v>43123</v>
      </c>
      <c r="N24" s="31">
        <v>43488</v>
      </c>
      <c r="O24" s="32">
        <v>43123</v>
      </c>
      <c r="P24" s="31">
        <v>43123</v>
      </c>
      <c r="Q24" s="30"/>
      <c r="R24" s="30"/>
      <c r="S24" s="30"/>
      <c r="T24" s="30"/>
      <c r="U24" s="30"/>
      <c r="V24" s="30" t="s">
        <v>401</v>
      </c>
    </row>
    <row r="25" spans="2:23" ht="42">
      <c r="B25" t="s">
        <v>471</v>
      </c>
      <c r="C25" s="27" t="s">
        <v>472</v>
      </c>
      <c r="D25" s="30"/>
      <c r="E25" s="30" t="s">
        <v>473</v>
      </c>
      <c r="F25" s="27" t="s">
        <v>474</v>
      </c>
      <c r="G25" s="27" t="s">
        <v>474</v>
      </c>
      <c r="H25" s="27" t="s">
        <v>332</v>
      </c>
      <c r="I25" s="30"/>
      <c r="J25" s="30"/>
      <c r="K25" s="27">
        <v>100</v>
      </c>
      <c r="L25" s="30"/>
      <c r="M25" s="31">
        <v>42594</v>
      </c>
      <c r="N25" s="31">
        <v>43312</v>
      </c>
      <c r="O25" s="32">
        <v>43371</v>
      </c>
      <c r="P25" s="31">
        <v>43190</v>
      </c>
      <c r="Q25" s="30"/>
      <c r="R25" s="30"/>
      <c r="S25" s="30"/>
      <c r="T25" s="30"/>
      <c r="U25" s="30"/>
      <c r="V25" s="30" t="s">
        <v>475</v>
      </c>
    </row>
    <row r="26" spans="2:23" ht="14">
      <c r="B26" t="s">
        <v>566</v>
      </c>
      <c r="C26" s="27" t="s">
        <v>567</v>
      </c>
      <c r="D26" s="30"/>
      <c r="E26" s="30"/>
      <c r="F26" s="27" t="s">
        <v>568</v>
      </c>
      <c r="G26" s="27" t="s">
        <v>568</v>
      </c>
      <c r="H26" s="27"/>
      <c r="I26" s="30"/>
      <c r="J26" s="30"/>
      <c r="K26" s="27">
        <v>10000</v>
      </c>
      <c r="L26" s="30"/>
      <c r="M26" s="31">
        <v>43131</v>
      </c>
      <c r="N26" s="31">
        <v>36526</v>
      </c>
      <c r="O26" s="31">
        <v>36526</v>
      </c>
      <c r="P26" s="31">
        <v>36526</v>
      </c>
      <c r="Q26" s="30"/>
      <c r="R26" s="30"/>
      <c r="S26" s="30"/>
      <c r="T26" s="30"/>
      <c r="U26" s="30"/>
      <c r="V26" s="30" t="s">
        <v>569</v>
      </c>
    </row>
    <row r="27" spans="2:23" ht="14">
      <c r="B27" t="s">
        <v>479</v>
      </c>
      <c r="C27" s="27" t="s">
        <v>480</v>
      </c>
      <c r="D27" s="30"/>
      <c r="E27" s="30"/>
      <c r="F27" s="27" t="s">
        <v>481</v>
      </c>
      <c r="G27" s="27" t="s">
        <v>482</v>
      </c>
      <c r="H27" s="27"/>
      <c r="I27" s="27" t="s">
        <v>483</v>
      </c>
      <c r="J27" s="35" t="s">
        <v>484</v>
      </c>
      <c r="K27" s="27">
        <v>10000</v>
      </c>
      <c r="L27" s="30"/>
      <c r="M27" s="31">
        <v>42613</v>
      </c>
      <c r="N27" s="31">
        <v>36526</v>
      </c>
      <c r="O27" s="31">
        <v>36526</v>
      </c>
      <c r="P27" s="31">
        <v>36526</v>
      </c>
      <c r="Q27" s="30"/>
      <c r="R27" s="30"/>
      <c r="S27" s="30"/>
      <c r="T27" s="30"/>
      <c r="U27" s="30"/>
      <c r="V27" s="30" t="s">
        <v>401</v>
      </c>
    </row>
    <row r="28" spans="2:23" s="38" customFormat="1" ht="14">
      <c r="B28" s="38" t="s">
        <v>485</v>
      </c>
      <c r="C28" s="37" t="s">
        <v>486</v>
      </c>
      <c r="D28" s="39"/>
      <c r="E28" s="39"/>
      <c r="F28" s="37" t="s">
        <v>487</v>
      </c>
      <c r="G28" s="37" t="s">
        <v>488</v>
      </c>
      <c r="H28" s="37"/>
      <c r="I28" s="39" t="s">
        <v>489</v>
      </c>
      <c r="J28" s="39" t="s">
        <v>490</v>
      </c>
      <c r="K28" s="37">
        <v>1000</v>
      </c>
      <c r="L28" s="39"/>
      <c r="M28" s="40">
        <v>42613</v>
      </c>
      <c r="N28" s="40">
        <v>36526</v>
      </c>
      <c r="O28" s="40">
        <v>36526</v>
      </c>
      <c r="P28" s="40">
        <v>36526</v>
      </c>
      <c r="Q28" s="39"/>
      <c r="R28" s="39"/>
      <c r="S28" s="39"/>
      <c r="T28" s="39"/>
      <c r="U28" s="39"/>
      <c r="V28" s="39" t="s">
        <v>491</v>
      </c>
    </row>
    <row r="29" spans="2:23" ht="42">
      <c r="B29" t="s">
        <v>607</v>
      </c>
      <c r="C29" s="27" t="s">
        <v>608</v>
      </c>
      <c r="D29" s="27"/>
      <c r="E29" s="28" t="s">
        <v>504</v>
      </c>
      <c r="F29" s="27" t="s">
        <v>609</v>
      </c>
      <c r="G29" s="27" t="s">
        <v>610</v>
      </c>
      <c r="H29" s="27" t="s">
        <v>332</v>
      </c>
      <c r="I29" s="33"/>
      <c r="J29" s="33"/>
      <c r="K29" s="27" t="s">
        <v>611</v>
      </c>
      <c r="L29" s="33"/>
      <c r="M29" s="31">
        <v>43151</v>
      </c>
      <c r="N29" s="31">
        <v>36526</v>
      </c>
      <c r="O29" s="31">
        <v>36526</v>
      </c>
      <c r="P29" s="31">
        <v>36526</v>
      </c>
      <c r="Q29" s="30"/>
      <c r="R29" s="30"/>
      <c r="S29" s="30"/>
      <c r="T29" s="30"/>
      <c r="U29" s="30"/>
      <c r="V29" s="30" t="s">
        <v>612</v>
      </c>
    </row>
    <row r="30" spans="2:23" s="38" customFormat="1" ht="14">
      <c r="B30" s="38" t="s">
        <v>498</v>
      </c>
      <c r="C30" s="37" t="s">
        <v>499</v>
      </c>
      <c r="D30" s="39"/>
      <c r="E30" s="39"/>
      <c r="F30" s="37" t="s">
        <v>500</v>
      </c>
      <c r="G30" s="37" t="s">
        <v>501</v>
      </c>
      <c r="H30" s="37"/>
      <c r="I30" s="39"/>
      <c r="J30" s="39"/>
      <c r="K30" s="37">
        <v>20000</v>
      </c>
      <c r="L30" s="39"/>
      <c r="M30" s="40">
        <v>43718</v>
      </c>
      <c r="N30" s="40">
        <v>43524</v>
      </c>
      <c r="O30" s="41">
        <v>43159</v>
      </c>
      <c r="P30" s="40">
        <v>43159</v>
      </c>
      <c r="Q30" s="39"/>
      <c r="R30" s="39"/>
      <c r="S30" s="39"/>
      <c r="T30" s="39"/>
      <c r="U30" s="39"/>
      <c r="V30" s="39"/>
    </row>
    <row r="31" spans="2:23" s="38" customFormat="1" ht="28">
      <c r="B31" s="38" t="s">
        <v>502</v>
      </c>
      <c r="C31" s="37" t="s">
        <v>503</v>
      </c>
      <c r="D31" s="39"/>
      <c r="E31" s="39" t="s">
        <v>504</v>
      </c>
      <c r="F31" s="37" t="s">
        <v>505</v>
      </c>
      <c r="G31" s="37" t="s">
        <v>506</v>
      </c>
      <c r="H31" s="37"/>
      <c r="I31" s="39" t="s">
        <v>507</v>
      </c>
      <c r="J31" s="39" t="s">
        <v>508</v>
      </c>
      <c r="K31" s="37">
        <v>100000</v>
      </c>
      <c r="L31" s="39"/>
      <c r="M31" s="40">
        <v>42746</v>
      </c>
      <c r="N31" s="40">
        <v>43645</v>
      </c>
      <c r="O31" s="41">
        <v>43280</v>
      </c>
      <c r="P31" s="40">
        <v>43280</v>
      </c>
      <c r="Q31" s="39"/>
      <c r="R31" s="39"/>
      <c r="S31" s="39"/>
      <c r="T31" s="39"/>
      <c r="U31" s="39"/>
      <c r="V31" s="39"/>
    </row>
    <row r="32" spans="2:23" ht="14">
      <c r="B32" t="s">
        <v>575</v>
      </c>
      <c r="C32" s="27" t="s">
        <v>576</v>
      </c>
      <c r="D32" s="30"/>
      <c r="E32" s="30"/>
      <c r="F32" s="27" t="s">
        <v>577</v>
      </c>
      <c r="G32" s="27" t="s">
        <v>577</v>
      </c>
      <c r="H32" s="27"/>
      <c r="I32" s="30"/>
      <c r="J32" s="30"/>
      <c r="K32" s="27">
        <v>200000</v>
      </c>
      <c r="L32" s="30"/>
      <c r="M32" s="31">
        <v>43153</v>
      </c>
      <c r="N32" s="31">
        <v>36526</v>
      </c>
      <c r="O32" s="31">
        <v>36526</v>
      </c>
      <c r="P32" s="31">
        <v>36526</v>
      </c>
      <c r="Q32" s="30"/>
      <c r="R32" s="30"/>
      <c r="S32" s="30"/>
      <c r="T32" s="30"/>
      <c r="U32" s="30"/>
      <c r="V32" s="30" t="s">
        <v>578</v>
      </c>
    </row>
    <row r="33" spans="2:22" ht="14">
      <c r="B33" t="s">
        <v>613</v>
      </c>
      <c r="C33" s="27" t="s">
        <v>614</v>
      </c>
      <c r="D33" s="30"/>
      <c r="E33" s="30"/>
      <c r="F33" s="27" t="s">
        <v>615</v>
      </c>
      <c r="G33" s="27" t="s">
        <v>616</v>
      </c>
      <c r="H33" s="27"/>
      <c r="I33" s="30"/>
      <c r="J33" s="30"/>
      <c r="K33" s="27">
        <v>200000</v>
      </c>
      <c r="L33" s="30"/>
      <c r="M33" s="31">
        <v>43159</v>
      </c>
      <c r="N33" s="31">
        <v>36526</v>
      </c>
      <c r="O33" s="31">
        <v>36526</v>
      </c>
      <c r="P33" s="31">
        <v>36526</v>
      </c>
      <c r="Q33" s="30"/>
      <c r="R33" s="30"/>
      <c r="S33" s="30"/>
      <c r="T33" s="30"/>
      <c r="U33" s="30"/>
      <c r="V33" s="30" t="s">
        <v>359</v>
      </c>
    </row>
    <row r="34" spans="2:22" s="38" customFormat="1" ht="14">
      <c r="B34" s="38" t="s">
        <v>522</v>
      </c>
      <c r="C34" s="37" t="s">
        <v>523</v>
      </c>
      <c r="D34" s="39"/>
      <c r="E34" s="39"/>
      <c r="F34" s="37" t="s">
        <v>524</v>
      </c>
      <c r="G34" s="37" t="s">
        <v>524</v>
      </c>
      <c r="H34" s="37"/>
      <c r="I34" s="39" t="s">
        <v>525</v>
      </c>
      <c r="J34" s="39" t="s">
        <v>526</v>
      </c>
      <c r="K34" s="37">
        <v>50000</v>
      </c>
      <c r="L34" s="39"/>
      <c r="M34" s="40">
        <v>42774</v>
      </c>
      <c r="N34" s="40">
        <v>43561</v>
      </c>
      <c r="O34" s="41">
        <v>43196</v>
      </c>
      <c r="P34" s="40">
        <v>43196</v>
      </c>
      <c r="Q34" s="39"/>
      <c r="R34" s="39"/>
      <c r="S34" s="39"/>
      <c r="T34" s="39"/>
      <c r="U34" s="39"/>
      <c r="V34" s="39"/>
    </row>
    <row r="35" spans="2:22" ht="14">
      <c r="B35" t="s">
        <v>527</v>
      </c>
      <c r="C35" s="27" t="s">
        <v>528</v>
      </c>
      <c r="D35" s="30"/>
      <c r="E35" s="30"/>
      <c r="F35" s="27" t="s">
        <v>529</v>
      </c>
      <c r="G35" s="27" t="s">
        <v>530</v>
      </c>
      <c r="H35" s="27"/>
      <c r="I35" s="30" t="s">
        <v>531</v>
      </c>
      <c r="J35" s="30" t="s">
        <v>532</v>
      </c>
      <c r="K35" s="27">
        <v>5000</v>
      </c>
      <c r="L35" s="30"/>
      <c r="M35" s="31">
        <v>42776</v>
      </c>
      <c r="N35" s="31">
        <v>36526</v>
      </c>
      <c r="O35" s="31">
        <v>36526</v>
      </c>
      <c r="P35" s="31">
        <v>36526</v>
      </c>
      <c r="Q35" s="30"/>
      <c r="R35" s="30"/>
      <c r="S35" s="30"/>
      <c r="T35" s="30"/>
      <c r="U35" s="30"/>
      <c r="V35" s="30" t="s">
        <v>533</v>
      </c>
    </row>
    <row r="36" spans="2:22" ht="14">
      <c r="B36" t="s">
        <v>534</v>
      </c>
      <c r="C36" s="37" t="s">
        <v>535</v>
      </c>
      <c r="D36" s="30"/>
      <c r="E36" s="30"/>
      <c r="F36" s="27" t="s">
        <v>536</v>
      </c>
      <c r="G36" s="27" t="s">
        <v>537</v>
      </c>
      <c r="H36" s="27"/>
      <c r="I36" s="30" t="s">
        <v>538</v>
      </c>
      <c r="J36" s="30" t="s">
        <v>539</v>
      </c>
      <c r="K36" s="27">
        <v>50000</v>
      </c>
      <c r="L36" s="30"/>
      <c r="M36" s="31">
        <v>42780</v>
      </c>
      <c r="N36" s="31">
        <v>36526</v>
      </c>
      <c r="O36" s="31">
        <v>36526</v>
      </c>
      <c r="P36" s="31">
        <v>36526</v>
      </c>
      <c r="Q36" s="30"/>
      <c r="R36" s="30"/>
      <c r="S36" s="30"/>
      <c r="T36" s="30"/>
      <c r="U36" s="30"/>
      <c r="V36" s="30" t="s">
        <v>540</v>
      </c>
    </row>
    <row r="37" spans="2:22" s="38" customFormat="1" ht="14">
      <c r="B37" s="38" t="s">
        <v>541</v>
      </c>
      <c r="C37" s="37" t="s">
        <v>542</v>
      </c>
      <c r="D37" s="39"/>
      <c r="E37" s="39"/>
      <c r="F37" s="37" t="s">
        <v>543</v>
      </c>
      <c r="G37" s="37" t="s">
        <v>543</v>
      </c>
      <c r="H37" s="37"/>
      <c r="I37" s="39"/>
      <c r="J37" s="39"/>
      <c r="K37" s="37">
        <v>100</v>
      </c>
      <c r="L37" s="39"/>
      <c r="M37" s="40">
        <v>42978</v>
      </c>
      <c r="N37" s="40">
        <v>36526</v>
      </c>
      <c r="O37" s="40">
        <v>36526</v>
      </c>
      <c r="P37" s="40">
        <v>36526</v>
      </c>
      <c r="Q37" s="39"/>
      <c r="R37" s="39"/>
      <c r="S37" s="39"/>
      <c r="T37" s="39"/>
      <c r="U37" s="39"/>
      <c r="V37" s="39" t="s">
        <v>544</v>
      </c>
    </row>
    <row r="38" spans="2:22" s="38" customFormat="1" ht="14">
      <c r="B38" s="38" t="s">
        <v>545</v>
      </c>
      <c r="C38" s="37" t="s">
        <v>546</v>
      </c>
      <c r="D38" s="39"/>
      <c r="E38" s="39"/>
      <c r="F38" s="37" t="s">
        <v>547</v>
      </c>
      <c r="G38" s="37" t="s">
        <v>548</v>
      </c>
      <c r="H38" s="37"/>
      <c r="I38" s="39" t="s">
        <v>549</v>
      </c>
      <c r="J38" s="39" t="s">
        <v>550</v>
      </c>
      <c r="K38" s="37">
        <v>1000</v>
      </c>
      <c r="L38" s="39"/>
      <c r="M38" s="40">
        <v>42814</v>
      </c>
      <c r="N38" s="40">
        <v>36526</v>
      </c>
      <c r="O38" s="40">
        <v>36526</v>
      </c>
      <c r="P38" s="40">
        <v>36526</v>
      </c>
      <c r="Q38" s="39"/>
      <c r="R38" s="39"/>
      <c r="S38" s="39"/>
      <c r="T38" s="39"/>
      <c r="U38" s="39"/>
      <c r="V38" s="39" t="s">
        <v>359</v>
      </c>
    </row>
    <row r="39" spans="2:22" ht="14">
      <c r="B39" t="s">
        <v>551</v>
      </c>
      <c r="C39" s="37" t="s">
        <v>552</v>
      </c>
      <c r="D39" s="30"/>
      <c r="E39" s="30"/>
      <c r="F39" s="27" t="s">
        <v>553</v>
      </c>
      <c r="G39" s="27" t="s">
        <v>553</v>
      </c>
      <c r="H39" s="27"/>
      <c r="I39" s="30"/>
      <c r="J39" s="30"/>
      <c r="K39" s="27">
        <v>20000</v>
      </c>
      <c r="L39" s="30"/>
      <c r="M39" s="31">
        <v>43012</v>
      </c>
      <c r="N39" s="31">
        <v>36526</v>
      </c>
      <c r="O39" s="31">
        <v>36526</v>
      </c>
      <c r="P39" s="31">
        <v>36526</v>
      </c>
      <c r="Q39" s="30"/>
      <c r="R39" s="30"/>
      <c r="S39" s="30"/>
      <c r="T39" s="30"/>
      <c r="U39" s="30"/>
      <c r="V39" s="30" t="s">
        <v>554</v>
      </c>
    </row>
    <row r="40" spans="2:22" ht="14">
      <c r="B40" t="s">
        <v>555</v>
      </c>
      <c r="C40" s="37" t="s">
        <v>556</v>
      </c>
      <c r="D40" s="30"/>
      <c r="E40" s="30"/>
      <c r="F40" s="27" t="s">
        <v>386</v>
      </c>
      <c r="G40" s="27" t="s">
        <v>557</v>
      </c>
      <c r="H40" s="27"/>
      <c r="I40" s="30"/>
      <c r="J40" s="30"/>
      <c r="K40" s="27">
        <v>5000</v>
      </c>
      <c r="L40" s="30"/>
      <c r="M40" s="31">
        <v>42935</v>
      </c>
      <c r="N40" s="31">
        <v>36526</v>
      </c>
      <c r="O40" s="31">
        <v>36526</v>
      </c>
      <c r="P40" s="31">
        <v>36526</v>
      </c>
      <c r="Q40" s="30"/>
      <c r="R40" s="30"/>
      <c r="S40" s="30"/>
      <c r="T40" s="30"/>
      <c r="U40" s="30"/>
      <c r="V40" s="30" t="s">
        <v>359</v>
      </c>
    </row>
    <row r="41" spans="2:22" ht="14">
      <c r="B41" t="s">
        <v>558</v>
      </c>
      <c r="C41" s="37" t="s">
        <v>559</v>
      </c>
      <c r="D41" s="30"/>
      <c r="E41" s="30"/>
      <c r="F41" s="27" t="s">
        <v>386</v>
      </c>
      <c r="G41" s="27" t="s">
        <v>560</v>
      </c>
      <c r="H41" s="27"/>
      <c r="I41" s="30"/>
      <c r="J41" s="30"/>
      <c r="K41" s="27">
        <v>10000</v>
      </c>
      <c r="L41" s="30"/>
      <c r="M41" s="31">
        <v>42935</v>
      </c>
      <c r="N41" s="31">
        <v>36526</v>
      </c>
      <c r="O41" s="31">
        <v>36526</v>
      </c>
      <c r="P41" s="31">
        <v>36526</v>
      </c>
      <c r="Q41" s="30"/>
      <c r="R41" s="30"/>
      <c r="S41" s="30"/>
      <c r="T41" s="30"/>
      <c r="U41" s="30"/>
      <c r="V41" s="30" t="s">
        <v>359</v>
      </c>
    </row>
    <row r="42" spans="2:22" s="38" customFormat="1" ht="14">
      <c r="B42" s="38" t="s">
        <v>561</v>
      </c>
      <c r="C42" s="37" t="s">
        <v>562</v>
      </c>
      <c r="D42" s="39"/>
      <c r="E42" s="39"/>
      <c r="F42" s="37" t="s">
        <v>563</v>
      </c>
      <c r="G42" s="37" t="s">
        <v>563</v>
      </c>
      <c r="H42" s="37"/>
      <c r="I42" s="39" t="s">
        <v>564</v>
      </c>
      <c r="J42" s="39" t="s">
        <v>565</v>
      </c>
      <c r="K42" s="37">
        <v>100000</v>
      </c>
      <c r="L42" s="39"/>
      <c r="M42" s="40">
        <v>42942</v>
      </c>
      <c r="N42" s="40">
        <v>36526</v>
      </c>
      <c r="O42" s="40">
        <v>36526</v>
      </c>
      <c r="P42" s="40">
        <v>36526</v>
      </c>
      <c r="Q42" s="39"/>
      <c r="R42" s="39"/>
      <c r="S42" s="39"/>
      <c r="T42" s="39"/>
      <c r="U42" s="39"/>
      <c r="V42" s="39" t="s">
        <v>359</v>
      </c>
    </row>
    <row r="43" spans="2:22" ht="14">
      <c r="B43" t="s">
        <v>617</v>
      </c>
      <c r="C43" s="37" t="s">
        <v>618</v>
      </c>
      <c r="D43" s="27"/>
      <c r="E43" s="27" t="s">
        <v>504</v>
      </c>
      <c r="F43" s="27" t="s">
        <v>619</v>
      </c>
      <c r="G43" s="27" t="s">
        <v>620</v>
      </c>
      <c r="H43" s="27" t="s">
        <v>332</v>
      </c>
      <c r="I43" s="33"/>
      <c r="J43" s="33"/>
      <c r="K43" s="27">
        <v>10000</v>
      </c>
      <c r="L43" s="33"/>
      <c r="M43" s="31">
        <v>43166</v>
      </c>
      <c r="N43" s="31">
        <v>36526</v>
      </c>
      <c r="O43" s="31">
        <v>36526</v>
      </c>
      <c r="P43" s="31">
        <v>36526</v>
      </c>
      <c r="Q43" s="30"/>
      <c r="R43" s="30"/>
      <c r="S43" s="30"/>
      <c r="T43" s="30"/>
      <c r="U43" s="30"/>
      <c r="V43" s="39" t="s">
        <v>621</v>
      </c>
    </row>
    <row r="44" spans="2:22" ht="14">
      <c r="B44" t="s">
        <v>441</v>
      </c>
      <c r="C44" s="27" t="s">
        <v>442</v>
      </c>
      <c r="D44" s="30"/>
      <c r="E44" s="30"/>
      <c r="F44" s="27" t="s">
        <v>443</v>
      </c>
      <c r="G44" s="27" t="s">
        <v>443</v>
      </c>
      <c r="H44" s="27" t="s">
        <v>332</v>
      </c>
      <c r="I44" s="30" t="s">
        <v>444</v>
      </c>
      <c r="J44" s="30" t="s">
        <v>445</v>
      </c>
      <c r="K44" s="27">
        <v>50000</v>
      </c>
      <c r="L44" s="30"/>
      <c r="M44" s="31">
        <v>43186</v>
      </c>
      <c r="N44" s="31">
        <v>43465</v>
      </c>
      <c r="O44" s="32">
        <v>43100</v>
      </c>
      <c r="P44" s="31">
        <v>43185</v>
      </c>
      <c r="Q44" s="30"/>
      <c r="R44" s="30"/>
      <c r="S44" s="30"/>
      <c r="T44" s="30"/>
      <c r="U44" s="30"/>
      <c r="V44" s="30"/>
    </row>
    <row r="45" spans="2:22" ht="14">
      <c r="B45" t="s">
        <v>459</v>
      </c>
      <c r="C45" s="27" t="s">
        <v>460</v>
      </c>
      <c r="D45" s="30"/>
      <c r="E45" s="30"/>
      <c r="F45" s="27" t="s">
        <v>461</v>
      </c>
      <c r="G45" s="27" t="s">
        <v>461</v>
      </c>
      <c r="H45" s="27" t="s">
        <v>332</v>
      </c>
      <c r="I45" s="30" t="s">
        <v>462</v>
      </c>
      <c r="J45" s="30" t="s">
        <v>463</v>
      </c>
      <c r="K45" s="27">
        <v>10000</v>
      </c>
      <c r="L45" s="30"/>
      <c r="M45" s="31">
        <v>43187</v>
      </c>
      <c r="N45" s="31">
        <v>43496</v>
      </c>
      <c r="O45" s="32">
        <v>43131</v>
      </c>
      <c r="P45" s="31">
        <v>43186</v>
      </c>
      <c r="Q45" s="30"/>
      <c r="R45" s="30"/>
      <c r="S45" s="30"/>
      <c r="T45" s="30"/>
      <c r="U45" s="30"/>
      <c r="V45" s="30" t="s">
        <v>464</v>
      </c>
    </row>
    <row r="46" spans="2:22" s="38" customFormat="1" ht="14">
      <c r="B46" s="38" t="s">
        <v>586</v>
      </c>
      <c r="C46" s="37" t="s">
        <v>587</v>
      </c>
      <c r="D46" s="39"/>
      <c r="E46" s="39"/>
      <c r="F46" s="37" t="s">
        <v>588</v>
      </c>
      <c r="G46" s="37" t="s">
        <v>589</v>
      </c>
      <c r="H46" s="37"/>
      <c r="I46" s="39"/>
      <c r="J46" s="39"/>
      <c r="K46" s="37">
        <v>5000</v>
      </c>
      <c r="L46" s="39"/>
      <c r="M46" s="40">
        <v>43067</v>
      </c>
      <c r="N46" s="40">
        <v>36526</v>
      </c>
      <c r="O46" s="40">
        <v>36526</v>
      </c>
      <c r="P46" s="40">
        <v>36526</v>
      </c>
      <c r="Q46" s="39"/>
      <c r="R46" s="39"/>
      <c r="S46" s="39"/>
      <c r="T46" s="39"/>
      <c r="U46" s="39"/>
      <c r="V46" s="39" t="s">
        <v>590</v>
      </c>
    </row>
    <row r="47" spans="2:22" s="65" customFormat="1" ht="14">
      <c r="B47" s="65" t="s">
        <v>591</v>
      </c>
      <c r="C47" s="66" t="s">
        <v>592</v>
      </c>
      <c r="D47" s="67"/>
      <c r="E47" s="67" t="s">
        <v>593</v>
      </c>
      <c r="F47" s="66" t="s">
        <v>594</v>
      </c>
      <c r="G47" s="66" t="s">
        <v>594</v>
      </c>
      <c r="H47" s="66"/>
      <c r="I47" s="67"/>
      <c r="J47" s="67"/>
      <c r="K47" s="66">
        <v>10000</v>
      </c>
      <c r="L47" s="67"/>
      <c r="M47" s="68">
        <v>43054</v>
      </c>
      <c r="N47" s="68">
        <v>36526</v>
      </c>
      <c r="O47" s="68">
        <v>36526</v>
      </c>
      <c r="P47" s="68">
        <v>36526</v>
      </c>
      <c r="Q47" s="67"/>
      <c r="R47" s="67"/>
      <c r="S47" s="67"/>
      <c r="T47" s="67"/>
      <c r="U47" s="67"/>
      <c r="V47" s="67" t="s">
        <v>359</v>
      </c>
    </row>
    <row r="48" spans="2:22" s="38" customFormat="1" ht="14">
      <c r="B48" s="38" t="s">
        <v>595</v>
      </c>
      <c r="C48" s="37" t="s">
        <v>596</v>
      </c>
      <c r="D48" s="39"/>
      <c r="E48" s="39"/>
      <c r="F48" s="37" t="s">
        <v>597</v>
      </c>
      <c r="G48" s="37" t="s">
        <v>597</v>
      </c>
      <c r="H48" s="37"/>
      <c r="I48" s="39"/>
      <c r="J48" s="39"/>
      <c r="K48" s="37">
        <v>1</v>
      </c>
      <c r="L48" s="39"/>
      <c r="M48" s="40">
        <v>43073</v>
      </c>
      <c r="N48" s="40">
        <v>36526</v>
      </c>
      <c r="O48" s="40">
        <v>36526</v>
      </c>
      <c r="P48" s="40">
        <v>36526</v>
      </c>
      <c r="Q48" s="39"/>
      <c r="R48" s="39"/>
      <c r="S48" s="39"/>
      <c r="T48" s="39"/>
      <c r="U48" s="39"/>
      <c r="V48" s="39" t="s">
        <v>598</v>
      </c>
    </row>
    <row r="49" spans="1:23" s="38" customFormat="1" ht="14">
      <c r="B49" s="38" t="s">
        <v>599</v>
      </c>
      <c r="C49" s="37" t="s">
        <v>600</v>
      </c>
      <c r="D49" s="39"/>
      <c r="E49" s="39"/>
      <c r="F49" s="37" t="s">
        <v>478</v>
      </c>
      <c r="G49" s="37" t="s">
        <v>601</v>
      </c>
      <c r="H49" s="37"/>
      <c r="I49" s="39"/>
      <c r="J49" s="39"/>
      <c r="K49" s="37">
        <v>1000000</v>
      </c>
      <c r="L49" s="39"/>
      <c r="M49" s="40">
        <v>43070</v>
      </c>
      <c r="N49" s="40">
        <v>36526</v>
      </c>
      <c r="O49" s="40">
        <v>36526</v>
      </c>
      <c r="P49" s="40">
        <v>36526</v>
      </c>
      <c r="Q49" s="39"/>
      <c r="R49" s="39"/>
      <c r="S49" s="39"/>
      <c r="T49" s="39"/>
      <c r="U49" s="39"/>
      <c r="V49" s="39" t="s">
        <v>359</v>
      </c>
    </row>
    <row r="50" spans="1:23" ht="14">
      <c r="B50" t="s">
        <v>602</v>
      </c>
      <c r="C50" s="37" t="s">
        <v>603</v>
      </c>
      <c r="D50" s="30"/>
      <c r="E50" s="30"/>
      <c r="F50" s="27" t="s">
        <v>604</v>
      </c>
      <c r="G50" s="27" t="s">
        <v>605</v>
      </c>
      <c r="H50" s="27"/>
      <c r="I50" s="30"/>
      <c r="J50" s="30"/>
      <c r="K50" s="27">
        <v>10000000</v>
      </c>
      <c r="L50" s="30"/>
      <c r="M50" s="31">
        <v>43083</v>
      </c>
      <c r="N50" s="31">
        <v>36526</v>
      </c>
      <c r="O50" s="31">
        <v>36526</v>
      </c>
      <c r="P50" s="31">
        <v>36526</v>
      </c>
      <c r="Q50" s="30"/>
      <c r="R50" s="30"/>
      <c r="S50" s="30"/>
      <c r="T50" s="30"/>
      <c r="U50" s="30"/>
      <c r="V50" s="30" t="s">
        <v>606</v>
      </c>
    </row>
    <row r="51" spans="1:23" ht="15">
      <c r="A51" s="52" t="s">
        <v>1001</v>
      </c>
      <c r="B51" s="52" t="s">
        <v>622</v>
      </c>
      <c r="C51" s="53" t="s">
        <v>623</v>
      </c>
      <c r="D51" s="53"/>
      <c r="E51" s="54" t="s">
        <v>504</v>
      </c>
      <c r="F51" s="53" t="s">
        <v>625</v>
      </c>
      <c r="G51" s="53" t="s">
        <v>626</v>
      </c>
      <c r="H51" s="53" t="s">
        <v>332</v>
      </c>
      <c r="I51" s="55" t="s">
        <v>628</v>
      </c>
      <c r="J51" s="55" t="s">
        <v>629</v>
      </c>
      <c r="K51" s="53">
        <v>250000</v>
      </c>
      <c r="L51" s="55"/>
      <c r="M51" s="56">
        <v>43202</v>
      </c>
      <c r="N51" s="56">
        <v>36526</v>
      </c>
      <c r="O51" s="56">
        <v>36526</v>
      </c>
      <c r="P51" s="56">
        <v>36526</v>
      </c>
      <c r="Q51" s="57"/>
      <c r="R51" s="57"/>
      <c r="S51" s="57"/>
      <c r="T51" s="57"/>
      <c r="U51" s="57"/>
      <c r="V51" s="57" t="s">
        <v>2124</v>
      </c>
      <c r="W51" s="52"/>
    </row>
    <row r="52" spans="1:23" ht="15">
      <c r="A52" s="52" t="s">
        <v>1001</v>
      </c>
      <c r="B52" s="52" t="s">
        <v>631</v>
      </c>
      <c r="C52" s="53" t="s">
        <v>632</v>
      </c>
      <c r="D52" s="53"/>
      <c r="E52" s="54" t="s">
        <v>504</v>
      </c>
      <c r="F52" s="53" t="s">
        <v>633</v>
      </c>
      <c r="G52" s="53" t="s">
        <v>634</v>
      </c>
      <c r="H52" s="53" t="s">
        <v>332</v>
      </c>
      <c r="I52" s="57"/>
      <c r="J52" s="57"/>
      <c r="K52" s="53">
        <v>500000</v>
      </c>
      <c r="L52" s="57"/>
      <c r="M52" s="56">
        <v>43207</v>
      </c>
      <c r="N52" s="56">
        <v>36526</v>
      </c>
      <c r="O52" s="56">
        <v>36526</v>
      </c>
      <c r="P52" s="56">
        <v>36526</v>
      </c>
      <c r="Q52" s="57"/>
      <c r="R52" s="57"/>
      <c r="S52" s="57"/>
      <c r="T52" s="57"/>
      <c r="U52" s="57"/>
      <c r="V52" s="57" t="s">
        <v>2125</v>
      </c>
      <c r="W52" s="52"/>
    </row>
    <row r="53" spans="1:23" s="78" customFormat="1" ht="14">
      <c r="B53" s="78" t="s">
        <v>512</v>
      </c>
      <c r="C53" s="79" t="s">
        <v>513</v>
      </c>
      <c r="D53" s="80"/>
      <c r="E53" s="80"/>
      <c r="F53" s="79" t="s">
        <v>514</v>
      </c>
      <c r="G53" s="79" t="s">
        <v>514</v>
      </c>
      <c r="H53" s="79"/>
      <c r="I53" s="80" t="s">
        <v>515</v>
      </c>
      <c r="J53" s="80" t="s">
        <v>516</v>
      </c>
      <c r="K53" s="79">
        <v>20000</v>
      </c>
      <c r="L53" s="80"/>
      <c r="M53" s="81">
        <v>43221</v>
      </c>
      <c r="N53" s="81">
        <v>43585</v>
      </c>
      <c r="O53" s="82">
        <v>43220</v>
      </c>
      <c r="P53" s="81">
        <v>43220</v>
      </c>
      <c r="Q53" s="80"/>
      <c r="R53" s="80"/>
      <c r="S53" s="80"/>
      <c r="T53" s="80"/>
      <c r="U53" s="80"/>
      <c r="V53" s="80"/>
    </row>
    <row r="54" spans="1:23" s="52" customFormat="1" ht="15">
      <c r="A54"/>
      <c r="B54" t="s">
        <v>635</v>
      </c>
      <c r="C54" s="27" t="s">
        <v>636</v>
      </c>
      <c r="D54" s="27"/>
      <c r="E54" s="28" t="s">
        <v>473</v>
      </c>
      <c r="F54" s="27" t="s">
        <v>637</v>
      </c>
      <c r="G54" s="27" t="s">
        <v>638</v>
      </c>
      <c r="H54" s="27" t="s">
        <v>332</v>
      </c>
      <c r="I54" s="33" t="s">
        <v>639</v>
      </c>
      <c r="J54" s="33" t="s">
        <v>640</v>
      </c>
      <c r="K54" s="27">
        <v>20000</v>
      </c>
      <c r="L54" s="33"/>
      <c r="M54" s="31">
        <v>43224</v>
      </c>
      <c r="N54" s="31">
        <v>36526</v>
      </c>
      <c r="O54" s="31">
        <v>36526</v>
      </c>
      <c r="P54" s="31">
        <v>36526</v>
      </c>
      <c r="Q54" s="30"/>
      <c r="R54" s="30"/>
      <c r="S54" s="30"/>
      <c r="T54" s="30"/>
      <c r="U54" s="30"/>
      <c r="V54" s="30"/>
      <c r="W54"/>
    </row>
    <row r="55" spans="1:23" s="52" customFormat="1" ht="42">
      <c r="B55" s="52" t="s">
        <v>641</v>
      </c>
      <c r="C55" s="53" t="s">
        <v>642</v>
      </c>
      <c r="D55" s="53"/>
      <c r="E55" s="53" t="s">
        <v>643</v>
      </c>
      <c r="F55" s="53"/>
      <c r="G55" s="53" t="s">
        <v>643</v>
      </c>
      <c r="H55" s="53" t="s">
        <v>332</v>
      </c>
      <c r="I55" s="55" t="s">
        <v>644</v>
      </c>
      <c r="J55" s="55" t="s">
        <v>645</v>
      </c>
      <c r="K55" s="53">
        <v>10000</v>
      </c>
      <c r="L55" s="55"/>
      <c r="M55" s="56">
        <v>43242</v>
      </c>
      <c r="N55" s="56">
        <v>36526</v>
      </c>
      <c r="O55" s="56">
        <v>36526</v>
      </c>
      <c r="P55" s="56">
        <v>36526</v>
      </c>
      <c r="Q55" s="57"/>
      <c r="R55" s="57"/>
      <c r="S55" s="57"/>
      <c r="T55" s="57"/>
      <c r="U55" s="58" t="s">
        <v>646</v>
      </c>
      <c r="V55" s="57" t="s">
        <v>475</v>
      </c>
      <c r="W55" s="52" t="s">
        <v>647</v>
      </c>
    </row>
    <row r="56" spans="1:23" ht="28">
      <c r="B56" s="38" t="s">
        <v>648</v>
      </c>
      <c r="C56" s="37" t="s">
        <v>649</v>
      </c>
      <c r="D56" s="37"/>
      <c r="E56" s="43"/>
      <c r="F56" s="37" t="s">
        <v>650</v>
      </c>
      <c r="G56" s="37" t="s">
        <v>651</v>
      </c>
      <c r="H56" s="37" t="s">
        <v>332</v>
      </c>
      <c r="I56" s="44" t="s">
        <v>652</v>
      </c>
      <c r="J56" s="44" t="s">
        <v>653</v>
      </c>
      <c r="K56" s="37" t="s">
        <v>654</v>
      </c>
      <c r="L56" s="44"/>
      <c r="M56" s="40">
        <v>43242</v>
      </c>
      <c r="N56" s="40">
        <v>43220</v>
      </c>
      <c r="O56" s="40">
        <v>36526</v>
      </c>
      <c r="P56" s="40">
        <v>36526</v>
      </c>
      <c r="Q56" s="39"/>
      <c r="R56" s="39"/>
      <c r="S56" s="39"/>
      <c r="T56" s="45" t="s">
        <v>655</v>
      </c>
      <c r="U56" s="39"/>
      <c r="V56" s="39"/>
      <c r="W56" s="38"/>
    </row>
    <row r="57" spans="1:23" s="65" customFormat="1" ht="14">
      <c r="B57" s="65" t="s">
        <v>492</v>
      </c>
      <c r="C57" s="66" t="s">
        <v>493</v>
      </c>
      <c r="D57" s="67"/>
      <c r="E57" s="67"/>
      <c r="F57" s="66" t="s">
        <v>494</v>
      </c>
      <c r="G57" s="66" t="s">
        <v>494</v>
      </c>
      <c r="H57" s="66" t="s">
        <v>332</v>
      </c>
      <c r="I57" s="67" t="s">
        <v>495</v>
      </c>
      <c r="J57" s="67" t="s">
        <v>496</v>
      </c>
      <c r="K57" s="66">
        <v>50000</v>
      </c>
      <c r="L57" s="67"/>
      <c r="M57" s="68">
        <v>43251</v>
      </c>
      <c r="N57" s="68">
        <v>43524</v>
      </c>
      <c r="O57" s="69">
        <v>43159</v>
      </c>
      <c r="P57" s="68">
        <v>43250</v>
      </c>
      <c r="Q57" s="67"/>
      <c r="R57" s="67"/>
      <c r="S57" s="67"/>
      <c r="T57" s="67"/>
      <c r="U57" s="67"/>
      <c r="V57" s="67" t="s">
        <v>497</v>
      </c>
    </row>
    <row r="58" spans="1:23" ht="42">
      <c r="A58" s="52" t="s">
        <v>1001</v>
      </c>
      <c r="B58" s="52" t="s">
        <v>656</v>
      </c>
      <c r="C58" s="53" t="s">
        <v>657</v>
      </c>
      <c r="D58" s="53"/>
      <c r="E58" s="54"/>
      <c r="F58" s="53" t="s">
        <v>658</v>
      </c>
      <c r="G58" s="53"/>
      <c r="H58" s="53" t="s">
        <v>332</v>
      </c>
      <c r="I58" s="55"/>
      <c r="J58" s="55"/>
      <c r="K58" s="53"/>
      <c r="L58" s="55"/>
      <c r="M58" s="56">
        <v>43260</v>
      </c>
      <c r="N58" s="56">
        <v>43616</v>
      </c>
      <c r="O58" s="56">
        <v>36526</v>
      </c>
      <c r="P58" s="56">
        <v>36526</v>
      </c>
      <c r="Q58" s="57"/>
      <c r="R58" s="57"/>
      <c r="S58" s="57"/>
      <c r="T58" s="57"/>
      <c r="U58" s="57"/>
      <c r="V58" s="57" t="s">
        <v>475</v>
      </c>
      <c r="W58" s="52"/>
    </row>
    <row r="59" spans="1:23" s="52" customFormat="1" ht="42">
      <c r="A59" s="52" t="s">
        <v>1001</v>
      </c>
      <c r="B59" s="52" t="s">
        <v>659</v>
      </c>
      <c r="C59" s="53" t="s">
        <v>660</v>
      </c>
      <c r="D59" s="53"/>
      <c r="E59" s="54" t="s">
        <v>473</v>
      </c>
      <c r="F59" s="53" t="s">
        <v>661</v>
      </c>
      <c r="G59" s="53" t="s">
        <v>661</v>
      </c>
      <c r="H59" s="53" t="s">
        <v>332</v>
      </c>
      <c r="I59" s="57"/>
      <c r="J59" s="57"/>
      <c r="K59" s="53">
        <v>10000</v>
      </c>
      <c r="L59" s="57"/>
      <c r="M59" s="56">
        <v>43263</v>
      </c>
      <c r="N59" s="56">
        <v>43616</v>
      </c>
      <c r="O59" s="56">
        <v>36526</v>
      </c>
      <c r="P59" s="56">
        <v>43616</v>
      </c>
      <c r="Q59" s="57"/>
      <c r="R59" s="57"/>
      <c r="S59" s="57"/>
      <c r="T59" s="57"/>
      <c r="U59" s="57"/>
      <c r="V59" s="57" t="s">
        <v>475</v>
      </c>
    </row>
    <row r="60" spans="1:23" s="52" customFormat="1" ht="42">
      <c r="A60" s="52" t="s">
        <v>1001</v>
      </c>
      <c r="B60" s="52" t="s">
        <v>662</v>
      </c>
      <c r="C60" s="53" t="s">
        <v>663</v>
      </c>
      <c r="D60" s="57"/>
      <c r="E60" s="57"/>
      <c r="F60" s="53" t="s">
        <v>664</v>
      </c>
      <c r="G60" s="53" t="s">
        <v>665</v>
      </c>
      <c r="H60" s="53" t="s">
        <v>332</v>
      </c>
      <c r="I60" s="57" t="s">
        <v>666</v>
      </c>
      <c r="J60" s="57" t="s">
        <v>667</v>
      </c>
      <c r="K60" s="53">
        <v>5000</v>
      </c>
      <c r="L60" s="57"/>
      <c r="M60" s="56">
        <v>43299</v>
      </c>
      <c r="N60" s="56">
        <v>36526</v>
      </c>
      <c r="O60" s="56">
        <v>36526</v>
      </c>
      <c r="P60" s="56">
        <v>36526</v>
      </c>
      <c r="Q60" s="57"/>
      <c r="R60" s="57"/>
      <c r="S60" s="57"/>
      <c r="T60" s="57"/>
      <c r="U60" s="57"/>
      <c r="V60" s="57" t="s">
        <v>475</v>
      </c>
    </row>
    <row r="61" spans="1:23" s="52" customFormat="1" ht="14">
      <c r="A61"/>
      <c r="B61" t="s">
        <v>668</v>
      </c>
      <c r="C61" s="27" t="s">
        <v>669</v>
      </c>
      <c r="D61" s="27"/>
      <c r="E61" s="28"/>
      <c r="F61" s="27" t="s">
        <v>670</v>
      </c>
      <c r="G61" s="27" t="s">
        <v>671</v>
      </c>
      <c r="H61" s="27" t="s">
        <v>332</v>
      </c>
      <c r="I61" s="30"/>
      <c r="J61" s="30"/>
      <c r="K61" s="27">
        <v>10000</v>
      </c>
      <c r="L61" s="30"/>
      <c r="M61" s="31">
        <v>43328</v>
      </c>
      <c r="N61" s="31">
        <v>36526</v>
      </c>
      <c r="O61" s="31">
        <v>36526</v>
      </c>
      <c r="P61" s="31">
        <v>36526</v>
      </c>
      <c r="Q61" s="30"/>
      <c r="R61" s="30"/>
      <c r="S61" s="30"/>
      <c r="T61" s="30"/>
      <c r="U61" s="30"/>
      <c r="V61" s="30" t="s">
        <v>672</v>
      </c>
      <c r="W61"/>
    </row>
    <row r="62" spans="1:23" ht="14">
      <c r="B62" t="s">
        <v>517</v>
      </c>
      <c r="C62" s="27" t="s">
        <v>518</v>
      </c>
      <c r="D62" s="30"/>
      <c r="E62" s="30" t="s">
        <v>473</v>
      </c>
      <c r="F62" s="27" t="s">
        <v>519</v>
      </c>
      <c r="G62" s="27" t="s">
        <v>520</v>
      </c>
      <c r="H62" s="27" t="s">
        <v>332</v>
      </c>
      <c r="I62" s="30"/>
      <c r="J62" s="30"/>
      <c r="K62" s="27">
        <v>257000</v>
      </c>
      <c r="L62" s="30"/>
      <c r="M62" s="31">
        <v>43335</v>
      </c>
      <c r="N62" s="31">
        <v>43645</v>
      </c>
      <c r="O62" s="32">
        <v>43280</v>
      </c>
      <c r="P62" s="31">
        <v>43280</v>
      </c>
      <c r="Q62" s="30"/>
      <c r="R62" s="30"/>
      <c r="S62" s="30"/>
      <c r="T62" s="30"/>
      <c r="U62" s="30"/>
      <c r="V62" s="30" t="s">
        <v>521</v>
      </c>
    </row>
    <row r="63" spans="1:23" ht="28">
      <c r="B63" t="s">
        <v>673</v>
      </c>
      <c r="C63" s="27" t="s">
        <v>674</v>
      </c>
      <c r="D63" s="27"/>
      <c r="E63" s="27"/>
      <c r="F63" s="27" t="s">
        <v>675</v>
      </c>
      <c r="G63" s="27" t="s">
        <v>676</v>
      </c>
      <c r="H63" s="27" t="s">
        <v>332</v>
      </c>
      <c r="I63" s="33"/>
      <c r="J63" s="33"/>
      <c r="K63" s="27">
        <v>100000</v>
      </c>
      <c r="L63" s="33"/>
      <c r="M63" s="31">
        <v>43371</v>
      </c>
      <c r="N63" s="31">
        <v>43708</v>
      </c>
      <c r="O63" s="31">
        <v>36526</v>
      </c>
      <c r="P63" s="31">
        <v>43708</v>
      </c>
      <c r="Q63" s="30"/>
      <c r="R63" s="30"/>
      <c r="S63" s="30"/>
      <c r="T63" s="30"/>
      <c r="U63" s="30"/>
      <c r="V63" s="30" t="s">
        <v>677</v>
      </c>
    </row>
    <row r="64" spans="1:23" ht="42">
      <c r="B64" t="s">
        <v>678</v>
      </c>
      <c r="C64" s="27" t="s">
        <v>679</v>
      </c>
      <c r="D64" s="27"/>
      <c r="E64" s="28"/>
      <c r="F64" s="27" t="s">
        <v>680</v>
      </c>
      <c r="G64" s="27" t="s">
        <v>681</v>
      </c>
      <c r="H64" s="27" t="s">
        <v>682</v>
      </c>
      <c r="I64" s="33"/>
      <c r="J64" s="33"/>
      <c r="K64" s="27">
        <v>300000</v>
      </c>
      <c r="L64" s="33"/>
      <c r="M64" s="31">
        <v>43375</v>
      </c>
      <c r="N64" s="31">
        <v>36526</v>
      </c>
      <c r="O64" s="31">
        <v>36526</v>
      </c>
      <c r="P64" s="31">
        <v>36526</v>
      </c>
      <c r="Q64" s="30"/>
      <c r="R64" s="30"/>
      <c r="S64" s="30"/>
      <c r="T64" s="30"/>
      <c r="U64" s="30"/>
      <c r="V64" s="30" t="s">
        <v>475</v>
      </c>
    </row>
    <row r="65" spans="2:22" ht="14">
      <c r="B65" t="s">
        <v>683</v>
      </c>
      <c r="C65" s="27" t="s">
        <v>684</v>
      </c>
      <c r="D65" s="27"/>
      <c r="E65" s="28"/>
      <c r="F65" s="27" t="s">
        <v>685</v>
      </c>
      <c r="G65" s="27" t="s">
        <v>686</v>
      </c>
      <c r="H65" s="27"/>
      <c r="I65" s="30"/>
      <c r="J65" s="30"/>
      <c r="K65" s="27">
        <v>200000</v>
      </c>
      <c r="L65" s="30"/>
      <c r="M65" s="31">
        <v>43383</v>
      </c>
      <c r="N65" s="31">
        <v>36526</v>
      </c>
      <c r="O65" s="31">
        <v>36526</v>
      </c>
      <c r="P65" s="31">
        <v>36526</v>
      </c>
      <c r="Q65" s="30"/>
      <c r="R65" s="30"/>
      <c r="S65" s="30"/>
      <c r="T65" s="30"/>
      <c r="U65" s="30"/>
      <c r="V65" s="30" t="s">
        <v>687</v>
      </c>
    </row>
    <row r="66" spans="2:22" ht="28">
      <c r="B66" t="s">
        <v>688</v>
      </c>
      <c r="C66" s="27" t="s">
        <v>689</v>
      </c>
      <c r="D66" s="27"/>
      <c r="E66" s="28"/>
      <c r="F66" s="27" t="s">
        <v>690</v>
      </c>
      <c r="G66" s="27" t="s">
        <v>691</v>
      </c>
      <c r="H66" s="27" t="s">
        <v>682</v>
      </c>
      <c r="I66" s="33"/>
      <c r="J66" s="33"/>
      <c r="K66" s="27">
        <v>20000</v>
      </c>
      <c r="L66" s="33"/>
      <c r="M66" s="31">
        <v>43391</v>
      </c>
      <c r="N66" s="31">
        <v>36526</v>
      </c>
      <c r="O66" s="31">
        <v>36526</v>
      </c>
      <c r="P66" s="31">
        <v>36526</v>
      </c>
      <c r="Q66" s="30"/>
      <c r="R66" s="30"/>
      <c r="S66" s="30"/>
      <c r="T66" s="30"/>
      <c r="U66" s="30"/>
      <c r="V66" s="30" t="s">
        <v>692</v>
      </c>
    </row>
    <row r="67" spans="2:22" ht="42">
      <c r="B67" t="s">
        <v>698</v>
      </c>
      <c r="C67" s="27" t="s">
        <v>699</v>
      </c>
      <c r="D67" s="27"/>
      <c r="E67" s="28"/>
      <c r="F67" s="27" t="s">
        <v>700</v>
      </c>
      <c r="G67" s="27" t="s">
        <v>701</v>
      </c>
      <c r="H67" s="27" t="s">
        <v>682</v>
      </c>
      <c r="I67" s="30"/>
      <c r="J67" s="30"/>
      <c r="K67" s="27">
        <v>100000</v>
      </c>
      <c r="L67" s="30"/>
      <c r="M67" s="31">
        <v>43396</v>
      </c>
      <c r="N67" s="31">
        <v>36526</v>
      </c>
      <c r="O67" s="31">
        <v>36526</v>
      </c>
      <c r="P67" s="31">
        <v>36526</v>
      </c>
      <c r="Q67" s="30"/>
      <c r="R67" s="30"/>
      <c r="S67" s="30"/>
      <c r="T67" s="30"/>
      <c r="U67" s="30" t="s">
        <v>702</v>
      </c>
      <c r="V67" s="30" t="s">
        <v>475</v>
      </c>
    </row>
    <row r="68" spans="2:22" ht="28">
      <c r="B68" t="s">
        <v>693</v>
      </c>
      <c r="C68" s="27" t="s">
        <v>694</v>
      </c>
      <c r="D68" s="30"/>
      <c r="E68" s="30"/>
      <c r="F68" s="27" t="s">
        <v>695</v>
      </c>
      <c r="G68" s="27" t="s">
        <v>695</v>
      </c>
      <c r="H68" s="27" t="s">
        <v>682</v>
      </c>
      <c r="I68" s="30"/>
      <c r="J68" s="30" t="s">
        <v>696</v>
      </c>
      <c r="K68" s="27">
        <v>50000</v>
      </c>
      <c r="L68" s="30"/>
      <c r="M68" s="31">
        <v>43405</v>
      </c>
      <c r="N68" s="31">
        <v>36526</v>
      </c>
      <c r="O68" s="31">
        <v>36526</v>
      </c>
      <c r="P68" s="31">
        <v>36526</v>
      </c>
      <c r="Q68" s="30"/>
      <c r="R68" s="30"/>
      <c r="S68" s="30"/>
      <c r="T68" s="30"/>
      <c r="U68" s="30"/>
      <c r="V68" s="30" t="s">
        <v>697</v>
      </c>
    </row>
    <row r="69" spans="2:22" ht="28">
      <c r="B69" t="s">
        <v>703</v>
      </c>
      <c r="C69" s="27" t="s">
        <v>704</v>
      </c>
      <c r="D69" s="27"/>
      <c r="E69" s="28" t="s">
        <v>473</v>
      </c>
      <c r="F69" s="27"/>
      <c r="G69" s="27" t="s">
        <v>705</v>
      </c>
      <c r="H69" s="27" t="s">
        <v>682</v>
      </c>
      <c r="I69" s="33"/>
      <c r="J69" s="33"/>
      <c r="K69" s="27">
        <v>5000</v>
      </c>
      <c r="L69" s="33"/>
      <c r="M69" s="31">
        <v>43425</v>
      </c>
      <c r="N69" s="31">
        <v>36526</v>
      </c>
      <c r="O69" s="31">
        <v>36526</v>
      </c>
      <c r="P69" s="31">
        <v>36526</v>
      </c>
      <c r="Q69" s="30"/>
      <c r="R69" s="30"/>
      <c r="S69" s="30"/>
      <c r="T69" s="30"/>
      <c r="U69" s="30"/>
      <c r="V69" s="30" t="s">
        <v>687</v>
      </c>
    </row>
    <row r="70" spans="2:22" ht="28">
      <c r="B70" t="s">
        <v>706</v>
      </c>
      <c r="C70" s="27" t="s">
        <v>707</v>
      </c>
      <c r="D70" s="27"/>
      <c r="E70" s="28" t="s">
        <v>473</v>
      </c>
      <c r="F70" s="29" t="s">
        <v>708</v>
      </c>
      <c r="G70" s="27" t="s">
        <v>709</v>
      </c>
      <c r="H70" s="27" t="s">
        <v>682</v>
      </c>
      <c r="I70" s="30"/>
      <c r="J70" s="30"/>
      <c r="K70" s="27">
        <v>10000</v>
      </c>
      <c r="L70" s="30"/>
      <c r="M70" s="31">
        <v>43427</v>
      </c>
      <c r="N70" s="31">
        <v>43769</v>
      </c>
      <c r="O70" s="31">
        <v>36526</v>
      </c>
      <c r="P70" s="31">
        <v>43769</v>
      </c>
      <c r="Q70" s="30"/>
      <c r="R70" s="30"/>
      <c r="S70" s="30"/>
      <c r="T70" s="30"/>
      <c r="U70" s="30"/>
      <c r="V70" s="30"/>
    </row>
    <row r="71" spans="2:22" ht="14">
      <c r="B71" t="s">
        <v>750</v>
      </c>
      <c r="C71" s="27" t="s">
        <v>751</v>
      </c>
      <c r="D71" s="30"/>
      <c r="E71" s="30"/>
      <c r="F71" s="27"/>
      <c r="G71" s="27"/>
      <c r="H71" s="27" t="s">
        <v>752</v>
      </c>
      <c r="I71" s="30" t="s">
        <v>729</v>
      </c>
      <c r="J71" s="30"/>
      <c r="K71" s="27" t="s">
        <v>753</v>
      </c>
      <c r="L71" s="30"/>
      <c r="M71" s="31">
        <v>43432</v>
      </c>
      <c r="N71" s="31">
        <v>43830</v>
      </c>
      <c r="O71" s="32"/>
      <c r="P71" s="31"/>
      <c r="Q71" s="30"/>
      <c r="R71" s="30"/>
      <c r="S71" s="30"/>
      <c r="T71" s="30"/>
      <c r="U71" s="30"/>
      <c r="V71" s="30"/>
    </row>
    <row r="72" spans="2:22" ht="14">
      <c r="B72" t="s">
        <v>714</v>
      </c>
      <c r="C72" s="19" t="s">
        <v>715</v>
      </c>
      <c r="E72" t="s">
        <v>716</v>
      </c>
      <c r="F72" s="19" t="s">
        <v>717</v>
      </c>
      <c r="G72" s="19" t="s">
        <v>717</v>
      </c>
      <c r="H72" s="19" t="s">
        <v>627</v>
      </c>
      <c r="J72" t="s">
        <v>718</v>
      </c>
      <c r="K72" s="46">
        <v>20000</v>
      </c>
      <c r="M72" s="23">
        <v>43569</v>
      </c>
      <c r="N72" s="23" t="s">
        <v>719</v>
      </c>
      <c r="O72" s="31">
        <v>36526</v>
      </c>
      <c r="P72" s="23">
        <v>43830</v>
      </c>
      <c r="V72" s="30" t="s">
        <v>697</v>
      </c>
    </row>
    <row r="73" spans="2:22" ht="15">
      <c r="B73" t="s">
        <v>720</v>
      </c>
      <c r="C73" s="19" t="s">
        <v>721</v>
      </c>
      <c r="E73" s="28" t="s">
        <v>716</v>
      </c>
      <c r="F73" s="19" t="s">
        <v>722</v>
      </c>
      <c r="G73" s="19" t="s">
        <v>723</v>
      </c>
      <c r="H73" s="19" t="s">
        <v>627</v>
      </c>
      <c r="I73" t="s">
        <v>716</v>
      </c>
      <c r="K73" s="46">
        <v>50000</v>
      </c>
      <c r="M73" s="23" t="s">
        <v>724</v>
      </c>
      <c r="N73" s="23" t="s">
        <v>719</v>
      </c>
      <c r="O73" s="31">
        <v>36526</v>
      </c>
      <c r="P73" s="23" t="s">
        <v>719</v>
      </c>
      <c r="V73" t="s">
        <v>725</v>
      </c>
    </row>
    <row r="74" spans="2:22" ht="15">
      <c r="B74" t="s">
        <v>726</v>
      </c>
      <c r="C74" s="19" t="s">
        <v>727</v>
      </c>
      <c r="E74" s="28" t="s">
        <v>716</v>
      </c>
      <c r="F74" s="19" t="s">
        <v>728</v>
      </c>
      <c r="G74" s="19" t="s">
        <v>728</v>
      </c>
      <c r="H74" s="19" t="s">
        <v>627</v>
      </c>
      <c r="I74" s="47" t="s">
        <v>729</v>
      </c>
      <c r="K74" s="19">
        <v>1000</v>
      </c>
      <c r="M74" s="23">
        <v>43493</v>
      </c>
      <c r="N74" s="23">
        <v>43830</v>
      </c>
      <c r="O74" s="31">
        <v>36526</v>
      </c>
      <c r="P74" s="23">
        <v>43830</v>
      </c>
      <c r="V74" s="30" t="s">
        <v>730</v>
      </c>
    </row>
    <row r="75" spans="2:22">
      <c r="C75" s="19" t="s">
        <v>731</v>
      </c>
      <c r="H75" s="19" t="s">
        <v>627</v>
      </c>
    </row>
    <row r="76" spans="2:22">
      <c r="C76" s="19" t="s">
        <v>1326</v>
      </c>
      <c r="H76" s="19" t="s">
        <v>627</v>
      </c>
    </row>
    <row r="77" spans="2:22" ht="14">
      <c r="B77" s="48" t="s">
        <v>754</v>
      </c>
      <c r="C77" s="27" t="s">
        <v>755</v>
      </c>
      <c r="D77" s="30"/>
      <c r="E77" s="30"/>
      <c r="F77" s="27"/>
      <c r="G77" s="27"/>
      <c r="H77" s="27" t="s">
        <v>752</v>
      </c>
      <c r="I77" s="30" t="s">
        <v>729</v>
      </c>
      <c r="J77" s="30"/>
      <c r="K77" s="27" t="s">
        <v>753</v>
      </c>
      <c r="L77" s="30"/>
      <c r="M77" s="31">
        <v>43432</v>
      </c>
      <c r="N77" s="31">
        <v>43830</v>
      </c>
      <c r="O77" s="32"/>
      <c r="P77" s="31"/>
      <c r="Q77" s="30"/>
      <c r="R77" s="30"/>
      <c r="S77" s="30"/>
      <c r="T77" s="30"/>
      <c r="U77" s="30"/>
      <c r="V77" s="30"/>
    </row>
    <row r="78" spans="2:22" ht="28">
      <c r="B78" t="s">
        <v>710</v>
      </c>
      <c r="C78" s="27" t="s">
        <v>711</v>
      </c>
      <c r="D78" s="27"/>
      <c r="E78" s="28"/>
      <c r="F78" s="27" t="s">
        <v>712</v>
      </c>
      <c r="G78" s="27" t="s">
        <v>713</v>
      </c>
      <c r="H78" s="27" t="s">
        <v>682</v>
      </c>
      <c r="I78" s="30"/>
      <c r="J78" s="30"/>
      <c r="K78" s="27">
        <v>10000</v>
      </c>
      <c r="L78" s="30"/>
      <c r="M78" s="31">
        <v>43436</v>
      </c>
      <c r="N78" s="31">
        <v>36526</v>
      </c>
      <c r="O78" s="31">
        <v>36526</v>
      </c>
      <c r="P78" s="31">
        <v>36526</v>
      </c>
      <c r="Q78" s="30"/>
      <c r="R78" s="30"/>
      <c r="S78" s="30"/>
      <c r="T78" s="30"/>
      <c r="U78" s="30"/>
      <c r="V78" s="30" t="s">
        <v>697</v>
      </c>
    </row>
    <row r="79" spans="2:22" ht="28">
      <c r="B79" t="s">
        <v>735</v>
      </c>
      <c r="C79" s="27" t="s">
        <v>736</v>
      </c>
      <c r="D79" s="30"/>
      <c r="E79" s="30" t="s">
        <v>737</v>
      </c>
      <c r="F79" s="27" t="s">
        <v>738</v>
      </c>
      <c r="G79" s="27" t="s">
        <v>738</v>
      </c>
      <c r="H79" s="27" t="s">
        <v>627</v>
      </c>
      <c r="I79" s="47" t="s">
        <v>729</v>
      </c>
      <c r="J79" s="30"/>
      <c r="K79" s="27">
        <v>1000</v>
      </c>
      <c r="L79" s="30"/>
      <c r="M79" s="31">
        <v>43440</v>
      </c>
      <c r="N79" s="31">
        <v>43830</v>
      </c>
      <c r="O79" s="32"/>
      <c r="P79" s="31"/>
      <c r="Q79" s="30"/>
      <c r="R79" s="30"/>
      <c r="S79" s="30"/>
      <c r="T79" s="30"/>
      <c r="U79" s="30"/>
      <c r="V79" s="30"/>
    </row>
    <row r="80" spans="2:22" ht="28">
      <c r="B80" s="48" t="s">
        <v>746</v>
      </c>
      <c r="C80" s="27" t="s">
        <v>747</v>
      </c>
      <c r="D80" s="30"/>
      <c r="E80" s="30"/>
      <c r="F80" s="27" t="s">
        <v>748</v>
      </c>
      <c r="G80" s="27" t="s">
        <v>749</v>
      </c>
      <c r="H80" s="27" t="s">
        <v>627</v>
      </c>
      <c r="I80" s="30" t="s">
        <v>729</v>
      </c>
      <c r="J80" s="30"/>
      <c r="K80" s="27">
        <v>1000</v>
      </c>
      <c r="L80" s="30"/>
      <c r="M80" s="31">
        <v>43561</v>
      </c>
      <c r="N80" s="31">
        <v>43921</v>
      </c>
      <c r="O80" s="32"/>
      <c r="P80" s="31"/>
      <c r="Q80" s="30"/>
      <c r="R80" s="30"/>
      <c r="S80" s="30"/>
      <c r="T80" s="30"/>
      <c r="U80" s="30"/>
      <c r="V80" s="30"/>
    </row>
    <row r="81" spans="2:22" ht="28">
      <c r="B81" t="s">
        <v>739</v>
      </c>
      <c r="C81" s="27" t="s">
        <v>740</v>
      </c>
      <c r="D81" s="30"/>
      <c r="E81" s="30" t="s">
        <v>741</v>
      </c>
      <c r="F81" s="27" t="s">
        <v>742</v>
      </c>
      <c r="G81" s="27" t="s">
        <v>742</v>
      </c>
      <c r="H81" s="27" t="s">
        <v>627</v>
      </c>
      <c r="I81" s="30" t="s">
        <v>729</v>
      </c>
      <c r="J81" s="35"/>
      <c r="K81" s="27">
        <v>1000</v>
      </c>
      <c r="L81" s="30"/>
      <c r="M81" s="31">
        <v>43444</v>
      </c>
      <c r="N81" s="31">
        <v>43830</v>
      </c>
      <c r="O81" s="32"/>
      <c r="P81" s="31"/>
      <c r="Q81" s="30"/>
      <c r="R81" s="30"/>
      <c r="S81" s="30"/>
      <c r="T81" s="30"/>
      <c r="U81" s="30"/>
      <c r="V81" s="30"/>
    </row>
    <row r="82" spans="2:22" ht="28">
      <c r="B82" t="s">
        <v>743</v>
      </c>
      <c r="C82" s="27" t="s">
        <v>744</v>
      </c>
      <c r="D82" s="30"/>
      <c r="E82" s="30" t="s">
        <v>716</v>
      </c>
      <c r="F82" s="27" t="s">
        <v>745</v>
      </c>
      <c r="G82" s="27" t="s">
        <v>745</v>
      </c>
      <c r="H82" s="27" t="s">
        <v>627</v>
      </c>
      <c r="I82" s="30" t="s">
        <v>729</v>
      </c>
      <c r="J82" s="30"/>
      <c r="K82" s="27">
        <v>10000</v>
      </c>
      <c r="L82" s="30"/>
      <c r="M82" s="31">
        <v>43465</v>
      </c>
      <c r="N82" s="31">
        <v>43830</v>
      </c>
      <c r="O82" s="32"/>
      <c r="P82" s="31"/>
      <c r="Q82" s="30"/>
      <c r="R82" s="30"/>
      <c r="S82" s="30"/>
      <c r="T82" s="30"/>
      <c r="U82" s="30"/>
      <c r="V82" s="30"/>
    </row>
    <row r="83" spans="2:22" ht="14">
      <c r="C83" s="27" t="s">
        <v>756</v>
      </c>
      <c r="D83" s="30"/>
      <c r="E83" s="30"/>
      <c r="F83" s="27"/>
      <c r="G83" s="27"/>
      <c r="H83" s="27"/>
      <c r="I83" s="30"/>
      <c r="J83" s="30"/>
      <c r="K83" s="27"/>
      <c r="L83" s="30"/>
      <c r="M83" s="31"/>
      <c r="N83" s="31"/>
      <c r="O83" s="32"/>
      <c r="P83" s="31"/>
      <c r="Q83" s="30"/>
      <c r="R83" s="30"/>
      <c r="S83" s="30"/>
      <c r="T83" s="30"/>
      <c r="U83" s="30"/>
      <c r="V83" s="30"/>
    </row>
    <row r="84" spans="2:22">
      <c r="C84" s="19" t="s">
        <v>1273</v>
      </c>
    </row>
    <row r="85" spans="2:22">
      <c r="C85" s="19" t="s">
        <v>1016</v>
      </c>
    </row>
    <row r="86" spans="2:22" ht="14">
      <c r="C86" s="19" t="s">
        <v>2126</v>
      </c>
      <c r="F86" s="19" t="s">
        <v>473</v>
      </c>
      <c r="H86" s="19" t="s">
        <v>473</v>
      </c>
      <c r="T86" t="s">
        <v>2127</v>
      </c>
    </row>
    <row r="87" spans="2:22">
      <c r="F87" s="19" t="s">
        <v>2128</v>
      </c>
    </row>
  </sheetData>
  <autoFilter ref="A1:W87" xr:uid="{00000000-0009-0000-0000-000009000000}">
    <sortState xmlns:xlrd2="http://schemas.microsoft.com/office/spreadsheetml/2017/richdata2" ref="A2:W91">
      <sortCondition ref="M1:M92"/>
    </sortState>
  </autoFilter>
  <phoneticPr fontId="3" type="noConversion"/>
  <hyperlinks>
    <hyperlink ref="J24" r:id="rId1" display="84039085/27961799@QQ.COM" xr:uid="{00000000-0004-0000-0900-000000000000}"/>
    <hyperlink ref="J27" r:id="rId2" display="93698669/XUANYU116@GMAIL.COM" xr:uid="{00000000-0004-0000-0900-000001000000}"/>
    <hyperlink ref="J2" r:id="rId3" display="98926802/zhaoxin.zhang5555@gmail.com" xr:uid="{00000000-0004-0000-0900-000002000000}"/>
    <hyperlink ref="J5" r:id="rId4" display="98586652/236360897@QQ.COM" xr:uid="{00000000-0004-0000-0900-000003000000}"/>
  </hyperlinks>
  <pageMargins left="0.7" right="0.7" top="0.75" bottom="0.75" header="0.3" footer="0.3"/>
  <pageSetup paperSize="9" orientation="portrait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Sheet1</vt:lpstr>
      <vt:lpstr>Masterlist (old)</vt:lpstr>
      <vt:lpstr>Sheet3</vt:lpstr>
      <vt:lpstr>Renewal</vt:lpstr>
      <vt:lpstr>Masterlist 050421</vt:lpstr>
      <vt:lpstr>Ex</vt:lpstr>
      <vt:lpstr>Nominal Director </vt:lpstr>
      <vt:lpstr>Nominee Director Payment</vt:lpstr>
      <vt:lpstr>开户 tracking</vt:lpstr>
      <vt:lpstr>CorpPass Tracking</vt:lpstr>
      <vt:lpstr>Current Outsource Tracking</vt:lpstr>
      <vt:lpstr>Pricing Guide</vt:lpstr>
      <vt:lpstr>Address Change</vt:lpstr>
      <vt:lpstr>Prospects</vt:lpstr>
      <vt:lpstr>Database (old)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fei ren</dc:creator>
  <cp:keywords/>
  <dc:description/>
  <cp:lastModifiedBy>Microsoft Office User</cp:lastModifiedBy>
  <cp:revision/>
  <dcterms:created xsi:type="dcterms:W3CDTF">2018-02-28T08:50:26Z</dcterms:created>
  <dcterms:modified xsi:type="dcterms:W3CDTF">2021-04-13T14:12:13Z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2052-10.1.0.7224</vt:lpwstr>
  </property>
</Properties>
</file>